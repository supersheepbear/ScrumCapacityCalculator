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8ca8c4f2a40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city" sheetId="1" r:id="Ra4a4dcb6e5c644b4"/>
    <x:sheet xmlns:r="http://schemas.openxmlformats.org/officeDocument/2006/relationships" name="Daily Capacity" sheetId="2" r:id="R02d6f25fb9524be7"/>
    <x:sheet xmlns:r="http://schemas.openxmlformats.org/officeDocument/2006/relationships" name="Team Setup" sheetId="3" r:id="Rbcad8604e625485a"/>
    <x:sheet xmlns:r="http://schemas.openxmlformats.org/officeDocument/2006/relationships" name="Time Off" sheetId="4" r:id="R8babee8990434797"/>
    <x:sheet xmlns:r="http://schemas.openxmlformats.org/officeDocument/2006/relationships" name="Jira Tasks" sheetId="5" r:id="R10143bf8d01b4c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/d/yyyy"/>
    <x:numFmt numFmtId="201" formatCode="0.0"/>
    <x:numFmt numFmtId="202" formatCode="0.0%"/>
    <x:numFmt numFmtId="203" formatCode="0"/>
  </x:numFmts>
  <x:fonts count="11">
    <x:font>
      <x:sz val="11"/>
      <x:name val="Carlito"/>
    </x:font>
    <x:font>
      <x:sz val="10"/>
      <x:color rgb="FF243247"/>
      <x:name val="Arial"/>
    </x:font>
    <x:font>
      <x:b/>
      <x:sz val="16"/>
      <x:color rgb="FF1F4E78"/>
      <x:name val="Arial"/>
    </x:font>
    <x:font>
      <x:i/>
      <x:sz val="9"/>
      <x:color rgb="FF536273"/>
      <x:name val="Arial"/>
    </x:font>
    <x:font>
      <x:b/>
      <x:sz val="10"/>
      <x:color rgb="FF243247"/>
      <x:name val="Arial"/>
    </x:font>
    <x:font>
      <x:b/>
      <x:sz val="10"/>
      <x:color rgb="FF1F4E78"/>
      <x:name val="Arial"/>
    </x:font>
    <x:font>
      <x:b/>
      <x:sz val="10"/>
      <x:color rgb="FFFFFFFF"/>
      <x:name val="Arial"/>
    </x:font>
    <x:font>
      <x:sz val="9"/>
      <x:color rgb="FF536273"/>
      <x:name val="Arial"/>
    </x:font>
    <x:font>
      <x:b/>
      <x:sz val="9"/>
      <x:color rgb="FFFFFFFF"/>
      <x:name val="Arial"/>
    </x:font>
    <x:font>
      <x:b/>
      <x:sz val="12"/>
      <x:color rgb="FF1F4E78"/>
      <x:name val="Arial"/>
    </x:font>
    <x:font>
      <x:b/>
      <x:sz val="9"/>
      <x:color rgb="FF53627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AF0F6"/>
      </x:patternFill>
    </x:fill>
    <x:fill>
      <x:patternFill patternType="solid">
        <x:fgColor rgb="FF1F4E78"/>
      </x:patternFill>
    </x:fill>
    <x:fill>
      <x:patternFill patternType="solid">
        <x:fgColor rgb="FFEFF5FA"/>
      </x:patternFill>
    </x:fill>
  </x:fills>
  <x:borders count="6">
    <x:border/>
    <x:border>
      <x:bottom style="thin">
        <x:color rgb="FF1F4E78"/>
      </x:bottom>
    </x:border>
    <x:border>
      <x:bottom style="thin">
        <x:color rgb="FFFFFFFF"/>
      </x:bottom>
    </x:border>
    <x:border>
      <x:bottom style="thin">
        <x:color rgb="FFD5DEE8"/>
      </x:bottom>
    </x:border>
    <x:border>
      <x:top style="thin">
        <x:color rgb="FFD5DEE8"/>
      </x:top>
      <x:bottom style="thin">
        <x:color rgb="FFD5DEE8"/>
      </x:bottom>
    </x:border>
    <x:border>
      <x:top style="thin">
        <x:color rgb="FFD5DEE8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horizontal="center" vertical="center"/>
    </x:xf>
    <x:xf numFmtId="201" fontId="9" fillId="6" borderId="0" xfId="0" applyNumberFormat="1" applyFont="1" applyFill="1" applyBorder="1" applyAlignment="1">
      <x:alignment horizontal="center" vertical="center"/>
    </x:xf>
    <x:xf numFmtId="202" fontId="9" fillId="6" borderId="0" xfId="0" applyNumberFormat="1" applyFont="1" applyFill="1" applyBorder="1" applyAlignment="1">
      <x:alignment horizontal="center" vertical="center"/>
    </x:xf>
    <x:xf numFmtId="203" fontId="9" fillId="6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vertical="center"/>
    </x:xf>
    <x:xf numFmtId="203" fontId="4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A6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dacb1629d74253" /><Relationship Type="http://schemas.openxmlformats.org/officeDocument/2006/relationships/theme" Target="/xl/theme/theme1.xml" Id="R6204423b85b243dc" /><Relationship Type="http://schemas.openxmlformats.org/officeDocument/2006/relationships/sharedStrings" Target="/xl/sharedStrings.xml" Id="Rd74230409f2c4fc3" /><Relationship Type="http://schemas.openxmlformats.org/officeDocument/2006/relationships/worksheet" Target="/xl/worksheets/sheet1.xml" Id="Ra4a4dcb6e5c644b4" /><Relationship Type="http://schemas.openxmlformats.org/officeDocument/2006/relationships/worksheet" Target="/xl/worksheets/sheet2.xml" Id="R02d6f25fb9524be7" /><Relationship Type="http://schemas.openxmlformats.org/officeDocument/2006/relationships/worksheet" Target="/xl/worksheets/sheet3.xml" Id="Rbcad8604e625485a" /><Relationship Type="http://schemas.openxmlformats.org/officeDocument/2006/relationships/worksheet" Target="/xl/worksheets/sheet4.xml" Id="R8babee8990434797" /><Relationship Type="http://schemas.openxmlformats.org/officeDocument/2006/relationships/worksheet" Target="/xl/worksheets/sheet5.xml" Id="R10143bf8d01b4cff" /></Relationships>
</file>

<file path=xl/tables/table1.xml><?xml version="1.0" encoding="utf-8"?>
<x:table xmlns:x="http://schemas.openxmlformats.org/spreadsheetml/2006/main" id="7" name="CapacityResults" displayName="CapacityResults" ref="A12:H37" headerRowCount="1" totalsRowCount="0" totalsRowShown="0">
  <x:autoFilter ref="A12:H37"/>
  <x:tableColumns count="8">
    <x:tableColumn id="1" name="Member"/>
    <x:tableColumn id="2" name="Jira assignee"/>
    <x:tableColumn id="3" name="Office location"/>
    <x:tableColumn id="4" name="Capacity (h)"/>
    <x:tableColumn id="5" name="Planned (h)"/>
    <x:tableColumn id="6" name="Remaining (h)"/>
    <x:tableColumn id="7" name="Load rate"/>
    <x:tableColumn id="8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eamMembers" displayName="TeamMembers" ref="A9:F34" headerRowCount="1" totalsRowCount="0" totalsRowShown="0">
  <x:autoFilter ref="A9:F34"/>
  <x:tableColumns count="6">
    <x:tableColumn id="1" name="Member"/>
    <x:tableColumn id="2" name="Jira assignee"/>
    <x:tableColumn id="3" name="Group"/>
    <x:tableColumn id="4" name="Office location"/>
    <x:tableColumn id="5" name="Hours per day"/>
    <x:tableColumn id="6" name="Setup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OfficeLocations" displayName="OfficeLocations" ref="H9:J59" headerRowCount="1" totalsRowCount="0" totalsRowShown="0">
  <x:autoFilter ref="H9:J59"/>
  <x:tableColumns count="3">
    <x:tableColumn id="1" name="Office location"/>
    <x:tableColumn id="2" name="Country code"/>
    <x:tableColumn id="3" name="Public holidays checked?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GroupCalendars" displayName="GroupCalendars" ref="H63:J163" headerRowCount="1" totalsRowCount="0" totalsRowShown="0">
  <x:autoFilter ref="H63:J163"/>
  <x:tableColumns count="3">
    <x:tableColumn id="1" name="Group"/>
    <x:tableColumn id="2" name="Office location"/>
    <x:tableColumn id="3" name="Group holidays checked?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HolidayDates" displayName="HolidayDates" ref="A8:E508" headerRowCount="1" totalsRowCount="0" totalsRowShown="0">
  <x:autoFilter ref="A8:E508"/>
  <x:tableColumns count="5">
    <x:tableColumn id="1" name="Date"/>
    <x:tableColumn id="2" name="Holiday"/>
    <x:tableColumn id="3" name="Office location"/>
    <x:tableColumn id="4" name="Group or All"/>
    <x:tableColumn id="5" name="Input chec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PersonalTimeOff" displayName="PersonalTimeOff" ref="G8:J508" headerRowCount="1" totalsRowCount="0" totalsRowShown="0">
  <x:autoFilter ref="G8:J508"/>
  <x:tableColumns count="4">
    <x:tableColumn id="1" name="Member"/>
    <x:tableColumn id="2" name="Date"/>
    <x:tableColumn id="3" name="PTO hours"/>
    <x:tableColumn id="4" name="Input check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JiraIssues" displayName="JiraIssues" ref="A6:G2006" headerRowCount="1" totalsRowCount="0" totalsRowShown="0">
  <x:autoFilter ref="A6:G2006"/>
  <x:tableColumns count="7">
    <x:tableColumn id="1" name="Issue Key"/>
    <x:tableColumn id="2" name="Summary"/>
    <x:tableColumn id="3" name="Assignee"/>
    <x:tableColumn id="4" name="Sprint"/>
    <x:tableColumn id="5" name="Estimate (hours)"/>
    <x:tableColumn id="6" name="Assignee check"/>
    <x:tableColumn id="7" name="Estimate che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0d216637c841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211ad7f27f467d" /><Relationship Type="http://schemas.openxmlformats.org/officeDocument/2006/relationships/table" Target="/xl/tables/table3.xml" Id="Rbad8f9e9ce1d4715" /><Relationship Type="http://schemas.openxmlformats.org/officeDocument/2006/relationships/table" Target="/xl/tables/table4.xml" Id="R725a34faddaa47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1e2626fad9384e8e" /><Relationship Type="http://schemas.openxmlformats.org/officeDocument/2006/relationships/table" Target="/xl/tables/table6.xml" Id="R5866bd75829e46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519d8d1a3bde401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9" hidden="0" customWidth="1"/>
    <x:col min="2" max="2" width="21" hidden="0" customWidth="1"/>
    <x:col min="3" max="3" width="19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25" hidden="0" customWidth="1"/>
    <x:col min="9" max="9" width="18" hidden="0" customWidth="1"/>
    <x:col min="10" max="10" width="18" hidden="0" customWidth="1"/>
  </x:cols>
  <x:sheetData>
    <x:row r="1" ht="27" customHeight="1">
      <x:c r="A1" s="3" t="str">
        <x:v>Scrum Team Capacity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5" t="str">
        <x:v>Complete Team Setup, Time Off, and Jira Tasks. Review every Ready check before sharing results.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6" t="str">
        <x:v>Sprint</x:v>
      </x:c>
      <x:c r="B4" s="33" t="str">
        <x:f>IF('Team Setup'!$B$4="","",'Team Setup'!$B$4)</x:f>
      </x:c>
      <x:c r="C4" s="6" t="str">
        <x:v>Start date</x:v>
      </x:c>
      <x:c r="D4" s="50" t="str">
        <x:f>IF('Team Setup'!$D$4="","",'Team Setup'!$D$4)</x:f>
      </x:c>
      <x:c r="E4" s="33" t="str">
        <x:v>End date</x:v>
      </x:c>
      <x:c r="F4" s="50" t="str">
        <x:f>IF('Team Setup'!$F$4="","",'Team Setup'!$F$4)</x:f>
      </x:c>
      <x:c r="G4" s="6" t="str">
        <x:v>Sprint check</x:v>
      </x:c>
      <x:c r="H4" s="33" t="str">
        <x:f>IF('Team Setup'!$B$4="","Enter Sprint name",IF(OR(NOT(ISNUMBER('Team Setup'!$D$4)),NOT(ISNUMBER('Team Setup'!$F$4))),"Enter valid Sprint dates",IF('Team Setup'!$F$4&lt;'Team Setup'!$D$4,"End date before start date",IF(OR('Team Setup'!$F$4-'Team Setup'!$D$4+1=12,'Team Setup'!$F$4-'Team Setup'!$D$4+1=14),"Ready","Use 12 or 14 calendar days"))))</x:f>
        <x:v>Enter Sprint name</x:v>
      </x:c>
      <x:c r="I4" s="2"/>
      <x:c r="J4" s="2"/>
    </x:row>
    <x:row r="5">
      <x:c r="A5" s="6" t="str">
        <x:v>Team setup</x:v>
      </x:c>
      <x:c r="B5" s="33" t="str">
        <x:f>IF(COUNTIF('Team Setup'!$A$10:$A$34,"&lt;&gt;")=0,"Add team members",IF(COUNTIFS('Team Setup'!$A$10:$A$34,"&lt;&gt;",'Team Setup'!$F$10:$F$34,"&lt;&gt;Ready")&gt;0,"Complete roster/calendar setup","Ready"))</x:f>
        <x:v>Add team members</x:v>
      </x:c>
      <x:c r="C5" s="6" t="str">
        <x:v>Holiday / PTO</x:v>
      </x:c>
      <x:c r="D5" s="33" t="str">
        <x:f>IF(COUNTIFS('Time Off'!$A$9:$A$508,"&lt;&gt;",'Time Off'!$E$9:$E$508,"&lt;&gt;Ready")+COUNTIFS('Time Off'!$G$9:$G$508,"&lt;&gt;",'Time Off'!$J$9:$J$508,"&lt;&gt;Ready")&gt;0,"Check holiday / PTO entries","Ready")</x:f>
        <x:v>Ready</x:v>
      </x:c>
      <x:c r="E5" s="6" t="str">
        <x:v>Jira data</x:v>
      </x:c>
      <x:c r="F5" s="33" t="str">
        <x:f>IF($H$4&lt;&gt;"Ready","Complete Sprint dates",IF(COUNTIF('Jira Tasks'!$A$7:$A$2006,"&lt;&gt;")=0,"Import Jira tasks",IF(COUNTIFS('Jira Tasks'!$A$7:$A$2006,"&lt;&gt;",'Jira Tasks'!$D$7:$D$2006,'Team Setup'!$B$4)=0,"No issues match Sprint",IF(COUNTIFS('Jira Tasks'!$D$7:$D$2006,'Team Setup'!$B$4,'Jira Tasks'!$G$7:$G$2006,"Check estimate in hours")&gt;0,"Fix estimates to numeric hours","Ready"))))</x:f>
        <x:v>Complete Sprint dates</x:v>
      </x:c>
      <x:c r="G5" s="6"/>
      <x:c r="H5" s="6"/>
      <x:c r="I5" s="2"/>
      <x:c r="J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>
      <x:c r="A7" s="37" t="str">
        <x:v>Team capacity (h)</x:v>
      </x:c>
      <x:c r="B7" s="37" t="str"/>
      <x:c r="C7" s="37" t="str">
        <x:v>Planned work (h)</x:v>
      </x:c>
      <x:c r="D7" s="37" t="str"/>
      <x:c r="E7" s="37" t="str">
        <x:v>Remaining (h)</x:v>
      </x:c>
      <x:c r="F7" s="37" t="str"/>
      <x:c r="G7" s="37" t="str">
        <x:v>Team load</x:v>
      </x:c>
      <x:c r="H7" s="37" t="str"/>
      <x:c r="I7" s="37" t="str">
        <x:v>Overloaded</x:v>
      </x:c>
      <x:c r="J7" s="37" t="str"/>
    </x:row>
    <x:row r="8">
      <x:c r="A8" s="40" t="str"/>
      <x:c r="B8" s="41" t="str">
        <x:f>IF(OR($H$4&lt;&gt;"Ready",$B$5&lt;&gt;"Ready",$D$5&lt;&gt;"Ready",$F$5&lt;&gt;"Ready"),"",SUM($D$13:$D$37))</x:f>
      </x:c>
      <x:c r="C8" s="40" t="str"/>
      <x:c r="D8" s="41" t="str">
        <x:f>IF(OR($H$4&lt;&gt;"Ready",$B$5&lt;&gt;"Ready",$D$5&lt;&gt;"Ready",$F$5&lt;&gt;"Ready"),"",SUM($E$13:$E$37))</x:f>
      </x:c>
      <x:c r="E8" s="40" t="str"/>
      <x:c r="F8" s="41" t="str">
        <x:f>IF(OR($H$4&lt;&gt;"Ready",$B$5&lt;&gt;"Ready",$D$5&lt;&gt;"Ready",$F$5&lt;&gt;"Ready"),"",$B$8-$D$8)</x:f>
      </x:c>
      <x:c r="G8" s="40" t="str"/>
      <x:c r="H8" s="42" t="str">
        <x:f>IF(OR($H$4&lt;&gt;"Ready",$B$5&lt;&gt;"Ready",$D$5&lt;&gt;"Ready",$F$5&lt;&gt;"Ready"),"",IF($B$8=0,"n.a.",$D$8/$B$8))</x:f>
      </x:c>
      <x:c r="I8" s="40" t="str"/>
      <x:c r="J8" s="43" t="str">
        <x:f>IF(OR($H$4&lt;&gt;"Ready",$B$5&lt;&gt;"Ready",$D$5&lt;&gt;"Ready",$F$5&lt;&gt;"Ready"),"",COUNTIF($H$13:$H$37,"Overloaded"))</x:f>
      </x:c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>
      <x:c r="A10" s="44" t="str">
        <x:v>Unassigned</x:v>
      </x:c>
      <x:c r="B10" s="45" t="str">
        <x:f>IF($H$4&lt;&gt;"Ready","",COUNTIFS('Jira Tasks'!$D$7:$D$2006,'Team Setup'!$B$4,'Jira Tasks'!$F$7:$F$2006,"Unassigned"))</x:f>
      </x:c>
      <x:c r="C10" s="44" t="str">
        <x:v>Unestimated</x:v>
      </x:c>
      <x:c r="D10" s="45" t="str">
        <x:f>IF($H$4&lt;&gt;"Ready","",COUNTIFS('Jira Tasks'!$D$7:$D$2006,'Team Setup'!$B$4,'Jira Tasks'!$G$7:$G$2006,"Unestimated"))</x:f>
      </x:c>
      <x:c r="E10" s="44" t="str">
        <x:v>Unmatched</x:v>
      </x:c>
      <x:c r="F10" s="45" t="str">
        <x:f>IF($H$4&lt;&gt;"Ready","",COUNTIFS('Jira Tasks'!$D$7:$D$2006,'Team Setup'!$B$4,'Jira Tasks'!$F$7:$F$2006,"Unmatched"))</x:f>
      </x:c>
      <x:c r="G10" s="44" t="str">
        <x:v>Multiple assignees</x:v>
      </x:c>
      <x:c r="H10" s="45" t="str">
        <x:f>IF($H$4&lt;&gt;"Ready","",COUNTIFS('Jira Tasks'!$D$7:$D$2006,'Team Setup'!$B$4,'Jira Tasks'!$F$7:$F$2006,"Multiple assignees"))</x:f>
      </x:c>
      <x:c r="I10" s="44" t="str">
        <x:v>Invalid estimates</x:v>
      </x:c>
      <x:c r="J10" s="45" t="str">
        <x:f>IF($H$4&lt;&gt;"Ready","",COUNTIFS('Jira Tasks'!$D$7:$D$2006,'Team Setup'!$B$4,'Jira Tasks'!$G$7:$G$2006,"Check estimate in hours"))</x:f>
      </x:c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0" customHeight="1">
      <x:c r="A12" s="19" t="str">
        <x:v>Member</x:v>
      </x:c>
      <x:c r="B12" s="19" t="str">
        <x:v>Jira assignee</x:v>
      </x:c>
      <x:c r="C12" s="19" t="str">
        <x:v>Office location</x:v>
      </x:c>
      <x:c r="D12" s="19" t="str">
        <x:v>Capacity (h)</x:v>
      </x:c>
      <x:c r="E12" s="19" t="str">
        <x:v>Planned (h)</x:v>
      </x:c>
      <x:c r="F12" s="19" t="str">
        <x:v>Remaining (h)</x:v>
      </x:c>
      <x:c r="G12" s="19" t="str">
        <x:v>Load rate</x:v>
      </x:c>
      <x:c r="H12" s="19" t="str">
        <x:v>Status</x:v>
      </x:c>
      <x:c r="I12" s="2"/>
      <x:c r="J12" s="2"/>
    </x:row>
    <x:row r="13">
      <x:c r="A13" s="24" t="str">
        <x:f>IF('Team Setup'!$A$10="","",'Team Setup'!$A$10)</x:f>
      </x:c>
      <x:c r="B13" s="24" t="str">
        <x:f>IF($A13="","",'Team Setup'!$B$10)</x:f>
      </x:c>
      <x:c r="C13" s="24" t="str">
        <x:f>IF($A13="","",'Team Setup'!$D$10)</x:f>
      </x:c>
      <x:c r="D13" s="26" t="str">
        <x:f>IF($A13="","",IF(OR($H$4&lt;&gt;"Ready",$B$5&lt;&gt;"Ready",$D$5&lt;&gt;"Ready",$F$5&lt;&gt;"Ready"),"",SUMIFS('Daily Capacity'!$J$5:$J$354,'Daily Capacity'!$A$5:$A$354,$A13)))</x:f>
      </x:c>
      <x:c r="E13" s="26" t="str">
        <x:f>IF($A13="","",IF(OR($H$4&lt;&gt;"Ready",$B$5&lt;&gt;"Ready",$D$5&lt;&gt;"Ready",$F$5&lt;&gt;"Ready"),"",SUMIFS('Jira Tasks'!$E$7:$E$2006,'Jira Tasks'!$C$7:$C$2006,$B13,'Jira Tasks'!$D$7:$D$2006,'Team Setup'!$B$4)))</x:f>
      </x:c>
      <x:c r="F13" s="26" t="str">
        <x:f>IF(OR($D13="",$E13=""),"",$D13-$E13)</x:f>
      </x:c>
      <x:c r="G13" s="47" t="str">
        <x:f>IF($D13="","",IF($D13=0,"n.a.",$E13/$D13))</x:f>
      </x:c>
      <x:c r="H13" s="24" t="str">
        <x:f>IF($A13="","",IF($H$4&lt;&gt;"Ready","Check Sprint dates",IF($B$5&lt;&gt;"Ready","Complete setup",IF($D$5&lt;&gt;"Ready","Check holiday / PTO",IF($F$5&lt;&gt;"Ready","Check Jira data",IF($D13=0,IF($E13&gt;0,"Overloaded","No capacity"),IF($F13&lt;0,"Overloaded",IF($G13&gt;=0.8,"Near capacity","Available"))))))))</x:f>
      </x:c>
      <x:c r="I13" s="2"/>
      <x:c r="J13" s="2"/>
    </x:row>
    <x:row r="14">
      <x:c r="A14" s="27" t="str">
        <x:f>IF('Team Setup'!$A$11="","",'Team Setup'!$A$11)</x:f>
      </x:c>
      <x:c r="B14" s="27" t="str">
        <x:f>IF($A14="","",'Team Setup'!$B$11)</x:f>
      </x:c>
      <x:c r="C14" s="27" t="str">
        <x:f>IF($A14="","",'Team Setup'!$D$11)</x:f>
      </x:c>
      <x:c r="D14" s="29" t="str">
        <x:f>IF($A14="","",IF(OR($H$4&lt;&gt;"Ready",$B$5&lt;&gt;"Ready",$D$5&lt;&gt;"Ready",$F$5&lt;&gt;"Ready"),"",SUMIFS('Daily Capacity'!$J$5:$J$354,'Daily Capacity'!$A$5:$A$354,$A14)))</x:f>
      </x:c>
      <x:c r="E14" s="29" t="str">
        <x:f>IF($A14="","",IF(OR($H$4&lt;&gt;"Ready",$B$5&lt;&gt;"Ready",$D$5&lt;&gt;"Ready",$F$5&lt;&gt;"Ready"),"",SUMIFS('Jira Tasks'!$E$7:$E$2006,'Jira Tasks'!$C$7:$C$2006,$B14,'Jira Tasks'!$D$7:$D$2006,'Team Setup'!$B$4)))</x:f>
      </x:c>
      <x:c r="F14" s="29" t="str">
        <x:f>IF(OR($D14="",$E14=""),"",$D14-$E14)</x:f>
      </x:c>
      <x:c r="G14" s="48" t="str">
        <x:f>IF($D14="","",IF($D14=0,"n.a.",$E14/$D14))</x:f>
      </x:c>
      <x:c r="H14" s="27" t="str">
        <x:f>IF($A14="","",IF($H$4&lt;&gt;"Ready","Check Sprint dates",IF($B$5&lt;&gt;"Ready","Complete setup",IF($D$5&lt;&gt;"Ready","Check holiday / PTO",IF($F$5&lt;&gt;"Ready","Check Jira data",IF($D14=0,IF($E14&gt;0,"Overloaded","No capacity"),IF($F14&lt;0,"Overloaded",IF($G14&gt;=0.8,"Near capacity","Available"))))))))</x:f>
      </x:c>
      <x:c r="I14" s="2"/>
      <x:c r="J14" s="2"/>
    </x:row>
    <x:row r="15">
      <x:c r="A15" s="27" t="str">
        <x:f>IF('Team Setup'!$A$12="","",'Team Setup'!$A$12)</x:f>
      </x:c>
      <x:c r="B15" s="27" t="str">
        <x:f>IF($A15="","",'Team Setup'!$B$12)</x:f>
      </x:c>
      <x:c r="C15" s="27" t="str">
        <x:f>IF($A15="","",'Team Setup'!$D$12)</x:f>
      </x:c>
      <x:c r="D15" s="29" t="str">
        <x:f>IF($A15="","",IF(OR($H$4&lt;&gt;"Ready",$B$5&lt;&gt;"Ready",$D$5&lt;&gt;"Ready",$F$5&lt;&gt;"Ready"),"",SUMIFS('Daily Capacity'!$J$5:$J$354,'Daily Capacity'!$A$5:$A$354,$A15)))</x:f>
      </x:c>
      <x:c r="E15" s="29" t="str">
        <x:f>IF($A15="","",IF(OR($H$4&lt;&gt;"Ready",$B$5&lt;&gt;"Ready",$D$5&lt;&gt;"Ready",$F$5&lt;&gt;"Ready"),"",SUMIFS('Jira Tasks'!$E$7:$E$2006,'Jira Tasks'!$C$7:$C$2006,$B15,'Jira Tasks'!$D$7:$D$2006,'Team Setup'!$B$4)))</x:f>
      </x:c>
      <x:c r="F15" s="29" t="str">
        <x:f>IF(OR($D15="",$E15=""),"",$D15-$E15)</x:f>
      </x:c>
      <x:c r="G15" s="48" t="str">
        <x:f>IF($D15="","",IF($D15=0,"n.a.",$E15/$D15))</x:f>
      </x:c>
      <x:c r="H15" s="27" t="str">
        <x:f>IF($A15="","",IF($H$4&lt;&gt;"Ready","Check Sprint dates",IF($B$5&lt;&gt;"Ready","Complete setup",IF($D$5&lt;&gt;"Ready","Check holiday / PTO",IF($F$5&lt;&gt;"Ready","Check Jira data",IF($D15=0,IF($E15&gt;0,"Overloaded","No capacity"),IF($F15&lt;0,"Overloaded",IF($G15&gt;=0.8,"Near capacity","Available"))))))))</x:f>
      </x:c>
      <x:c r="I15" s="2"/>
      <x:c r="J15" s="2"/>
    </x:row>
    <x:row r="16">
      <x:c r="A16" s="27" t="str">
        <x:f>IF('Team Setup'!$A$13="","",'Team Setup'!$A$13)</x:f>
      </x:c>
      <x:c r="B16" s="27" t="str">
        <x:f>IF($A16="","",'Team Setup'!$B$13)</x:f>
      </x:c>
      <x:c r="C16" s="27" t="str">
        <x:f>IF($A16="","",'Team Setup'!$D$13)</x:f>
      </x:c>
      <x:c r="D16" s="29" t="str">
        <x:f>IF($A16="","",IF(OR($H$4&lt;&gt;"Ready",$B$5&lt;&gt;"Ready",$D$5&lt;&gt;"Ready",$F$5&lt;&gt;"Ready"),"",SUMIFS('Daily Capacity'!$J$5:$J$354,'Daily Capacity'!$A$5:$A$354,$A16)))</x:f>
      </x:c>
      <x:c r="E16" s="29" t="str">
        <x:f>IF($A16="","",IF(OR($H$4&lt;&gt;"Ready",$B$5&lt;&gt;"Ready",$D$5&lt;&gt;"Ready",$F$5&lt;&gt;"Ready"),"",SUMIFS('Jira Tasks'!$E$7:$E$2006,'Jira Tasks'!$C$7:$C$2006,$B16,'Jira Tasks'!$D$7:$D$2006,'Team Setup'!$B$4)))</x:f>
      </x:c>
      <x:c r="F16" s="29" t="str">
        <x:f>IF(OR($D16="",$E16=""),"",$D16-$E16)</x:f>
      </x:c>
      <x:c r="G16" s="48" t="str">
        <x:f>IF($D16="","",IF($D16=0,"n.a.",$E16/$D16))</x:f>
      </x:c>
      <x:c r="H16" s="27" t="str">
        <x:f>IF($A16="","",IF($H$4&lt;&gt;"Ready","Check Sprint dates",IF($B$5&lt;&gt;"Ready","Complete setup",IF($D$5&lt;&gt;"Ready","Check holiday / PTO",IF($F$5&lt;&gt;"Ready","Check Jira data",IF($D16=0,IF($E16&gt;0,"Overloaded","No capacity"),IF($F16&lt;0,"Overloaded",IF($G16&gt;=0.8,"Near capacity","Available"))))))))</x:f>
      </x:c>
      <x:c r="I16" s="2"/>
      <x:c r="J16" s="2"/>
    </x:row>
    <x:row r="17">
      <x:c r="A17" s="27" t="str">
        <x:f>IF('Team Setup'!$A$14="","",'Team Setup'!$A$14)</x:f>
      </x:c>
      <x:c r="B17" s="27" t="str">
        <x:f>IF($A17="","",'Team Setup'!$B$14)</x:f>
      </x:c>
      <x:c r="C17" s="27" t="str">
        <x:f>IF($A17="","",'Team Setup'!$D$14)</x:f>
      </x:c>
      <x:c r="D17" s="29" t="str">
        <x:f>IF($A17="","",IF(OR($H$4&lt;&gt;"Ready",$B$5&lt;&gt;"Ready",$D$5&lt;&gt;"Ready",$F$5&lt;&gt;"Ready"),"",SUMIFS('Daily Capacity'!$J$5:$J$354,'Daily Capacity'!$A$5:$A$354,$A17)))</x:f>
      </x:c>
      <x:c r="E17" s="29" t="str">
        <x:f>IF($A17="","",IF(OR($H$4&lt;&gt;"Ready",$B$5&lt;&gt;"Ready",$D$5&lt;&gt;"Ready",$F$5&lt;&gt;"Ready"),"",SUMIFS('Jira Tasks'!$E$7:$E$2006,'Jira Tasks'!$C$7:$C$2006,$B17,'Jira Tasks'!$D$7:$D$2006,'Team Setup'!$B$4)))</x:f>
      </x:c>
      <x:c r="F17" s="29" t="str">
        <x:f>IF(OR($D17="",$E17=""),"",$D17-$E17)</x:f>
      </x:c>
      <x:c r="G17" s="48" t="str">
        <x:f>IF($D17="","",IF($D17=0,"n.a.",$E17/$D17))</x:f>
      </x:c>
      <x:c r="H17" s="27" t="str">
        <x:f>IF($A17="","",IF($H$4&lt;&gt;"Ready","Check Sprint dates",IF($B$5&lt;&gt;"Ready","Complete setup",IF($D$5&lt;&gt;"Ready","Check holiday / PTO",IF($F$5&lt;&gt;"Ready","Check Jira data",IF($D17=0,IF($E17&gt;0,"Overloaded","No capacity"),IF($F17&lt;0,"Overloaded",IF($G17&gt;=0.8,"Near capacity","Available"))))))))</x:f>
      </x:c>
      <x:c r="I17" s="2"/>
      <x:c r="J17" s="2"/>
    </x:row>
    <x:row r="18">
      <x:c r="A18" s="27" t="str">
        <x:f>IF('Team Setup'!$A$15="","",'Team Setup'!$A$15)</x:f>
      </x:c>
      <x:c r="B18" s="27" t="str">
        <x:f>IF($A18="","",'Team Setup'!$B$15)</x:f>
      </x:c>
      <x:c r="C18" s="27" t="str">
        <x:f>IF($A18="","",'Team Setup'!$D$15)</x:f>
      </x:c>
      <x:c r="D18" s="29" t="str">
        <x:f>IF($A18="","",IF(OR($H$4&lt;&gt;"Ready",$B$5&lt;&gt;"Ready",$D$5&lt;&gt;"Ready",$F$5&lt;&gt;"Ready"),"",SUMIFS('Daily Capacity'!$J$5:$J$354,'Daily Capacity'!$A$5:$A$354,$A18)))</x:f>
      </x:c>
      <x:c r="E18" s="29" t="str">
        <x:f>IF($A18="","",IF(OR($H$4&lt;&gt;"Ready",$B$5&lt;&gt;"Ready",$D$5&lt;&gt;"Ready",$F$5&lt;&gt;"Ready"),"",SUMIFS('Jira Tasks'!$E$7:$E$2006,'Jira Tasks'!$C$7:$C$2006,$B18,'Jira Tasks'!$D$7:$D$2006,'Team Setup'!$B$4)))</x:f>
      </x:c>
      <x:c r="F18" s="29" t="str">
        <x:f>IF(OR($D18="",$E18=""),"",$D18-$E18)</x:f>
      </x:c>
      <x:c r="G18" s="48" t="str">
        <x:f>IF($D18="","",IF($D18=0,"n.a.",$E18/$D18))</x:f>
      </x:c>
      <x:c r="H18" s="27" t="str">
        <x:f>IF($A18="","",IF($H$4&lt;&gt;"Ready","Check Sprint dates",IF($B$5&lt;&gt;"Ready","Complete setup",IF($D$5&lt;&gt;"Ready","Check holiday / PTO",IF($F$5&lt;&gt;"Ready","Check Jira data",IF($D18=0,IF($E18&gt;0,"Overloaded","No capacity"),IF($F18&lt;0,"Overloaded",IF($G18&gt;=0.8,"Near capacity","Available"))))))))</x:f>
      </x:c>
      <x:c r="I18" s="2"/>
      <x:c r="J18" s="2"/>
    </x:row>
    <x:row r="19">
      <x:c r="A19" s="27" t="str">
        <x:f>IF('Team Setup'!$A$16="","",'Team Setup'!$A$16)</x:f>
      </x:c>
      <x:c r="B19" s="27" t="str">
        <x:f>IF($A19="","",'Team Setup'!$B$16)</x:f>
      </x:c>
      <x:c r="C19" s="27" t="str">
        <x:f>IF($A19="","",'Team Setup'!$D$16)</x:f>
      </x:c>
      <x:c r="D19" s="29" t="str">
        <x:f>IF($A19="","",IF(OR($H$4&lt;&gt;"Ready",$B$5&lt;&gt;"Ready",$D$5&lt;&gt;"Ready",$F$5&lt;&gt;"Ready"),"",SUMIFS('Daily Capacity'!$J$5:$J$354,'Daily Capacity'!$A$5:$A$354,$A19)))</x:f>
      </x:c>
      <x:c r="E19" s="29" t="str">
        <x:f>IF($A19="","",IF(OR($H$4&lt;&gt;"Ready",$B$5&lt;&gt;"Ready",$D$5&lt;&gt;"Ready",$F$5&lt;&gt;"Ready"),"",SUMIFS('Jira Tasks'!$E$7:$E$2006,'Jira Tasks'!$C$7:$C$2006,$B19,'Jira Tasks'!$D$7:$D$2006,'Team Setup'!$B$4)))</x:f>
      </x:c>
      <x:c r="F19" s="29" t="str">
        <x:f>IF(OR($D19="",$E19=""),"",$D19-$E19)</x:f>
      </x:c>
      <x:c r="G19" s="48" t="str">
        <x:f>IF($D19="","",IF($D19=0,"n.a.",$E19/$D19))</x:f>
      </x:c>
      <x:c r="H19" s="27" t="str">
        <x:f>IF($A19="","",IF($H$4&lt;&gt;"Ready","Check Sprint dates",IF($B$5&lt;&gt;"Ready","Complete setup",IF($D$5&lt;&gt;"Ready","Check holiday / PTO",IF($F$5&lt;&gt;"Ready","Check Jira data",IF($D19=0,IF($E19&gt;0,"Overloaded","No capacity"),IF($F19&lt;0,"Overloaded",IF($G19&gt;=0.8,"Near capacity","Available"))))))))</x:f>
      </x:c>
      <x:c r="I19" s="2"/>
      <x:c r="J19" s="2"/>
    </x:row>
    <x:row r="20">
      <x:c r="A20" s="27" t="str">
        <x:f>IF('Team Setup'!$A$17="","",'Team Setup'!$A$17)</x:f>
      </x:c>
      <x:c r="B20" s="27" t="str">
        <x:f>IF($A20="","",'Team Setup'!$B$17)</x:f>
      </x:c>
      <x:c r="C20" s="27" t="str">
        <x:f>IF($A20="","",'Team Setup'!$D$17)</x:f>
      </x:c>
      <x:c r="D20" s="29" t="str">
        <x:f>IF($A20="","",IF(OR($H$4&lt;&gt;"Ready",$B$5&lt;&gt;"Ready",$D$5&lt;&gt;"Ready",$F$5&lt;&gt;"Ready"),"",SUMIFS('Daily Capacity'!$J$5:$J$354,'Daily Capacity'!$A$5:$A$354,$A20)))</x:f>
      </x:c>
      <x:c r="E20" s="29" t="str">
        <x:f>IF($A20="","",IF(OR($H$4&lt;&gt;"Ready",$B$5&lt;&gt;"Ready",$D$5&lt;&gt;"Ready",$F$5&lt;&gt;"Ready"),"",SUMIFS('Jira Tasks'!$E$7:$E$2006,'Jira Tasks'!$C$7:$C$2006,$B20,'Jira Tasks'!$D$7:$D$2006,'Team Setup'!$B$4)))</x:f>
      </x:c>
      <x:c r="F20" s="29" t="str">
        <x:f>IF(OR($D20="",$E20=""),"",$D20-$E20)</x:f>
      </x:c>
      <x:c r="G20" s="48" t="str">
        <x:f>IF($D20="","",IF($D20=0,"n.a.",$E20/$D20))</x:f>
      </x:c>
      <x:c r="H20" s="27" t="str">
        <x:f>IF($A20="","",IF($H$4&lt;&gt;"Ready","Check Sprint dates",IF($B$5&lt;&gt;"Ready","Complete setup",IF($D$5&lt;&gt;"Ready","Check holiday / PTO",IF($F$5&lt;&gt;"Ready","Check Jira data",IF($D20=0,IF($E20&gt;0,"Overloaded","No capacity"),IF($F20&lt;0,"Overloaded",IF($G20&gt;=0.8,"Near capacity","Available"))))))))</x:f>
      </x:c>
      <x:c r="I20" s="2"/>
      <x:c r="J20" s="2"/>
    </x:row>
    <x:row r="21">
      <x:c r="A21" s="27" t="str">
        <x:f>IF('Team Setup'!$A$18="","",'Team Setup'!$A$18)</x:f>
      </x:c>
      <x:c r="B21" s="27" t="str">
        <x:f>IF($A21="","",'Team Setup'!$B$18)</x:f>
      </x:c>
      <x:c r="C21" s="27" t="str">
        <x:f>IF($A21="","",'Team Setup'!$D$18)</x:f>
      </x:c>
      <x:c r="D21" s="29" t="str">
        <x:f>IF($A21="","",IF(OR($H$4&lt;&gt;"Ready",$B$5&lt;&gt;"Ready",$D$5&lt;&gt;"Ready",$F$5&lt;&gt;"Ready"),"",SUMIFS('Daily Capacity'!$J$5:$J$354,'Daily Capacity'!$A$5:$A$354,$A21)))</x:f>
      </x:c>
      <x:c r="E21" s="29" t="str">
        <x:f>IF($A21="","",IF(OR($H$4&lt;&gt;"Ready",$B$5&lt;&gt;"Ready",$D$5&lt;&gt;"Ready",$F$5&lt;&gt;"Ready"),"",SUMIFS('Jira Tasks'!$E$7:$E$2006,'Jira Tasks'!$C$7:$C$2006,$B21,'Jira Tasks'!$D$7:$D$2006,'Team Setup'!$B$4)))</x:f>
      </x:c>
      <x:c r="F21" s="29" t="str">
        <x:f>IF(OR($D21="",$E21=""),"",$D21-$E21)</x:f>
      </x:c>
      <x:c r="G21" s="48" t="str">
        <x:f>IF($D21="","",IF($D21=0,"n.a.",$E21/$D21))</x:f>
      </x:c>
      <x:c r="H21" s="27" t="str">
        <x:f>IF($A21="","",IF($H$4&lt;&gt;"Ready","Check Sprint dates",IF($B$5&lt;&gt;"Ready","Complete setup",IF($D$5&lt;&gt;"Ready","Check holiday / PTO",IF($F$5&lt;&gt;"Ready","Check Jira data",IF($D21=0,IF($E21&gt;0,"Overloaded","No capacity"),IF($F21&lt;0,"Overloaded",IF($G21&gt;=0.8,"Near capacity","Available"))))))))</x:f>
      </x:c>
      <x:c r="I21" s="2"/>
      <x:c r="J21" s="2"/>
    </x:row>
    <x:row r="22">
      <x:c r="A22" s="27" t="str">
        <x:f>IF('Team Setup'!$A$19="","",'Team Setup'!$A$19)</x:f>
      </x:c>
      <x:c r="B22" s="27" t="str">
        <x:f>IF($A22="","",'Team Setup'!$B$19)</x:f>
      </x:c>
      <x:c r="C22" s="27" t="str">
        <x:f>IF($A22="","",'Team Setup'!$D$19)</x:f>
      </x:c>
      <x:c r="D22" s="29" t="str">
        <x:f>IF($A22="","",IF(OR($H$4&lt;&gt;"Ready",$B$5&lt;&gt;"Ready",$D$5&lt;&gt;"Ready",$F$5&lt;&gt;"Ready"),"",SUMIFS('Daily Capacity'!$J$5:$J$354,'Daily Capacity'!$A$5:$A$354,$A22)))</x:f>
      </x:c>
      <x:c r="E22" s="29" t="str">
        <x:f>IF($A22="","",IF(OR($H$4&lt;&gt;"Ready",$B$5&lt;&gt;"Ready",$D$5&lt;&gt;"Ready",$F$5&lt;&gt;"Ready"),"",SUMIFS('Jira Tasks'!$E$7:$E$2006,'Jira Tasks'!$C$7:$C$2006,$B22,'Jira Tasks'!$D$7:$D$2006,'Team Setup'!$B$4)))</x:f>
      </x:c>
      <x:c r="F22" s="29" t="str">
        <x:f>IF(OR($D22="",$E22=""),"",$D22-$E22)</x:f>
      </x:c>
      <x:c r="G22" s="48" t="str">
        <x:f>IF($D22="","",IF($D22=0,"n.a.",$E22/$D22))</x:f>
      </x:c>
      <x:c r="H22" s="27" t="str">
        <x:f>IF($A22="","",IF($H$4&lt;&gt;"Ready","Check Sprint dates",IF($B$5&lt;&gt;"Ready","Complete setup",IF($D$5&lt;&gt;"Ready","Check holiday / PTO",IF($F$5&lt;&gt;"Ready","Check Jira data",IF($D22=0,IF($E22&gt;0,"Overloaded","No capacity"),IF($F22&lt;0,"Overloaded",IF($G22&gt;=0.8,"Near capacity","Available"))))))))</x:f>
      </x:c>
      <x:c r="I22" s="2"/>
      <x:c r="J22" s="2"/>
    </x:row>
    <x:row r="23">
      <x:c r="A23" s="27" t="str">
        <x:f>IF('Team Setup'!$A$20="","",'Team Setup'!$A$20)</x:f>
      </x:c>
      <x:c r="B23" s="27" t="str">
        <x:f>IF($A23="","",'Team Setup'!$B$20)</x:f>
      </x:c>
      <x:c r="C23" s="27" t="str">
        <x:f>IF($A23="","",'Team Setup'!$D$20)</x:f>
      </x:c>
      <x:c r="D23" s="29" t="str">
        <x:f>IF($A23="","",IF(OR($H$4&lt;&gt;"Ready",$B$5&lt;&gt;"Ready",$D$5&lt;&gt;"Ready",$F$5&lt;&gt;"Ready"),"",SUMIFS('Daily Capacity'!$J$5:$J$354,'Daily Capacity'!$A$5:$A$354,$A23)))</x:f>
      </x:c>
      <x:c r="E23" s="29" t="str">
        <x:f>IF($A23="","",IF(OR($H$4&lt;&gt;"Ready",$B$5&lt;&gt;"Ready",$D$5&lt;&gt;"Ready",$F$5&lt;&gt;"Ready"),"",SUMIFS('Jira Tasks'!$E$7:$E$2006,'Jira Tasks'!$C$7:$C$2006,$B23,'Jira Tasks'!$D$7:$D$2006,'Team Setup'!$B$4)))</x:f>
      </x:c>
      <x:c r="F23" s="29" t="str">
        <x:f>IF(OR($D23="",$E23=""),"",$D23-$E23)</x:f>
      </x:c>
      <x:c r="G23" s="48" t="str">
        <x:f>IF($D23="","",IF($D23=0,"n.a.",$E23/$D23))</x:f>
      </x:c>
      <x:c r="H23" s="27" t="str">
        <x:f>IF($A23="","",IF($H$4&lt;&gt;"Ready","Check Sprint dates",IF($B$5&lt;&gt;"Ready","Complete setup",IF($D$5&lt;&gt;"Ready","Check holiday / PTO",IF($F$5&lt;&gt;"Ready","Check Jira data",IF($D23=0,IF($E23&gt;0,"Overloaded","No capacity"),IF($F23&lt;0,"Overloaded",IF($G23&gt;=0.8,"Near capacity","Available"))))))))</x:f>
      </x:c>
      <x:c r="I23" s="2"/>
      <x:c r="J23" s="2"/>
    </x:row>
    <x:row r="24">
      <x:c r="A24" s="27" t="str">
        <x:f>IF('Team Setup'!$A$21="","",'Team Setup'!$A$21)</x:f>
      </x:c>
      <x:c r="B24" s="27" t="str">
        <x:f>IF($A24="","",'Team Setup'!$B$21)</x:f>
      </x:c>
      <x:c r="C24" s="27" t="str">
        <x:f>IF($A24="","",'Team Setup'!$D$21)</x:f>
      </x:c>
      <x:c r="D24" s="29" t="str">
        <x:f>IF($A24="","",IF(OR($H$4&lt;&gt;"Ready",$B$5&lt;&gt;"Ready",$D$5&lt;&gt;"Ready",$F$5&lt;&gt;"Ready"),"",SUMIFS('Daily Capacity'!$J$5:$J$354,'Daily Capacity'!$A$5:$A$354,$A24)))</x:f>
      </x:c>
      <x:c r="E24" s="29" t="str">
        <x:f>IF($A24="","",IF(OR($H$4&lt;&gt;"Ready",$B$5&lt;&gt;"Ready",$D$5&lt;&gt;"Ready",$F$5&lt;&gt;"Ready"),"",SUMIFS('Jira Tasks'!$E$7:$E$2006,'Jira Tasks'!$C$7:$C$2006,$B24,'Jira Tasks'!$D$7:$D$2006,'Team Setup'!$B$4)))</x:f>
      </x:c>
      <x:c r="F24" s="29" t="str">
        <x:f>IF(OR($D24="",$E24=""),"",$D24-$E24)</x:f>
      </x:c>
      <x:c r="G24" s="48" t="str">
        <x:f>IF($D24="","",IF($D24=0,"n.a.",$E24/$D24))</x:f>
      </x:c>
      <x:c r="H24" s="27" t="str">
        <x:f>IF($A24="","",IF($H$4&lt;&gt;"Ready","Check Sprint dates",IF($B$5&lt;&gt;"Ready","Complete setup",IF($D$5&lt;&gt;"Ready","Check holiday / PTO",IF($F$5&lt;&gt;"Ready","Check Jira data",IF($D24=0,IF($E24&gt;0,"Overloaded","No capacity"),IF($F24&lt;0,"Overloaded",IF($G24&gt;=0.8,"Near capacity","Available"))))))))</x:f>
      </x:c>
      <x:c r="I24" s="2"/>
      <x:c r="J24" s="2"/>
    </x:row>
    <x:row r="25">
      <x:c r="A25" s="27" t="str">
        <x:f>IF('Team Setup'!$A$22="","",'Team Setup'!$A$22)</x:f>
      </x:c>
      <x:c r="B25" s="27" t="str">
        <x:f>IF($A25="","",'Team Setup'!$B$22)</x:f>
      </x:c>
      <x:c r="C25" s="27" t="str">
        <x:f>IF($A25="","",'Team Setup'!$D$22)</x:f>
      </x:c>
      <x:c r="D25" s="29" t="str">
        <x:f>IF($A25="","",IF(OR($H$4&lt;&gt;"Ready",$B$5&lt;&gt;"Ready",$D$5&lt;&gt;"Ready",$F$5&lt;&gt;"Ready"),"",SUMIFS('Daily Capacity'!$J$5:$J$354,'Daily Capacity'!$A$5:$A$354,$A25)))</x:f>
      </x:c>
      <x:c r="E25" s="29" t="str">
        <x:f>IF($A25="","",IF(OR($H$4&lt;&gt;"Ready",$B$5&lt;&gt;"Ready",$D$5&lt;&gt;"Ready",$F$5&lt;&gt;"Ready"),"",SUMIFS('Jira Tasks'!$E$7:$E$2006,'Jira Tasks'!$C$7:$C$2006,$B25,'Jira Tasks'!$D$7:$D$2006,'Team Setup'!$B$4)))</x:f>
      </x:c>
      <x:c r="F25" s="29" t="str">
        <x:f>IF(OR($D25="",$E25=""),"",$D25-$E25)</x:f>
      </x:c>
      <x:c r="G25" s="48" t="str">
        <x:f>IF($D25="","",IF($D25=0,"n.a.",$E25/$D25))</x:f>
      </x:c>
      <x:c r="H25" s="27" t="str">
        <x:f>IF($A25="","",IF($H$4&lt;&gt;"Ready","Check Sprint dates",IF($B$5&lt;&gt;"Ready","Complete setup",IF($D$5&lt;&gt;"Ready","Check holiday / PTO",IF($F$5&lt;&gt;"Ready","Check Jira data",IF($D25=0,IF($E25&gt;0,"Overloaded","No capacity"),IF($F25&lt;0,"Overloaded",IF($G25&gt;=0.8,"Near capacity","Available"))))))))</x:f>
      </x:c>
      <x:c r="I25" s="2"/>
      <x:c r="J25" s="2"/>
    </x:row>
    <x:row r="26">
      <x:c r="A26" s="27" t="str">
        <x:f>IF('Team Setup'!$A$23="","",'Team Setup'!$A$23)</x:f>
      </x:c>
      <x:c r="B26" s="27" t="str">
        <x:f>IF($A26="","",'Team Setup'!$B$23)</x:f>
      </x:c>
      <x:c r="C26" s="27" t="str">
        <x:f>IF($A26="","",'Team Setup'!$D$23)</x:f>
      </x:c>
      <x:c r="D26" s="29" t="str">
        <x:f>IF($A26="","",IF(OR($H$4&lt;&gt;"Ready",$B$5&lt;&gt;"Ready",$D$5&lt;&gt;"Ready",$F$5&lt;&gt;"Ready"),"",SUMIFS('Daily Capacity'!$J$5:$J$354,'Daily Capacity'!$A$5:$A$354,$A26)))</x:f>
      </x:c>
      <x:c r="E26" s="29" t="str">
        <x:f>IF($A26="","",IF(OR($H$4&lt;&gt;"Ready",$B$5&lt;&gt;"Ready",$D$5&lt;&gt;"Ready",$F$5&lt;&gt;"Ready"),"",SUMIFS('Jira Tasks'!$E$7:$E$2006,'Jira Tasks'!$C$7:$C$2006,$B26,'Jira Tasks'!$D$7:$D$2006,'Team Setup'!$B$4)))</x:f>
      </x:c>
      <x:c r="F26" s="29" t="str">
        <x:f>IF(OR($D26="",$E26=""),"",$D26-$E26)</x:f>
      </x:c>
      <x:c r="G26" s="48" t="str">
        <x:f>IF($D26="","",IF($D26=0,"n.a.",$E26/$D26))</x:f>
      </x:c>
      <x:c r="H26" s="27" t="str">
        <x:f>IF($A26="","",IF($H$4&lt;&gt;"Ready","Check Sprint dates",IF($B$5&lt;&gt;"Ready","Complete setup",IF($D$5&lt;&gt;"Ready","Check holiday / PTO",IF($F$5&lt;&gt;"Ready","Check Jira data",IF($D26=0,IF($E26&gt;0,"Overloaded","No capacity"),IF($F26&lt;0,"Overloaded",IF($G26&gt;=0.8,"Near capacity","Available"))))))))</x:f>
      </x:c>
      <x:c r="I26" s="2"/>
      <x:c r="J26" s="2"/>
    </x:row>
    <x:row r="27">
      <x:c r="A27" s="27" t="str">
        <x:f>IF('Team Setup'!$A$24="","",'Team Setup'!$A$24)</x:f>
      </x:c>
      <x:c r="B27" s="27" t="str">
        <x:f>IF($A27="","",'Team Setup'!$B$24)</x:f>
      </x:c>
      <x:c r="C27" s="27" t="str">
        <x:f>IF($A27="","",'Team Setup'!$D$24)</x:f>
      </x:c>
      <x:c r="D27" s="29" t="str">
        <x:f>IF($A27="","",IF(OR($H$4&lt;&gt;"Ready",$B$5&lt;&gt;"Ready",$D$5&lt;&gt;"Ready",$F$5&lt;&gt;"Ready"),"",SUMIFS('Daily Capacity'!$J$5:$J$354,'Daily Capacity'!$A$5:$A$354,$A27)))</x:f>
      </x:c>
      <x:c r="E27" s="29" t="str">
        <x:f>IF($A27="","",IF(OR($H$4&lt;&gt;"Ready",$B$5&lt;&gt;"Ready",$D$5&lt;&gt;"Ready",$F$5&lt;&gt;"Ready"),"",SUMIFS('Jira Tasks'!$E$7:$E$2006,'Jira Tasks'!$C$7:$C$2006,$B27,'Jira Tasks'!$D$7:$D$2006,'Team Setup'!$B$4)))</x:f>
      </x:c>
      <x:c r="F27" s="29" t="str">
        <x:f>IF(OR($D27="",$E27=""),"",$D27-$E27)</x:f>
      </x:c>
      <x:c r="G27" s="48" t="str">
        <x:f>IF($D27="","",IF($D27=0,"n.a.",$E27/$D27))</x:f>
      </x:c>
      <x:c r="H27" s="27" t="str">
        <x:f>IF($A27="","",IF($H$4&lt;&gt;"Ready","Check Sprint dates",IF($B$5&lt;&gt;"Ready","Complete setup",IF($D$5&lt;&gt;"Ready","Check holiday / PTO",IF($F$5&lt;&gt;"Ready","Check Jira data",IF($D27=0,IF($E27&gt;0,"Overloaded","No capacity"),IF($F27&lt;0,"Overloaded",IF($G27&gt;=0.8,"Near capacity","Available"))))))))</x:f>
      </x:c>
      <x:c r="I27" s="2"/>
      <x:c r="J27" s="2"/>
    </x:row>
    <x:row r="28">
      <x:c r="A28" s="27" t="str">
        <x:f>IF('Team Setup'!$A$25="","",'Team Setup'!$A$25)</x:f>
      </x:c>
      <x:c r="B28" s="27" t="str">
        <x:f>IF($A28="","",'Team Setup'!$B$25)</x:f>
      </x:c>
      <x:c r="C28" s="27" t="str">
        <x:f>IF($A28="","",'Team Setup'!$D$25)</x:f>
      </x:c>
      <x:c r="D28" s="29" t="str">
        <x:f>IF($A28="","",IF(OR($H$4&lt;&gt;"Ready",$B$5&lt;&gt;"Ready",$D$5&lt;&gt;"Ready",$F$5&lt;&gt;"Ready"),"",SUMIFS('Daily Capacity'!$J$5:$J$354,'Daily Capacity'!$A$5:$A$354,$A28)))</x:f>
      </x:c>
      <x:c r="E28" s="29" t="str">
        <x:f>IF($A28="","",IF(OR($H$4&lt;&gt;"Ready",$B$5&lt;&gt;"Ready",$D$5&lt;&gt;"Ready",$F$5&lt;&gt;"Ready"),"",SUMIFS('Jira Tasks'!$E$7:$E$2006,'Jira Tasks'!$C$7:$C$2006,$B28,'Jira Tasks'!$D$7:$D$2006,'Team Setup'!$B$4)))</x:f>
      </x:c>
      <x:c r="F28" s="29" t="str">
        <x:f>IF(OR($D28="",$E28=""),"",$D28-$E28)</x:f>
      </x:c>
      <x:c r="G28" s="48" t="str">
        <x:f>IF($D28="","",IF($D28=0,"n.a.",$E28/$D28))</x:f>
      </x:c>
      <x:c r="H28" s="27" t="str">
        <x:f>IF($A28="","",IF($H$4&lt;&gt;"Ready","Check Sprint dates",IF($B$5&lt;&gt;"Ready","Complete setup",IF($D$5&lt;&gt;"Ready","Check holiday / PTO",IF($F$5&lt;&gt;"Ready","Check Jira data",IF($D28=0,IF($E28&gt;0,"Overloaded","No capacity"),IF($F28&lt;0,"Overloaded",IF($G28&gt;=0.8,"Near capacity","Available"))))))))</x:f>
      </x:c>
      <x:c r="I28" s="2"/>
      <x:c r="J28" s="2"/>
    </x:row>
    <x:row r="29">
      <x:c r="A29" s="27" t="str">
        <x:f>IF('Team Setup'!$A$26="","",'Team Setup'!$A$26)</x:f>
      </x:c>
      <x:c r="B29" s="27" t="str">
        <x:f>IF($A29="","",'Team Setup'!$B$26)</x:f>
      </x:c>
      <x:c r="C29" s="27" t="str">
        <x:f>IF($A29="","",'Team Setup'!$D$26)</x:f>
      </x:c>
      <x:c r="D29" s="29" t="str">
        <x:f>IF($A29="","",IF(OR($H$4&lt;&gt;"Ready",$B$5&lt;&gt;"Ready",$D$5&lt;&gt;"Ready",$F$5&lt;&gt;"Ready"),"",SUMIFS('Daily Capacity'!$J$5:$J$354,'Daily Capacity'!$A$5:$A$354,$A29)))</x:f>
      </x:c>
      <x:c r="E29" s="29" t="str">
        <x:f>IF($A29="","",IF(OR($H$4&lt;&gt;"Ready",$B$5&lt;&gt;"Ready",$D$5&lt;&gt;"Ready",$F$5&lt;&gt;"Ready"),"",SUMIFS('Jira Tasks'!$E$7:$E$2006,'Jira Tasks'!$C$7:$C$2006,$B29,'Jira Tasks'!$D$7:$D$2006,'Team Setup'!$B$4)))</x:f>
      </x:c>
      <x:c r="F29" s="29" t="str">
        <x:f>IF(OR($D29="",$E29=""),"",$D29-$E29)</x:f>
      </x:c>
      <x:c r="G29" s="48" t="str">
        <x:f>IF($D29="","",IF($D29=0,"n.a.",$E29/$D29))</x:f>
      </x:c>
      <x:c r="H29" s="27" t="str">
        <x:f>IF($A29="","",IF($H$4&lt;&gt;"Ready","Check Sprint dates",IF($B$5&lt;&gt;"Ready","Complete setup",IF($D$5&lt;&gt;"Ready","Check holiday / PTO",IF($F$5&lt;&gt;"Ready","Check Jira data",IF($D29=0,IF($E29&gt;0,"Overloaded","No capacity"),IF($F29&lt;0,"Overloaded",IF($G29&gt;=0.8,"Near capacity","Available"))))))))</x:f>
      </x:c>
      <x:c r="I29" s="2"/>
      <x:c r="J29" s="2"/>
    </x:row>
    <x:row r="30">
      <x:c r="A30" s="27" t="str">
        <x:f>IF('Team Setup'!$A$27="","",'Team Setup'!$A$27)</x:f>
      </x:c>
      <x:c r="B30" s="27" t="str">
        <x:f>IF($A30="","",'Team Setup'!$B$27)</x:f>
      </x:c>
      <x:c r="C30" s="27" t="str">
        <x:f>IF($A30="","",'Team Setup'!$D$27)</x:f>
      </x:c>
      <x:c r="D30" s="29" t="str">
        <x:f>IF($A30="","",IF(OR($H$4&lt;&gt;"Ready",$B$5&lt;&gt;"Ready",$D$5&lt;&gt;"Ready",$F$5&lt;&gt;"Ready"),"",SUMIFS('Daily Capacity'!$J$5:$J$354,'Daily Capacity'!$A$5:$A$354,$A30)))</x:f>
      </x:c>
      <x:c r="E30" s="29" t="str">
        <x:f>IF($A30="","",IF(OR($H$4&lt;&gt;"Ready",$B$5&lt;&gt;"Ready",$D$5&lt;&gt;"Ready",$F$5&lt;&gt;"Ready"),"",SUMIFS('Jira Tasks'!$E$7:$E$2006,'Jira Tasks'!$C$7:$C$2006,$B30,'Jira Tasks'!$D$7:$D$2006,'Team Setup'!$B$4)))</x:f>
      </x:c>
      <x:c r="F30" s="29" t="str">
        <x:f>IF(OR($D30="",$E30=""),"",$D30-$E30)</x:f>
      </x:c>
      <x:c r="G30" s="48" t="str">
        <x:f>IF($D30="","",IF($D30=0,"n.a.",$E30/$D30))</x:f>
      </x:c>
      <x:c r="H30" s="27" t="str">
        <x:f>IF($A30="","",IF($H$4&lt;&gt;"Ready","Check Sprint dates",IF($B$5&lt;&gt;"Ready","Complete setup",IF($D$5&lt;&gt;"Ready","Check holiday / PTO",IF($F$5&lt;&gt;"Ready","Check Jira data",IF($D30=0,IF($E30&gt;0,"Overloaded","No capacity"),IF($F30&lt;0,"Overloaded",IF($G30&gt;=0.8,"Near capacity","Available"))))))))</x:f>
      </x:c>
      <x:c r="I30" s="2"/>
      <x:c r="J30" s="2"/>
    </x:row>
    <x:row r="31">
      <x:c r="A31" s="27" t="str">
        <x:f>IF('Team Setup'!$A$28="","",'Team Setup'!$A$28)</x:f>
      </x:c>
      <x:c r="B31" s="27" t="str">
        <x:f>IF($A31="","",'Team Setup'!$B$28)</x:f>
      </x:c>
      <x:c r="C31" s="27" t="str">
        <x:f>IF($A31="","",'Team Setup'!$D$28)</x:f>
      </x:c>
      <x:c r="D31" s="29" t="str">
        <x:f>IF($A31="","",IF(OR($H$4&lt;&gt;"Ready",$B$5&lt;&gt;"Ready",$D$5&lt;&gt;"Ready",$F$5&lt;&gt;"Ready"),"",SUMIFS('Daily Capacity'!$J$5:$J$354,'Daily Capacity'!$A$5:$A$354,$A31)))</x:f>
      </x:c>
      <x:c r="E31" s="29" t="str">
        <x:f>IF($A31="","",IF(OR($H$4&lt;&gt;"Ready",$B$5&lt;&gt;"Ready",$D$5&lt;&gt;"Ready",$F$5&lt;&gt;"Ready"),"",SUMIFS('Jira Tasks'!$E$7:$E$2006,'Jira Tasks'!$C$7:$C$2006,$B31,'Jira Tasks'!$D$7:$D$2006,'Team Setup'!$B$4)))</x:f>
      </x:c>
      <x:c r="F31" s="29" t="str">
        <x:f>IF(OR($D31="",$E31=""),"",$D31-$E31)</x:f>
      </x:c>
      <x:c r="G31" s="48" t="str">
        <x:f>IF($D31="","",IF($D31=0,"n.a.",$E31/$D31))</x:f>
      </x:c>
      <x:c r="H31" s="27" t="str">
        <x:f>IF($A31="","",IF($H$4&lt;&gt;"Ready","Check Sprint dates",IF($B$5&lt;&gt;"Ready","Complete setup",IF($D$5&lt;&gt;"Ready","Check holiday / PTO",IF($F$5&lt;&gt;"Ready","Check Jira data",IF($D31=0,IF($E31&gt;0,"Overloaded","No capacity"),IF($F31&lt;0,"Overloaded",IF($G31&gt;=0.8,"Near capacity","Available"))))))))</x:f>
      </x:c>
      <x:c r="I31" s="2"/>
      <x:c r="J31" s="2"/>
    </x:row>
    <x:row r="32">
      <x:c r="A32" s="27" t="str">
        <x:f>IF('Team Setup'!$A$29="","",'Team Setup'!$A$29)</x:f>
      </x:c>
      <x:c r="B32" s="27" t="str">
        <x:f>IF($A32="","",'Team Setup'!$B$29)</x:f>
      </x:c>
      <x:c r="C32" s="27" t="str">
        <x:f>IF($A32="","",'Team Setup'!$D$29)</x:f>
      </x:c>
      <x:c r="D32" s="29" t="str">
        <x:f>IF($A32="","",IF(OR($H$4&lt;&gt;"Ready",$B$5&lt;&gt;"Ready",$D$5&lt;&gt;"Ready",$F$5&lt;&gt;"Ready"),"",SUMIFS('Daily Capacity'!$J$5:$J$354,'Daily Capacity'!$A$5:$A$354,$A32)))</x:f>
      </x:c>
      <x:c r="E32" s="29" t="str">
        <x:f>IF($A32="","",IF(OR($H$4&lt;&gt;"Ready",$B$5&lt;&gt;"Ready",$D$5&lt;&gt;"Ready",$F$5&lt;&gt;"Ready"),"",SUMIFS('Jira Tasks'!$E$7:$E$2006,'Jira Tasks'!$C$7:$C$2006,$B32,'Jira Tasks'!$D$7:$D$2006,'Team Setup'!$B$4)))</x:f>
      </x:c>
      <x:c r="F32" s="29" t="str">
        <x:f>IF(OR($D32="",$E32=""),"",$D32-$E32)</x:f>
      </x:c>
      <x:c r="G32" s="48" t="str">
        <x:f>IF($D32="","",IF($D32=0,"n.a.",$E32/$D32))</x:f>
      </x:c>
      <x:c r="H32" s="27" t="str">
        <x:f>IF($A32="","",IF($H$4&lt;&gt;"Ready","Check Sprint dates",IF($B$5&lt;&gt;"Ready","Complete setup",IF($D$5&lt;&gt;"Ready","Check holiday / PTO",IF($F$5&lt;&gt;"Ready","Check Jira data",IF($D32=0,IF($E32&gt;0,"Overloaded","No capacity"),IF($F32&lt;0,"Overloaded",IF($G32&gt;=0.8,"Near capacity","Available"))))))))</x:f>
      </x:c>
      <x:c r="I32" s="2"/>
      <x:c r="J32" s="2"/>
    </x:row>
    <x:row r="33">
      <x:c r="A33" s="27" t="str">
        <x:f>IF('Team Setup'!$A$30="","",'Team Setup'!$A$30)</x:f>
      </x:c>
      <x:c r="B33" s="27" t="str">
        <x:f>IF($A33="","",'Team Setup'!$B$30)</x:f>
      </x:c>
      <x:c r="C33" s="27" t="str">
        <x:f>IF($A33="","",'Team Setup'!$D$30)</x:f>
      </x:c>
      <x:c r="D33" s="29" t="str">
        <x:f>IF($A33="","",IF(OR($H$4&lt;&gt;"Ready",$B$5&lt;&gt;"Ready",$D$5&lt;&gt;"Ready",$F$5&lt;&gt;"Ready"),"",SUMIFS('Daily Capacity'!$J$5:$J$354,'Daily Capacity'!$A$5:$A$354,$A33)))</x:f>
      </x:c>
      <x:c r="E33" s="29" t="str">
        <x:f>IF($A33="","",IF(OR($H$4&lt;&gt;"Ready",$B$5&lt;&gt;"Ready",$D$5&lt;&gt;"Ready",$F$5&lt;&gt;"Ready"),"",SUMIFS('Jira Tasks'!$E$7:$E$2006,'Jira Tasks'!$C$7:$C$2006,$B33,'Jira Tasks'!$D$7:$D$2006,'Team Setup'!$B$4)))</x:f>
      </x:c>
      <x:c r="F33" s="29" t="str">
        <x:f>IF(OR($D33="",$E33=""),"",$D33-$E33)</x:f>
      </x:c>
      <x:c r="G33" s="48" t="str">
        <x:f>IF($D33="","",IF($D33=0,"n.a.",$E33/$D33))</x:f>
      </x:c>
      <x:c r="H33" s="27" t="str">
        <x:f>IF($A33="","",IF($H$4&lt;&gt;"Ready","Check Sprint dates",IF($B$5&lt;&gt;"Ready","Complete setup",IF($D$5&lt;&gt;"Ready","Check holiday / PTO",IF($F$5&lt;&gt;"Ready","Check Jira data",IF($D33=0,IF($E33&gt;0,"Overloaded","No capacity"),IF($F33&lt;0,"Overloaded",IF($G33&gt;=0.8,"Near capacity","Available"))))))))</x:f>
      </x:c>
      <x:c r="I33" s="2"/>
      <x:c r="J33" s="2"/>
    </x:row>
    <x:row r="34">
      <x:c r="A34" s="27" t="str">
        <x:f>IF('Team Setup'!$A$31="","",'Team Setup'!$A$31)</x:f>
      </x:c>
      <x:c r="B34" s="27" t="str">
        <x:f>IF($A34="","",'Team Setup'!$B$31)</x:f>
      </x:c>
      <x:c r="C34" s="27" t="str">
        <x:f>IF($A34="","",'Team Setup'!$D$31)</x:f>
      </x:c>
      <x:c r="D34" s="29" t="str">
        <x:f>IF($A34="","",IF(OR($H$4&lt;&gt;"Ready",$B$5&lt;&gt;"Ready",$D$5&lt;&gt;"Ready",$F$5&lt;&gt;"Ready"),"",SUMIFS('Daily Capacity'!$J$5:$J$354,'Daily Capacity'!$A$5:$A$354,$A34)))</x:f>
      </x:c>
      <x:c r="E34" s="29" t="str">
        <x:f>IF($A34="","",IF(OR($H$4&lt;&gt;"Ready",$B$5&lt;&gt;"Ready",$D$5&lt;&gt;"Ready",$F$5&lt;&gt;"Ready"),"",SUMIFS('Jira Tasks'!$E$7:$E$2006,'Jira Tasks'!$C$7:$C$2006,$B34,'Jira Tasks'!$D$7:$D$2006,'Team Setup'!$B$4)))</x:f>
      </x:c>
      <x:c r="F34" s="29" t="str">
        <x:f>IF(OR($D34="",$E34=""),"",$D34-$E34)</x:f>
      </x:c>
      <x:c r="G34" s="48" t="str">
        <x:f>IF($D34="","",IF($D34=0,"n.a.",$E34/$D34))</x:f>
      </x:c>
      <x:c r="H34" s="27" t="str">
        <x:f>IF($A34="","",IF($H$4&lt;&gt;"Ready","Check Sprint dates",IF($B$5&lt;&gt;"Ready","Complete setup",IF($D$5&lt;&gt;"Ready","Check holiday / PTO",IF($F$5&lt;&gt;"Ready","Check Jira data",IF($D34=0,IF($E34&gt;0,"Overloaded","No capacity"),IF($F34&lt;0,"Overloaded",IF($G34&gt;=0.8,"Near capacity","Available"))))))))</x:f>
      </x:c>
      <x:c r="I34" s="2"/>
      <x:c r="J34" s="2"/>
    </x:row>
    <x:row r="35">
      <x:c r="A35" s="27" t="str">
        <x:f>IF('Team Setup'!$A$32="","",'Team Setup'!$A$32)</x:f>
      </x:c>
      <x:c r="B35" s="27" t="str">
        <x:f>IF($A35="","",'Team Setup'!$B$32)</x:f>
      </x:c>
      <x:c r="C35" s="27" t="str">
        <x:f>IF($A35="","",'Team Setup'!$D$32)</x:f>
      </x:c>
      <x:c r="D35" s="29" t="str">
        <x:f>IF($A35="","",IF(OR($H$4&lt;&gt;"Ready",$B$5&lt;&gt;"Ready",$D$5&lt;&gt;"Ready",$F$5&lt;&gt;"Ready"),"",SUMIFS('Daily Capacity'!$J$5:$J$354,'Daily Capacity'!$A$5:$A$354,$A35)))</x:f>
      </x:c>
      <x:c r="E35" s="29" t="str">
        <x:f>IF($A35="","",IF(OR($H$4&lt;&gt;"Ready",$B$5&lt;&gt;"Ready",$D$5&lt;&gt;"Ready",$F$5&lt;&gt;"Ready"),"",SUMIFS('Jira Tasks'!$E$7:$E$2006,'Jira Tasks'!$C$7:$C$2006,$B35,'Jira Tasks'!$D$7:$D$2006,'Team Setup'!$B$4)))</x:f>
      </x:c>
      <x:c r="F35" s="29" t="str">
        <x:f>IF(OR($D35="",$E35=""),"",$D35-$E35)</x:f>
      </x:c>
      <x:c r="G35" s="48" t="str">
        <x:f>IF($D35="","",IF($D35=0,"n.a.",$E35/$D35))</x:f>
      </x:c>
      <x:c r="H35" s="27" t="str">
        <x:f>IF($A35="","",IF($H$4&lt;&gt;"Ready","Check Sprint dates",IF($B$5&lt;&gt;"Ready","Complete setup",IF($D$5&lt;&gt;"Ready","Check holiday / PTO",IF($F$5&lt;&gt;"Ready","Check Jira data",IF($D35=0,IF($E35&gt;0,"Overloaded","No capacity"),IF($F35&lt;0,"Overloaded",IF($G35&gt;=0.8,"Near capacity","Available"))))))))</x:f>
      </x:c>
      <x:c r="I35" s="2"/>
      <x:c r="J35" s="2"/>
    </x:row>
    <x:row r="36">
      <x:c r="A36" s="27" t="str">
        <x:f>IF('Team Setup'!$A$33="","",'Team Setup'!$A$33)</x:f>
      </x:c>
      <x:c r="B36" s="27" t="str">
        <x:f>IF($A36="","",'Team Setup'!$B$33)</x:f>
      </x:c>
      <x:c r="C36" s="27" t="str">
        <x:f>IF($A36="","",'Team Setup'!$D$33)</x:f>
      </x:c>
      <x:c r="D36" s="29" t="str">
        <x:f>IF($A36="","",IF(OR($H$4&lt;&gt;"Ready",$B$5&lt;&gt;"Ready",$D$5&lt;&gt;"Ready",$F$5&lt;&gt;"Ready"),"",SUMIFS('Daily Capacity'!$J$5:$J$354,'Daily Capacity'!$A$5:$A$354,$A36)))</x:f>
      </x:c>
      <x:c r="E36" s="29" t="str">
        <x:f>IF($A36="","",IF(OR($H$4&lt;&gt;"Ready",$B$5&lt;&gt;"Ready",$D$5&lt;&gt;"Ready",$F$5&lt;&gt;"Ready"),"",SUMIFS('Jira Tasks'!$E$7:$E$2006,'Jira Tasks'!$C$7:$C$2006,$B36,'Jira Tasks'!$D$7:$D$2006,'Team Setup'!$B$4)))</x:f>
      </x:c>
      <x:c r="F36" s="29" t="str">
        <x:f>IF(OR($D36="",$E36=""),"",$D36-$E36)</x:f>
      </x:c>
      <x:c r="G36" s="48" t="str">
        <x:f>IF($D36="","",IF($D36=0,"n.a.",$E36/$D36))</x:f>
      </x:c>
      <x:c r="H36" s="27" t="str">
        <x:f>IF($A36="","",IF($H$4&lt;&gt;"Ready","Check Sprint dates",IF($B$5&lt;&gt;"Ready","Complete setup",IF($D$5&lt;&gt;"Ready","Check holiday / PTO",IF($F$5&lt;&gt;"Ready","Check Jira data",IF($D36=0,IF($E36&gt;0,"Overloaded","No capacity"),IF($F36&lt;0,"Overloaded",IF($G36&gt;=0.8,"Near capacity","Available"))))))))</x:f>
      </x:c>
      <x:c r="I36" s="2"/>
      <x:c r="J36" s="2"/>
    </x:row>
    <x:row r="37">
      <x:c r="A37" s="30" t="str">
        <x:f>IF('Team Setup'!$A$34="","",'Team Setup'!$A$34)</x:f>
      </x:c>
      <x:c r="B37" s="30" t="str">
        <x:f>IF($A37="","",'Team Setup'!$B$34)</x:f>
      </x:c>
      <x:c r="C37" s="30" t="str">
        <x:f>IF($A37="","",'Team Setup'!$D$34)</x:f>
      </x:c>
      <x:c r="D37" s="32" t="str">
        <x:f>IF($A37="","",IF(OR($H$4&lt;&gt;"Ready",$B$5&lt;&gt;"Ready",$D$5&lt;&gt;"Ready",$F$5&lt;&gt;"Ready"),"",SUMIFS('Daily Capacity'!$J$5:$J$354,'Daily Capacity'!$A$5:$A$354,$A37)))</x:f>
      </x:c>
      <x:c r="E37" s="32" t="str">
        <x:f>IF($A37="","",IF(OR($H$4&lt;&gt;"Ready",$B$5&lt;&gt;"Ready",$D$5&lt;&gt;"Ready",$F$5&lt;&gt;"Ready"),"",SUMIFS('Jira Tasks'!$E$7:$E$2006,'Jira Tasks'!$C$7:$C$2006,$B37,'Jira Tasks'!$D$7:$D$2006,'Team Setup'!$B$4)))</x:f>
      </x:c>
      <x:c r="F37" s="32" t="str">
        <x:f>IF(OR($D37="",$E37=""),"",$D37-$E37)</x:f>
      </x:c>
      <x:c r="G37" s="49" t="str">
        <x:f>IF($D37="","",IF($D37=0,"n.a.",$E37/$D37))</x:f>
      </x:c>
      <x:c r="H37" s="30" t="str">
        <x:f>IF($A37="","",IF($H$4&lt;&gt;"Ready","Check Sprint dates",IF($B$5&lt;&gt;"Ready","Complete setup",IF($D$5&lt;&gt;"Ready","Check holiday / PTO",IF($F$5&lt;&gt;"Ready","Check Jira data",IF($D37=0,IF($E37&gt;0,"Overloaded","No capacity"),IF($F37&lt;0,"Overloaded",IF($G37&gt;=0.8,"Near capacity","Available"))))))))</x:f>
      </x:c>
      <x:c r="I37" s="2"/>
      <x:c r="J37" s="2"/>
    </x:row>
  </x:sheetData>
  <x:mergeCells>
    <x:mergeCell ref="A2:J2"/>
  </x:mergeCells>
  <x:conditionalFormatting sqref="A13:H37">
    <x:cfRule type="expression" dxfId="0" priority="1">
      <x:formula>$H13="Overloaded"</x:formula>
    </x:cfRule>
    <x:cfRule type="expression" dxfId="1" priority="2">
      <x:formula>$H13="Near capacity"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50d216637c84196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3" max="3" width="17" hidden="0" customWidth="1"/>
    <x:col min="4" max="4" width="19" hidden="0" customWidth="1"/>
    <x:col min="5" max="5" width="15" hidden="0" customWidth="1"/>
    <x:col min="6" max="6" width="14" hidden="0" customWidth="1"/>
    <x:col min="7" max="7" width="13" hidden="0" customWidth="1"/>
    <x:col min="8" max="8" width="13" hidden="0" customWidth="1"/>
    <x:col min="9" max="9" width="18" hidden="0" customWidth="1"/>
    <x:col min="10" max="10" width="18" hidden="0" customWidth="1"/>
  </x:cols>
  <x:sheetData>
    <x:row r="1" ht="27" customHeight="1">
      <x:c r="A1" s="3" t="str">
        <x:v>Daily Capacity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5" t="str">
        <x:v>One row per member and Sprint date. Holidays apply by office location and group. Weekend, holiday, and PTO overlap is deducted once.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0" customHeight="1">
      <x:c r="A4" s="19" t="str">
        <x:v>Member</x:v>
      </x:c>
      <x:c r="B4" s="19" t="str">
        <x:v>Jira assignee</x:v>
      </x:c>
      <x:c r="C4" s="19" t="str">
        <x:v>Group</x:v>
      </x:c>
      <x:c r="D4" s="19" t="str">
        <x:v>Office location</x:v>
      </x:c>
      <x:c r="E4" s="19" t="str">
        <x:v>Date</x:v>
      </x:c>
      <x:c r="F4" s="19" t="str">
        <x:v>Daily hours</x:v>
      </x:c>
      <x:c r="G4" s="19" t="str">
        <x:v>Weekday?</x:v>
      </x:c>
      <x:c r="H4" s="19" t="str">
        <x:v>Holiday?</x:v>
      </x:c>
      <x:c r="I4" s="19" t="str">
        <x:v>PTO deducted (h)</x:v>
      </x:c>
      <x:c r="J4" s="19" t="str">
        <x:v>Capacity (h)</x:v>
      </x:c>
    </x:row>
    <x:row r="5">
      <x:c r="A5" s="24" t="str">
        <x:f>IF('Team Setup'!$A$10="","",'Team Setup'!$A$10)</x:f>
      </x:c>
      <x:c r="B5" s="24" t="str">
        <x:f>IF($A5="","",'Team Setup'!$B$10)</x:f>
      </x:c>
      <x:c r="C5" s="24" t="str">
        <x:f>IF($A5="","",'Team Setup'!$C$10)</x:f>
      </x:c>
      <x:c r="D5" s="24" t="str">
        <x:f>IF($A5="","",'Team Setup'!$D$10)</x:f>
      </x:c>
      <x:c r="E5" s="25" t="str">
        <x:f>IF(OR('Team Setup'!$D$4="",NOT(ISNUMBER('Team Setup'!$D$4))),"",'Team Setup'!$D$4+0)</x:f>
      </x:c>
      <x:c r="F5" s="26" t="str">
        <x:f>IF($A5="","",'Team Setup'!$E$10)</x:f>
      </x:c>
      <x:c r="G5" s="26" t="str">
        <x:f>IF($A5="","",IF(OR($E5="",$E5&lt;'Team Setup'!$D$4,$E5&gt;'Team Setup'!$F$4),"No",IF(WEEKDAY($E5,2)&gt;5,"No","Yes")))</x:f>
      </x:c>
      <x:c r="H5" s="26" t="str">
        <x:f>IF($A5="","",IF(OR($G5&lt;&gt;"Yes",$E5=""),"No",IF(COUNTIFS('Time Off'!$A$9:$A$508,$E5,'Time Off'!$C$9:$C$508,$D5,'Time Off'!$D$9:$D$508,$C5)+COUNTIFS('Time Off'!$A$9:$A$508,$E5,'Time Off'!$C$9:$C$508,$D5,'Time Off'!$D$9:$D$508,"All")&gt;0,"Yes","No")))</x:f>
      </x:c>
      <x:c r="I5" s="26" t="str">
        <x:f>IF($A5="","",IF(OR($G5&lt;&gt;"Yes",$H5="Yes"),0,MIN($F5,SUMIFS('Time Off'!$I$9:$I$508,'Time Off'!$G$9:$G$508,$A5,'Time Off'!$H$9:$H$508,$E5))))</x:f>
      </x:c>
      <x:c r="J5" s="26" t="str">
        <x:f>IF($A5="","",IF(OR($G5&lt;&gt;"Yes",$H5="Yes"),0,MAX(0,$F5-$I5)))</x:f>
      </x:c>
    </x:row>
    <x:row r="6">
      <x:c r="A6" s="27" t="str">
        <x:f>IF('Team Setup'!$A$10="","",'Team Setup'!$A$10)</x:f>
      </x:c>
      <x:c r="B6" s="27" t="str">
        <x:f>IF($A6="","",'Team Setup'!$B$10)</x:f>
      </x:c>
      <x:c r="C6" s="27" t="str">
        <x:f>IF($A6="","",'Team Setup'!$C$10)</x:f>
      </x:c>
      <x:c r="D6" s="27" t="str">
        <x:f>IF($A6="","",'Team Setup'!$D$10)</x:f>
      </x:c>
      <x:c r="E6" s="28" t="str">
        <x:f>IF(OR('Team Setup'!$D$4="",NOT(ISNUMBER('Team Setup'!$D$4))),"",'Team Setup'!$D$4+1)</x:f>
      </x:c>
      <x:c r="F6" s="29" t="str">
        <x:f>IF($A6="","",'Team Setup'!$E$10)</x:f>
      </x:c>
      <x:c r="G6" s="29" t="str">
        <x:f>IF($A6="","",IF(OR($E6="",$E6&lt;'Team Setup'!$D$4,$E6&gt;'Team Setup'!$F$4),"No",IF(WEEKDAY($E6,2)&gt;5,"No","Yes")))</x:f>
      </x:c>
      <x:c r="H6" s="29" t="str">
        <x:f>IF($A6="","",IF(OR($G6&lt;&gt;"Yes",$E6=""),"No",IF(COUNTIFS('Time Off'!$A$9:$A$508,$E6,'Time Off'!$C$9:$C$508,$D6,'Time Off'!$D$9:$D$508,$C6)+COUNTIFS('Time Off'!$A$9:$A$508,$E6,'Time Off'!$C$9:$C$508,$D6,'Time Off'!$D$9:$D$508,"All")&gt;0,"Yes","No")))</x:f>
      </x:c>
      <x:c r="I6" s="29" t="str">
        <x:f>IF($A6="","",IF(OR($G6&lt;&gt;"Yes",$H6="Yes"),0,MIN($F6,SUMIFS('Time Off'!$I$9:$I$508,'Time Off'!$G$9:$G$508,$A6,'Time Off'!$H$9:$H$508,$E6))))</x:f>
      </x:c>
      <x:c r="J6" s="29" t="str">
        <x:f>IF($A6="","",IF(OR($G6&lt;&gt;"Yes",$H6="Yes"),0,MAX(0,$F6-$I6)))</x:f>
      </x:c>
    </x:row>
    <x:row r="7">
      <x:c r="A7" s="27" t="str">
        <x:f>IF('Team Setup'!$A$10="","",'Team Setup'!$A$10)</x:f>
      </x:c>
      <x:c r="B7" s="27" t="str">
        <x:f>IF($A7="","",'Team Setup'!$B$10)</x:f>
      </x:c>
      <x:c r="C7" s="27" t="str">
        <x:f>IF($A7="","",'Team Setup'!$C$10)</x:f>
      </x:c>
      <x:c r="D7" s="27" t="str">
        <x:f>IF($A7="","",'Team Setup'!$D$10)</x:f>
      </x:c>
      <x:c r="E7" s="28" t="str">
        <x:f>IF(OR('Team Setup'!$D$4="",NOT(ISNUMBER('Team Setup'!$D$4))),"",'Team Setup'!$D$4+2)</x:f>
      </x:c>
      <x:c r="F7" s="29" t="str">
        <x:f>IF($A7="","",'Team Setup'!$E$10)</x:f>
      </x:c>
      <x:c r="G7" s="29" t="str">
        <x:f>IF($A7="","",IF(OR($E7="",$E7&lt;'Team Setup'!$D$4,$E7&gt;'Team Setup'!$F$4),"No",IF(WEEKDAY($E7,2)&gt;5,"No","Yes")))</x:f>
      </x:c>
      <x:c r="H7" s="29" t="str">
        <x:f>IF($A7="","",IF(OR($G7&lt;&gt;"Yes",$E7=""),"No",IF(COUNTIFS('Time Off'!$A$9:$A$508,$E7,'Time Off'!$C$9:$C$508,$D7,'Time Off'!$D$9:$D$508,$C7)+COUNTIFS('Time Off'!$A$9:$A$508,$E7,'Time Off'!$C$9:$C$508,$D7,'Time Off'!$D$9:$D$508,"All")&gt;0,"Yes","No")))</x:f>
      </x:c>
      <x:c r="I7" s="29" t="str">
        <x:f>IF($A7="","",IF(OR($G7&lt;&gt;"Yes",$H7="Yes"),0,MIN($F7,SUMIFS('Time Off'!$I$9:$I$508,'Time Off'!$G$9:$G$508,$A7,'Time Off'!$H$9:$H$508,$E7))))</x:f>
      </x:c>
      <x:c r="J7" s="29" t="str">
        <x:f>IF($A7="","",IF(OR($G7&lt;&gt;"Yes",$H7="Yes"),0,MAX(0,$F7-$I7)))</x:f>
      </x:c>
    </x:row>
    <x:row r="8">
      <x:c r="A8" s="27" t="str">
        <x:f>IF('Team Setup'!$A$10="","",'Team Setup'!$A$10)</x:f>
      </x:c>
      <x:c r="B8" s="27" t="str">
        <x:f>IF($A8="","",'Team Setup'!$B$10)</x:f>
      </x:c>
      <x:c r="C8" s="27" t="str">
        <x:f>IF($A8="","",'Team Setup'!$C$10)</x:f>
      </x:c>
      <x:c r="D8" s="27" t="str">
        <x:f>IF($A8="","",'Team Setup'!$D$10)</x:f>
      </x:c>
      <x:c r="E8" s="28" t="str">
        <x:f>IF(OR('Team Setup'!$D$4="",NOT(ISNUMBER('Team Setup'!$D$4))),"",'Team Setup'!$D$4+3)</x:f>
      </x:c>
      <x:c r="F8" s="29" t="str">
        <x:f>IF($A8="","",'Team Setup'!$E$10)</x:f>
      </x:c>
      <x:c r="G8" s="29" t="str">
        <x:f>IF($A8="","",IF(OR($E8="",$E8&lt;'Team Setup'!$D$4,$E8&gt;'Team Setup'!$F$4),"No",IF(WEEKDAY($E8,2)&gt;5,"No","Yes")))</x:f>
      </x:c>
      <x:c r="H8" s="29" t="str">
        <x:f>IF($A8="","",IF(OR($G8&lt;&gt;"Yes",$E8=""),"No",IF(COUNTIFS('Time Off'!$A$9:$A$508,$E8,'Time Off'!$C$9:$C$508,$D8,'Time Off'!$D$9:$D$508,$C8)+COUNTIFS('Time Off'!$A$9:$A$508,$E8,'Time Off'!$C$9:$C$508,$D8,'Time Off'!$D$9:$D$508,"All")&gt;0,"Yes","No")))</x:f>
      </x:c>
      <x:c r="I8" s="29" t="str">
        <x:f>IF($A8="","",IF(OR($G8&lt;&gt;"Yes",$H8="Yes"),0,MIN($F8,SUMIFS('Time Off'!$I$9:$I$508,'Time Off'!$G$9:$G$508,$A8,'Time Off'!$H$9:$H$508,$E8))))</x:f>
      </x:c>
      <x:c r="J8" s="29" t="str">
        <x:f>IF($A8="","",IF(OR($G8&lt;&gt;"Yes",$H8="Yes"),0,MAX(0,$F8-$I8)))</x:f>
      </x:c>
    </x:row>
    <x:row r="9">
      <x:c r="A9" s="27" t="str">
        <x:f>IF('Team Setup'!$A$10="","",'Team Setup'!$A$10)</x:f>
      </x:c>
      <x:c r="B9" s="27" t="str">
        <x:f>IF($A9="","",'Team Setup'!$B$10)</x:f>
      </x:c>
      <x:c r="C9" s="27" t="str">
        <x:f>IF($A9="","",'Team Setup'!$C$10)</x:f>
      </x:c>
      <x:c r="D9" s="27" t="str">
        <x:f>IF($A9="","",'Team Setup'!$D$10)</x:f>
      </x:c>
      <x:c r="E9" s="28" t="str">
        <x:f>IF(OR('Team Setup'!$D$4="",NOT(ISNUMBER('Team Setup'!$D$4))),"",'Team Setup'!$D$4+4)</x:f>
      </x:c>
      <x:c r="F9" s="29" t="str">
        <x:f>IF($A9="","",'Team Setup'!$E$10)</x:f>
      </x:c>
      <x:c r="G9" s="29" t="str">
        <x:f>IF($A9="","",IF(OR($E9="",$E9&lt;'Team Setup'!$D$4,$E9&gt;'Team Setup'!$F$4),"No",IF(WEEKDAY($E9,2)&gt;5,"No","Yes")))</x:f>
      </x:c>
      <x:c r="H9" s="29" t="str">
        <x:f>IF($A9="","",IF(OR($G9&lt;&gt;"Yes",$E9=""),"No",IF(COUNTIFS('Time Off'!$A$9:$A$508,$E9,'Time Off'!$C$9:$C$508,$D9,'Time Off'!$D$9:$D$508,$C9)+COUNTIFS('Time Off'!$A$9:$A$508,$E9,'Time Off'!$C$9:$C$508,$D9,'Time Off'!$D$9:$D$508,"All")&gt;0,"Yes","No")))</x:f>
      </x:c>
      <x:c r="I9" s="29" t="str">
        <x:f>IF($A9="","",IF(OR($G9&lt;&gt;"Yes",$H9="Yes"),0,MIN($F9,SUMIFS('Time Off'!$I$9:$I$508,'Time Off'!$G$9:$G$508,$A9,'Time Off'!$H$9:$H$508,$E9))))</x:f>
      </x:c>
      <x:c r="J9" s="29" t="str">
        <x:f>IF($A9="","",IF(OR($G9&lt;&gt;"Yes",$H9="Yes"),0,MAX(0,$F9-$I9)))</x:f>
      </x:c>
    </x:row>
    <x:row r="10">
      <x:c r="A10" s="27" t="str">
        <x:f>IF('Team Setup'!$A$10="","",'Team Setup'!$A$10)</x:f>
      </x:c>
      <x:c r="B10" s="27" t="str">
        <x:f>IF($A10="","",'Team Setup'!$B$10)</x:f>
      </x:c>
      <x:c r="C10" s="27" t="str">
        <x:f>IF($A10="","",'Team Setup'!$C$10)</x:f>
      </x:c>
      <x:c r="D10" s="27" t="str">
        <x:f>IF($A10="","",'Team Setup'!$D$10)</x:f>
      </x:c>
      <x:c r="E10" s="28" t="str">
        <x:f>IF(OR('Team Setup'!$D$4="",NOT(ISNUMBER('Team Setup'!$D$4))),"",'Team Setup'!$D$4+5)</x:f>
      </x:c>
      <x:c r="F10" s="29" t="str">
        <x:f>IF($A10="","",'Team Setup'!$E$10)</x:f>
      </x:c>
      <x:c r="G10" s="29" t="str">
        <x:f>IF($A10="","",IF(OR($E10="",$E10&lt;'Team Setup'!$D$4,$E10&gt;'Team Setup'!$F$4),"No",IF(WEEKDAY($E10,2)&gt;5,"No","Yes")))</x:f>
      </x:c>
      <x:c r="H10" s="29" t="str">
        <x:f>IF($A10="","",IF(OR($G10&lt;&gt;"Yes",$E10=""),"No",IF(COUNTIFS('Time Off'!$A$9:$A$508,$E10,'Time Off'!$C$9:$C$508,$D10,'Time Off'!$D$9:$D$508,$C10)+COUNTIFS('Time Off'!$A$9:$A$508,$E10,'Time Off'!$C$9:$C$508,$D10,'Time Off'!$D$9:$D$508,"All")&gt;0,"Yes","No")))</x:f>
      </x:c>
      <x:c r="I10" s="29" t="str">
        <x:f>IF($A10="","",IF(OR($G10&lt;&gt;"Yes",$H10="Yes"),0,MIN($F10,SUMIFS('Time Off'!$I$9:$I$508,'Time Off'!$G$9:$G$508,$A10,'Time Off'!$H$9:$H$508,$E10))))</x:f>
      </x:c>
      <x:c r="J10" s="29" t="str">
        <x:f>IF($A10="","",IF(OR($G10&lt;&gt;"Yes",$H10="Yes"),0,MAX(0,$F10-$I10)))</x:f>
      </x:c>
    </x:row>
    <x:row r="11">
      <x:c r="A11" s="27" t="str">
        <x:f>IF('Team Setup'!$A$10="","",'Team Setup'!$A$10)</x:f>
      </x:c>
      <x:c r="B11" s="27" t="str">
        <x:f>IF($A11="","",'Team Setup'!$B$10)</x:f>
      </x:c>
      <x:c r="C11" s="27" t="str">
        <x:f>IF($A11="","",'Team Setup'!$C$10)</x:f>
      </x:c>
      <x:c r="D11" s="27" t="str">
        <x:f>IF($A11="","",'Team Setup'!$D$10)</x:f>
      </x:c>
      <x:c r="E11" s="28" t="str">
        <x:f>IF(OR('Team Setup'!$D$4="",NOT(ISNUMBER('Team Setup'!$D$4))),"",'Team Setup'!$D$4+6)</x:f>
      </x:c>
      <x:c r="F11" s="29" t="str">
        <x:f>IF($A11="","",'Team Setup'!$E$10)</x:f>
      </x:c>
      <x:c r="G11" s="29" t="str">
        <x:f>IF($A11="","",IF(OR($E11="",$E11&lt;'Team Setup'!$D$4,$E11&gt;'Team Setup'!$F$4),"No",IF(WEEKDAY($E11,2)&gt;5,"No","Yes")))</x:f>
      </x:c>
      <x:c r="H11" s="29" t="str">
        <x:f>IF($A11="","",IF(OR($G11&lt;&gt;"Yes",$E11=""),"No",IF(COUNTIFS('Time Off'!$A$9:$A$508,$E11,'Time Off'!$C$9:$C$508,$D11,'Time Off'!$D$9:$D$508,$C11)+COUNTIFS('Time Off'!$A$9:$A$508,$E11,'Time Off'!$C$9:$C$508,$D11,'Time Off'!$D$9:$D$508,"All")&gt;0,"Yes","No")))</x:f>
      </x:c>
      <x:c r="I11" s="29" t="str">
        <x:f>IF($A11="","",IF(OR($G11&lt;&gt;"Yes",$H11="Yes"),0,MIN($F11,SUMIFS('Time Off'!$I$9:$I$508,'Time Off'!$G$9:$G$508,$A11,'Time Off'!$H$9:$H$508,$E11))))</x:f>
      </x:c>
      <x:c r="J11" s="29" t="str">
        <x:f>IF($A11="","",IF(OR($G11&lt;&gt;"Yes",$H11="Yes"),0,MAX(0,$F11-$I11)))</x:f>
      </x:c>
    </x:row>
    <x:row r="12">
      <x:c r="A12" s="27" t="str">
        <x:f>IF('Team Setup'!$A$10="","",'Team Setup'!$A$10)</x:f>
      </x:c>
      <x:c r="B12" s="27" t="str">
        <x:f>IF($A12="","",'Team Setup'!$B$10)</x:f>
      </x:c>
      <x:c r="C12" s="27" t="str">
        <x:f>IF($A12="","",'Team Setup'!$C$10)</x:f>
      </x:c>
      <x:c r="D12" s="27" t="str">
        <x:f>IF($A12="","",'Team Setup'!$D$10)</x:f>
      </x:c>
      <x:c r="E12" s="28" t="str">
        <x:f>IF(OR('Team Setup'!$D$4="",NOT(ISNUMBER('Team Setup'!$D$4))),"",'Team Setup'!$D$4+7)</x:f>
      </x:c>
      <x:c r="F12" s="29" t="str">
        <x:f>IF($A12="","",'Team Setup'!$E$10)</x:f>
      </x:c>
      <x:c r="G12" s="29" t="str">
        <x:f>IF($A12="","",IF(OR($E12="",$E12&lt;'Team Setup'!$D$4,$E12&gt;'Team Setup'!$F$4),"No",IF(WEEKDAY($E12,2)&gt;5,"No","Yes")))</x:f>
      </x:c>
      <x:c r="H12" s="29" t="str">
        <x:f>IF($A12="","",IF(OR($G12&lt;&gt;"Yes",$E12=""),"No",IF(COUNTIFS('Time Off'!$A$9:$A$508,$E12,'Time Off'!$C$9:$C$508,$D12,'Time Off'!$D$9:$D$508,$C12)+COUNTIFS('Time Off'!$A$9:$A$508,$E12,'Time Off'!$C$9:$C$508,$D12,'Time Off'!$D$9:$D$508,"All")&gt;0,"Yes","No")))</x:f>
      </x:c>
      <x:c r="I12" s="29" t="str">
        <x:f>IF($A12="","",IF(OR($G12&lt;&gt;"Yes",$H12="Yes"),0,MIN($F12,SUMIFS('Time Off'!$I$9:$I$508,'Time Off'!$G$9:$G$508,$A12,'Time Off'!$H$9:$H$508,$E12))))</x:f>
      </x:c>
      <x:c r="J12" s="29" t="str">
        <x:f>IF($A12="","",IF(OR($G12&lt;&gt;"Yes",$H12="Yes"),0,MAX(0,$F12-$I12)))</x:f>
      </x:c>
    </x:row>
    <x:row r="13">
      <x:c r="A13" s="27" t="str">
        <x:f>IF('Team Setup'!$A$10="","",'Team Setup'!$A$10)</x:f>
      </x:c>
      <x:c r="B13" s="27" t="str">
        <x:f>IF($A13="","",'Team Setup'!$B$10)</x:f>
      </x:c>
      <x:c r="C13" s="27" t="str">
        <x:f>IF($A13="","",'Team Setup'!$C$10)</x:f>
      </x:c>
      <x:c r="D13" s="27" t="str">
        <x:f>IF($A13="","",'Team Setup'!$D$10)</x:f>
      </x:c>
      <x:c r="E13" s="28" t="str">
        <x:f>IF(OR('Team Setup'!$D$4="",NOT(ISNUMBER('Team Setup'!$D$4))),"",'Team Setup'!$D$4+8)</x:f>
      </x:c>
      <x:c r="F13" s="29" t="str">
        <x:f>IF($A13="","",'Team Setup'!$E$10)</x:f>
      </x:c>
      <x:c r="G13" s="29" t="str">
        <x:f>IF($A13="","",IF(OR($E13="",$E13&lt;'Team Setup'!$D$4,$E13&gt;'Team Setup'!$F$4),"No",IF(WEEKDAY($E13,2)&gt;5,"No","Yes")))</x:f>
      </x:c>
      <x:c r="H13" s="29" t="str">
        <x:f>IF($A13="","",IF(OR($G13&lt;&gt;"Yes",$E13=""),"No",IF(COUNTIFS('Time Off'!$A$9:$A$508,$E13,'Time Off'!$C$9:$C$508,$D13,'Time Off'!$D$9:$D$508,$C13)+COUNTIFS('Time Off'!$A$9:$A$508,$E13,'Time Off'!$C$9:$C$508,$D13,'Time Off'!$D$9:$D$508,"All")&gt;0,"Yes","No")))</x:f>
      </x:c>
      <x:c r="I13" s="29" t="str">
        <x:f>IF($A13="","",IF(OR($G13&lt;&gt;"Yes",$H13="Yes"),0,MIN($F13,SUMIFS('Time Off'!$I$9:$I$508,'Time Off'!$G$9:$G$508,$A13,'Time Off'!$H$9:$H$508,$E13))))</x:f>
      </x:c>
      <x:c r="J13" s="29" t="str">
        <x:f>IF($A13="","",IF(OR($G13&lt;&gt;"Yes",$H13="Yes"),0,MAX(0,$F13-$I13)))</x:f>
      </x:c>
    </x:row>
    <x:row r="14">
      <x:c r="A14" s="27" t="str">
        <x:f>IF('Team Setup'!$A$10="","",'Team Setup'!$A$10)</x:f>
      </x:c>
      <x:c r="B14" s="27" t="str">
        <x:f>IF($A14="","",'Team Setup'!$B$10)</x:f>
      </x:c>
      <x:c r="C14" s="27" t="str">
        <x:f>IF($A14="","",'Team Setup'!$C$10)</x:f>
      </x:c>
      <x:c r="D14" s="27" t="str">
        <x:f>IF($A14="","",'Team Setup'!$D$10)</x:f>
      </x:c>
      <x:c r="E14" s="28" t="str">
        <x:f>IF(OR('Team Setup'!$D$4="",NOT(ISNUMBER('Team Setup'!$D$4))),"",'Team Setup'!$D$4+9)</x:f>
      </x:c>
      <x:c r="F14" s="29" t="str">
        <x:f>IF($A14="","",'Team Setup'!$E$10)</x:f>
      </x:c>
      <x:c r="G14" s="29" t="str">
        <x:f>IF($A14="","",IF(OR($E14="",$E14&lt;'Team Setup'!$D$4,$E14&gt;'Team Setup'!$F$4),"No",IF(WEEKDAY($E14,2)&gt;5,"No","Yes")))</x:f>
      </x:c>
      <x:c r="H14" s="29" t="str">
        <x:f>IF($A14="","",IF(OR($G14&lt;&gt;"Yes",$E14=""),"No",IF(COUNTIFS('Time Off'!$A$9:$A$508,$E14,'Time Off'!$C$9:$C$508,$D14,'Time Off'!$D$9:$D$508,$C14)+COUNTIFS('Time Off'!$A$9:$A$508,$E14,'Time Off'!$C$9:$C$508,$D14,'Time Off'!$D$9:$D$508,"All")&gt;0,"Yes","No")))</x:f>
      </x:c>
      <x:c r="I14" s="29" t="str">
        <x:f>IF($A14="","",IF(OR($G14&lt;&gt;"Yes",$H14="Yes"),0,MIN($F14,SUMIFS('Time Off'!$I$9:$I$508,'Time Off'!$G$9:$G$508,$A14,'Time Off'!$H$9:$H$508,$E14))))</x:f>
      </x:c>
      <x:c r="J14" s="29" t="str">
        <x:f>IF($A14="","",IF(OR($G14&lt;&gt;"Yes",$H14="Yes"),0,MAX(0,$F14-$I14)))</x:f>
      </x:c>
    </x:row>
    <x:row r="15">
      <x:c r="A15" s="27" t="str">
        <x:f>IF('Team Setup'!$A$10="","",'Team Setup'!$A$10)</x:f>
      </x:c>
      <x:c r="B15" s="27" t="str">
        <x:f>IF($A15="","",'Team Setup'!$B$10)</x:f>
      </x:c>
      <x:c r="C15" s="27" t="str">
        <x:f>IF($A15="","",'Team Setup'!$C$10)</x:f>
      </x:c>
      <x:c r="D15" s="27" t="str">
        <x:f>IF($A15="","",'Team Setup'!$D$10)</x:f>
      </x:c>
      <x:c r="E15" s="28" t="str">
        <x:f>IF(OR('Team Setup'!$D$4="",NOT(ISNUMBER('Team Setup'!$D$4))),"",'Team Setup'!$D$4+10)</x:f>
      </x:c>
      <x:c r="F15" s="29" t="str">
        <x:f>IF($A15="","",'Team Setup'!$E$10)</x:f>
      </x:c>
      <x:c r="G15" s="29" t="str">
        <x:f>IF($A15="","",IF(OR($E15="",$E15&lt;'Team Setup'!$D$4,$E15&gt;'Team Setup'!$F$4),"No",IF(WEEKDAY($E15,2)&gt;5,"No","Yes")))</x:f>
      </x:c>
      <x:c r="H15" s="29" t="str">
        <x:f>IF($A15="","",IF(OR($G15&lt;&gt;"Yes",$E15=""),"No",IF(COUNTIFS('Time Off'!$A$9:$A$508,$E15,'Time Off'!$C$9:$C$508,$D15,'Time Off'!$D$9:$D$508,$C15)+COUNTIFS('Time Off'!$A$9:$A$508,$E15,'Time Off'!$C$9:$C$508,$D15,'Time Off'!$D$9:$D$508,"All")&gt;0,"Yes","No")))</x:f>
      </x:c>
      <x:c r="I15" s="29" t="str">
        <x:f>IF($A15="","",IF(OR($G15&lt;&gt;"Yes",$H15="Yes"),0,MIN($F15,SUMIFS('Time Off'!$I$9:$I$508,'Time Off'!$G$9:$G$508,$A15,'Time Off'!$H$9:$H$508,$E15))))</x:f>
      </x:c>
      <x:c r="J15" s="29" t="str">
        <x:f>IF($A15="","",IF(OR($G15&lt;&gt;"Yes",$H15="Yes"),0,MAX(0,$F15-$I15)))</x:f>
      </x:c>
    </x:row>
    <x:row r="16">
      <x:c r="A16" s="27" t="str">
        <x:f>IF('Team Setup'!$A$10="","",'Team Setup'!$A$10)</x:f>
      </x:c>
      <x:c r="B16" s="27" t="str">
        <x:f>IF($A16="","",'Team Setup'!$B$10)</x:f>
      </x:c>
      <x:c r="C16" s="27" t="str">
        <x:f>IF($A16="","",'Team Setup'!$C$10)</x:f>
      </x:c>
      <x:c r="D16" s="27" t="str">
        <x:f>IF($A16="","",'Team Setup'!$D$10)</x:f>
      </x:c>
      <x:c r="E16" s="28" t="str">
        <x:f>IF(OR('Team Setup'!$D$4="",NOT(ISNUMBER('Team Setup'!$D$4))),"",'Team Setup'!$D$4+11)</x:f>
      </x:c>
      <x:c r="F16" s="29" t="str">
        <x:f>IF($A16="","",'Team Setup'!$E$10)</x:f>
      </x:c>
      <x:c r="G16" s="29" t="str">
        <x:f>IF($A16="","",IF(OR($E16="",$E16&lt;'Team Setup'!$D$4,$E16&gt;'Team Setup'!$F$4),"No",IF(WEEKDAY($E16,2)&gt;5,"No","Yes")))</x:f>
      </x:c>
      <x:c r="H16" s="29" t="str">
        <x:f>IF($A16="","",IF(OR($G16&lt;&gt;"Yes",$E16=""),"No",IF(COUNTIFS('Time Off'!$A$9:$A$508,$E16,'Time Off'!$C$9:$C$508,$D16,'Time Off'!$D$9:$D$508,$C16)+COUNTIFS('Time Off'!$A$9:$A$508,$E16,'Time Off'!$C$9:$C$508,$D16,'Time Off'!$D$9:$D$508,"All")&gt;0,"Yes","No")))</x:f>
      </x:c>
      <x:c r="I16" s="29" t="str">
        <x:f>IF($A16="","",IF(OR($G16&lt;&gt;"Yes",$H16="Yes"),0,MIN($F16,SUMIFS('Time Off'!$I$9:$I$508,'Time Off'!$G$9:$G$508,$A16,'Time Off'!$H$9:$H$508,$E16))))</x:f>
      </x:c>
      <x:c r="J16" s="29" t="str">
        <x:f>IF($A16="","",IF(OR($G16&lt;&gt;"Yes",$H16="Yes"),0,MAX(0,$F16-$I16)))</x:f>
      </x:c>
    </x:row>
    <x:row r="17">
      <x:c r="A17" s="27" t="str">
        <x:f>IF('Team Setup'!$A$10="","",'Team Setup'!$A$10)</x:f>
      </x:c>
      <x:c r="B17" s="27" t="str">
        <x:f>IF($A17="","",'Team Setup'!$B$10)</x:f>
      </x:c>
      <x:c r="C17" s="27" t="str">
        <x:f>IF($A17="","",'Team Setup'!$C$10)</x:f>
      </x:c>
      <x:c r="D17" s="27" t="str">
        <x:f>IF($A17="","",'Team Setup'!$D$10)</x:f>
      </x:c>
      <x:c r="E17" s="28" t="str">
        <x:f>IF(OR('Team Setup'!$D$4="",NOT(ISNUMBER('Team Setup'!$D$4))),"",'Team Setup'!$D$4+12)</x:f>
      </x:c>
      <x:c r="F17" s="29" t="str">
        <x:f>IF($A17="","",'Team Setup'!$E$10)</x:f>
      </x:c>
      <x:c r="G17" s="29" t="str">
        <x:f>IF($A17="","",IF(OR($E17="",$E17&lt;'Team Setup'!$D$4,$E17&gt;'Team Setup'!$F$4),"No",IF(WEEKDAY($E17,2)&gt;5,"No","Yes")))</x:f>
      </x:c>
      <x:c r="H17" s="29" t="str">
        <x:f>IF($A17="","",IF(OR($G17&lt;&gt;"Yes",$E17=""),"No",IF(COUNTIFS('Time Off'!$A$9:$A$508,$E17,'Time Off'!$C$9:$C$508,$D17,'Time Off'!$D$9:$D$508,$C17)+COUNTIFS('Time Off'!$A$9:$A$508,$E17,'Time Off'!$C$9:$C$508,$D17,'Time Off'!$D$9:$D$508,"All")&gt;0,"Yes","No")))</x:f>
      </x:c>
      <x:c r="I17" s="29" t="str">
        <x:f>IF($A17="","",IF(OR($G17&lt;&gt;"Yes",$H17="Yes"),0,MIN($F17,SUMIFS('Time Off'!$I$9:$I$508,'Time Off'!$G$9:$G$508,$A17,'Time Off'!$H$9:$H$508,$E17))))</x:f>
      </x:c>
      <x:c r="J17" s="29" t="str">
        <x:f>IF($A17="","",IF(OR($G17&lt;&gt;"Yes",$H17="Yes"),0,MAX(0,$F17-$I17)))</x:f>
      </x:c>
    </x:row>
    <x:row r="18">
      <x:c r="A18" s="27" t="str">
        <x:f>IF('Team Setup'!$A$10="","",'Team Setup'!$A$10)</x:f>
      </x:c>
      <x:c r="B18" s="27" t="str">
        <x:f>IF($A18="","",'Team Setup'!$B$10)</x:f>
      </x:c>
      <x:c r="C18" s="27" t="str">
        <x:f>IF($A18="","",'Team Setup'!$C$10)</x:f>
      </x:c>
      <x:c r="D18" s="27" t="str">
        <x:f>IF($A18="","",'Team Setup'!$D$10)</x:f>
      </x:c>
      <x:c r="E18" s="28" t="str">
        <x:f>IF(OR('Team Setup'!$D$4="",NOT(ISNUMBER('Team Setup'!$D$4))),"",'Team Setup'!$D$4+13)</x:f>
      </x:c>
      <x:c r="F18" s="29" t="str">
        <x:f>IF($A18="","",'Team Setup'!$E$10)</x:f>
      </x:c>
      <x:c r="G18" s="29" t="str">
        <x:f>IF($A18="","",IF(OR($E18="",$E18&lt;'Team Setup'!$D$4,$E18&gt;'Team Setup'!$F$4),"No",IF(WEEKDAY($E18,2)&gt;5,"No","Yes")))</x:f>
      </x:c>
      <x:c r="H18" s="29" t="str">
        <x:f>IF($A18="","",IF(OR($G18&lt;&gt;"Yes",$E18=""),"No",IF(COUNTIFS('Time Off'!$A$9:$A$508,$E18,'Time Off'!$C$9:$C$508,$D18,'Time Off'!$D$9:$D$508,$C18)+COUNTIFS('Time Off'!$A$9:$A$508,$E18,'Time Off'!$C$9:$C$508,$D18,'Time Off'!$D$9:$D$508,"All")&gt;0,"Yes","No")))</x:f>
      </x:c>
      <x:c r="I18" s="29" t="str">
        <x:f>IF($A18="","",IF(OR($G18&lt;&gt;"Yes",$H18="Yes"),0,MIN($F18,SUMIFS('Time Off'!$I$9:$I$508,'Time Off'!$G$9:$G$508,$A18,'Time Off'!$H$9:$H$508,$E18))))</x:f>
      </x:c>
      <x:c r="J18" s="29" t="str">
        <x:f>IF($A18="","",IF(OR($G18&lt;&gt;"Yes",$H18="Yes"),0,MAX(0,$F18-$I18)))</x:f>
      </x:c>
    </x:row>
    <x:row r="19">
      <x:c r="A19" s="27" t="str">
        <x:f>IF('Team Setup'!$A$11="","",'Team Setup'!$A$11)</x:f>
      </x:c>
      <x:c r="B19" s="27" t="str">
        <x:f>IF($A19="","",'Team Setup'!$B$11)</x:f>
      </x:c>
      <x:c r="C19" s="27" t="str">
        <x:f>IF($A19="","",'Team Setup'!$C$11)</x:f>
      </x:c>
      <x:c r="D19" s="27" t="str">
        <x:f>IF($A19="","",'Team Setup'!$D$11)</x:f>
      </x:c>
      <x:c r="E19" s="28" t="str">
        <x:f>IF(OR('Team Setup'!$D$4="",NOT(ISNUMBER('Team Setup'!$D$4))),"",'Team Setup'!$D$4+0)</x:f>
      </x:c>
      <x:c r="F19" s="29" t="str">
        <x:f>IF($A19="","",'Team Setup'!$E$11)</x:f>
      </x:c>
      <x:c r="G19" s="29" t="str">
        <x:f>IF($A19="","",IF(OR($E19="",$E19&lt;'Team Setup'!$D$4,$E19&gt;'Team Setup'!$F$4),"No",IF(WEEKDAY($E19,2)&gt;5,"No","Yes")))</x:f>
      </x:c>
      <x:c r="H19" s="29" t="str">
        <x:f>IF($A19="","",IF(OR($G19&lt;&gt;"Yes",$E19=""),"No",IF(COUNTIFS('Time Off'!$A$9:$A$508,$E19,'Time Off'!$C$9:$C$508,$D19,'Time Off'!$D$9:$D$508,$C19)+COUNTIFS('Time Off'!$A$9:$A$508,$E19,'Time Off'!$C$9:$C$508,$D19,'Time Off'!$D$9:$D$508,"All")&gt;0,"Yes","No")))</x:f>
      </x:c>
      <x:c r="I19" s="29" t="str">
        <x:f>IF($A19="","",IF(OR($G19&lt;&gt;"Yes",$H19="Yes"),0,MIN($F19,SUMIFS('Time Off'!$I$9:$I$508,'Time Off'!$G$9:$G$508,$A19,'Time Off'!$H$9:$H$508,$E19))))</x:f>
      </x:c>
      <x:c r="J19" s="29" t="str">
        <x:f>IF($A19="","",IF(OR($G19&lt;&gt;"Yes",$H19="Yes"),0,MAX(0,$F19-$I19)))</x:f>
      </x:c>
    </x:row>
    <x:row r="20">
      <x:c r="A20" s="27" t="str">
        <x:f>IF('Team Setup'!$A$11="","",'Team Setup'!$A$11)</x:f>
      </x:c>
      <x:c r="B20" s="27" t="str">
        <x:f>IF($A20="","",'Team Setup'!$B$11)</x:f>
      </x:c>
      <x:c r="C20" s="27" t="str">
        <x:f>IF($A20="","",'Team Setup'!$C$11)</x:f>
      </x:c>
      <x:c r="D20" s="27" t="str">
        <x:f>IF($A20="","",'Team Setup'!$D$11)</x:f>
      </x:c>
      <x:c r="E20" s="28" t="str">
        <x:f>IF(OR('Team Setup'!$D$4="",NOT(ISNUMBER('Team Setup'!$D$4))),"",'Team Setup'!$D$4+1)</x:f>
      </x:c>
      <x:c r="F20" s="29" t="str">
        <x:f>IF($A20="","",'Team Setup'!$E$11)</x:f>
      </x:c>
      <x:c r="G20" s="29" t="str">
        <x:f>IF($A20="","",IF(OR($E20="",$E20&lt;'Team Setup'!$D$4,$E20&gt;'Team Setup'!$F$4),"No",IF(WEEKDAY($E20,2)&gt;5,"No","Yes")))</x:f>
      </x:c>
      <x:c r="H20" s="29" t="str">
        <x:f>IF($A20="","",IF(OR($G20&lt;&gt;"Yes",$E20=""),"No",IF(COUNTIFS('Time Off'!$A$9:$A$508,$E20,'Time Off'!$C$9:$C$508,$D20,'Time Off'!$D$9:$D$508,$C20)+COUNTIFS('Time Off'!$A$9:$A$508,$E20,'Time Off'!$C$9:$C$508,$D20,'Time Off'!$D$9:$D$508,"All")&gt;0,"Yes","No")))</x:f>
      </x:c>
      <x:c r="I20" s="29" t="str">
        <x:f>IF($A20="","",IF(OR($G20&lt;&gt;"Yes",$H20="Yes"),0,MIN($F20,SUMIFS('Time Off'!$I$9:$I$508,'Time Off'!$G$9:$G$508,$A20,'Time Off'!$H$9:$H$508,$E20))))</x:f>
      </x:c>
      <x:c r="J20" s="29" t="str">
        <x:f>IF($A20="","",IF(OR($G20&lt;&gt;"Yes",$H20="Yes"),0,MAX(0,$F20-$I20)))</x:f>
      </x:c>
    </x:row>
    <x:row r="21">
      <x:c r="A21" s="27" t="str">
        <x:f>IF('Team Setup'!$A$11="","",'Team Setup'!$A$11)</x:f>
      </x:c>
      <x:c r="B21" s="27" t="str">
        <x:f>IF($A21="","",'Team Setup'!$B$11)</x:f>
      </x:c>
      <x:c r="C21" s="27" t="str">
        <x:f>IF($A21="","",'Team Setup'!$C$11)</x:f>
      </x:c>
      <x:c r="D21" s="27" t="str">
        <x:f>IF($A21="","",'Team Setup'!$D$11)</x:f>
      </x:c>
      <x:c r="E21" s="28" t="str">
        <x:f>IF(OR('Team Setup'!$D$4="",NOT(ISNUMBER('Team Setup'!$D$4))),"",'Team Setup'!$D$4+2)</x:f>
      </x:c>
      <x:c r="F21" s="29" t="str">
        <x:f>IF($A21="","",'Team Setup'!$E$11)</x:f>
      </x:c>
      <x:c r="G21" s="29" t="str">
        <x:f>IF($A21="","",IF(OR($E21="",$E21&lt;'Team Setup'!$D$4,$E21&gt;'Team Setup'!$F$4),"No",IF(WEEKDAY($E21,2)&gt;5,"No","Yes")))</x:f>
      </x:c>
      <x:c r="H21" s="29" t="str">
        <x:f>IF($A21="","",IF(OR($G21&lt;&gt;"Yes",$E21=""),"No",IF(COUNTIFS('Time Off'!$A$9:$A$508,$E21,'Time Off'!$C$9:$C$508,$D21,'Time Off'!$D$9:$D$508,$C21)+COUNTIFS('Time Off'!$A$9:$A$508,$E21,'Time Off'!$C$9:$C$508,$D21,'Time Off'!$D$9:$D$508,"All")&gt;0,"Yes","No")))</x:f>
      </x:c>
      <x:c r="I21" s="29" t="str">
        <x:f>IF($A21="","",IF(OR($G21&lt;&gt;"Yes",$H21="Yes"),0,MIN($F21,SUMIFS('Time Off'!$I$9:$I$508,'Time Off'!$G$9:$G$508,$A21,'Time Off'!$H$9:$H$508,$E21))))</x:f>
      </x:c>
      <x:c r="J21" s="29" t="str">
        <x:f>IF($A21="","",IF(OR($G21&lt;&gt;"Yes",$H21="Yes"),0,MAX(0,$F21-$I21)))</x:f>
      </x:c>
    </x:row>
    <x:row r="22">
      <x:c r="A22" s="27" t="str">
        <x:f>IF('Team Setup'!$A$11="","",'Team Setup'!$A$11)</x:f>
      </x:c>
      <x:c r="B22" s="27" t="str">
        <x:f>IF($A22="","",'Team Setup'!$B$11)</x:f>
      </x:c>
      <x:c r="C22" s="27" t="str">
        <x:f>IF($A22="","",'Team Setup'!$C$11)</x:f>
      </x:c>
      <x:c r="D22" s="27" t="str">
        <x:f>IF($A22="","",'Team Setup'!$D$11)</x:f>
      </x:c>
      <x:c r="E22" s="28" t="str">
        <x:f>IF(OR('Team Setup'!$D$4="",NOT(ISNUMBER('Team Setup'!$D$4))),"",'Team Setup'!$D$4+3)</x:f>
      </x:c>
      <x:c r="F22" s="29" t="str">
        <x:f>IF($A22="","",'Team Setup'!$E$11)</x:f>
      </x:c>
      <x:c r="G22" s="29" t="str">
        <x:f>IF($A22="","",IF(OR($E22="",$E22&lt;'Team Setup'!$D$4,$E22&gt;'Team Setup'!$F$4),"No",IF(WEEKDAY($E22,2)&gt;5,"No","Yes")))</x:f>
      </x:c>
      <x:c r="H22" s="29" t="str">
        <x:f>IF($A22="","",IF(OR($G22&lt;&gt;"Yes",$E22=""),"No",IF(COUNTIFS('Time Off'!$A$9:$A$508,$E22,'Time Off'!$C$9:$C$508,$D22,'Time Off'!$D$9:$D$508,$C22)+COUNTIFS('Time Off'!$A$9:$A$508,$E22,'Time Off'!$C$9:$C$508,$D22,'Time Off'!$D$9:$D$508,"All")&gt;0,"Yes","No")))</x:f>
      </x:c>
      <x:c r="I22" s="29" t="str">
        <x:f>IF($A22="","",IF(OR($G22&lt;&gt;"Yes",$H22="Yes"),0,MIN($F22,SUMIFS('Time Off'!$I$9:$I$508,'Time Off'!$G$9:$G$508,$A22,'Time Off'!$H$9:$H$508,$E22))))</x:f>
      </x:c>
      <x:c r="J22" s="29" t="str">
        <x:f>IF($A22="","",IF(OR($G22&lt;&gt;"Yes",$H22="Yes"),0,MAX(0,$F22-$I22)))</x:f>
      </x:c>
    </x:row>
    <x:row r="23">
      <x:c r="A23" s="27" t="str">
        <x:f>IF('Team Setup'!$A$11="","",'Team Setup'!$A$11)</x:f>
      </x:c>
      <x:c r="B23" s="27" t="str">
        <x:f>IF($A23="","",'Team Setup'!$B$11)</x:f>
      </x:c>
      <x:c r="C23" s="27" t="str">
        <x:f>IF($A23="","",'Team Setup'!$C$11)</x:f>
      </x:c>
      <x:c r="D23" s="27" t="str">
        <x:f>IF($A23="","",'Team Setup'!$D$11)</x:f>
      </x:c>
      <x:c r="E23" s="28" t="str">
        <x:f>IF(OR('Team Setup'!$D$4="",NOT(ISNUMBER('Team Setup'!$D$4))),"",'Team Setup'!$D$4+4)</x:f>
      </x:c>
      <x:c r="F23" s="29" t="str">
        <x:f>IF($A23="","",'Team Setup'!$E$11)</x:f>
      </x:c>
      <x:c r="G23" s="29" t="str">
        <x:f>IF($A23="","",IF(OR($E23="",$E23&lt;'Team Setup'!$D$4,$E23&gt;'Team Setup'!$F$4),"No",IF(WEEKDAY($E23,2)&gt;5,"No","Yes")))</x:f>
      </x:c>
      <x:c r="H23" s="29" t="str">
        <x:f>IF($A23="","",IF(OR($G23&lt;&gt;"Yes",$E23=""),"No",IF(COUNTIFS('Time Off'!$A$9:$A$508,$E23,'Time Off'!$C$9:$C$508,$D23,'Time Off'!$D$9:$D$508,$C23)+COUNTIFS('Time Off'!$A$9:$A$508,$E23,'Time Off'!$C$9:$C$508,$D23,'Time Off'!$D$9:$D$508,"All")&gt;0,"Yes","No")))</x:f>
      </x:c>
      <x:c r="I23" s="29" t="str">
        <x:f>IF($A23="","",IF(OR($G23&lt;&gt;"Yes",$H23="Yes"),0,MIN($F23,SUMIFS('Time Off'!$I$9:$I$508,'Time Off'!$G$9:$G$508,$A23,'Time Off'!$H$9:$H$508,$E23))))</x:f>
      </x:c>
      <x:c r="J23" s="29" t="str">
        <x:f>IF($A23="","",IF(OR($G23&lt;&gt;"Yes",$H23="Yes"),0,MAX(0,$F23-$I23)))</x:f>
      </x:c>
    </x:row>
    <x:row r="24">
      <x:c r="A24" s="27" t="str">
        <x:f>IF('Team Setup'!$A$11="","",'Team Setup'!$A$11)</x:f>
      </x:c>
      <x:c r="B24" s="27" t="str">
        <x:f>IF($A24="","",'Team Setup'!$B$11)</x:f>
      </x:c>
      <x:c r="C24" s="27" t="str">
        <x:f>IF($A24="","",'Team Setup'!$C$11)</x:f>
      </x:c>
      <x:c r="D24" s="27" t="str">
        <x:f>IF($A24="","",'Team Setup'!$D$11)</x:f>
      </x:c>
      <x:c r="E24" s="28" t="str">
        <x:f>IF(OR('Team Setup'!$D$4="",NOT(ISNUMBER('Team Setup'!$D$4))),"",'Team Setup'!$D$4+5)</x:f>
      </x:c>
      <x:c r="F24" s="29" t="str">
        <x:f>IF($A24="","",'Team Setup'!$E$11)</x:f>
      </x:c>
      <x:c r="G24" s="29" t="str">
        <x:f>IF($A24="","",IF(OR($E24="",$E24&lt;'Team Setup'!$D$4,$E24&gt;'Team Setup'!$F$4),"No",IF(WEEKDAY($E24,2)&gt;5,"No","Yes")))</x:f>
      </x:c>
      <x:c r="H24" s="29" t="str">
        <x:f>IF($A24="","",IF(OR($G24&lt;&gt;"Yes",$E24=""),"No",IF(COUNTIFS('Time Off'!$A$9:$A$508,$E24,'Time Off'!$C$9:$C$508,$D24,'Time Off'!$D$9:$D$508,$C24)+COUNTIFS('Time Off'!$A$9:$A$508,$E24,'Time Off'!$C$9:$C$508,$D24,'Time Off'!$D$9:$D$508,"All")&gt;0,"Yes","No")))</x:f>
      </x:c>
      <x:c r="I24" s="29" t="str">
        <x:f>IF($A24="","",IF(OR($G24&lt;&gt;"Yes",$H24="Yes"),0,MIN($F24,SUMIFS('Time Off'!$I$9:$I$508,'Time Off'!$G$9:$G$508,$A24,'Time Off'!$H$9:$H$508,$E24))))</x:f>
      </x:c>
      <x:c r="J24" s="29" t="str">
        <x:f>IF($A24="","",IF(OR($G24&lt;&gt;"Yes",$H24="Yes"),0,MAX(0,$F24-$I24)))</x:f>
      </x:c>
    </x:row>
    <x:row r="25">
      <x:c r="A25" s="27" t="str">
        <x:f>IF('Team Setup'!$A$11="","",'Team Setup'!$A$11)</x:f>
      </x:c>
      <x:c r="B25" s="27" t="str">
        <x:f>IF($A25="","",'Team Setup'!$B$11)</x:f>
      </x:c>
      <x:c r="C25" s="27" t="str">
        <x:f>IF($A25="","",'Team Setup'!$C$11)</x:f>
      </x:c>
      <x:c r="D25" s="27" t="str">
        <x:f>IF($A25="","",'Team Setup'!$D$11)</x:f>
      </x:c>
      <x:c r="E25" s="28" t="str">
        <x:f>IF(OR('Team Setup'!$D$4="",NOT(ISNUMBER('Team Setup'!$D$4))),"",'Team Setup'!$D$4+6)</x:f>
      </x:c>
      <x:c r="F25" s="29" t="str">
        <x:f>IF($A25="","",'Team Setup'!$E$11)</x:f>
      </x:c>
      <x:c r="G25" s="29" t="str">
        <x:f>IF($A25="","",IF(OR($E25="",$E25&lt;'Team Setup'!$D$4,$E25&gt;'Team Setup'!$F$4),"No",IF(WEEKDAY($E25,2)&gt;5,"No","Yes")))</x:f>
      </x:c>
      <x:c r="H25" s="29" t="str">
        <x:f>IF($A25="","",IF(OR($G25&lt;&gt;"Yes",$E25=""),"No",IF(COUNTIFS('Time Off'!$A$9:$A$508,$E25,'Time Off'!$C$9:$C$508,$D25,'Time Off'!$D$9:$D$508,$C25)+COUNTIFS('Time Off'!$A$9:$A$508,$E25,'Time Off'!$C$9:$C$508,$D25,'Time Off'!$D$9:$D$508,"All")&gt;0,"Yes","No")))</x:f>
      </x:c>
      <x:c r="I25" s="29" t="str">
        <x:f>IF($A25="","",IF(OR($G25&lt;&gt;"Yes",$H25="Yes"),0,MIN($F25,SUMIFS('Time Off'!$I$9:$I$508,'Time Off'!$G$9:$G$508,$A25,'Time Off'!$H$9:$H$508,$E25))))</x:f>
      </x:c>
      <x:c r="J25" s="29" t="str">
        <x:f>IF($A25="","",IF(OR($G25&lt;&gt;"Yes",$H25="Yes"),0,MAX(0,$F25-$I25)))</x:f>
      </x:c>
    </x:row>
    <x:row r="26">
      <x:c r="A26" s="27" t="str">
        <x:f>IF('Team Setup'!$A$11="","",'Team Setup'!$A$11)</x:f>
      </x:c>
      <x:c r="B26" s="27" t="str">
        <x:f>IF($A26="","",'Team Setup'!$B$11)</x:f>
      </x:c>
      <x:c r="C26" s="27" t="str">
        <x:f>IF($A26="","",'Team Setup'!$C$11)</x:f>
      </x:c>
      <x:c r="D26" s="27" t="str">
        <x:f>IF($A26="","",'Team Setup'!$D$11)</x:f>
      </x:c>
      <x:c r="E26" s="28" t="str">
        <x:f>IF(OR('Team Setup'!$D$4="",NOT(ISNUMBER('Team Setup'!$D$4))),"",'Team Setup'!$D$4+7)</x:f>
      </x:c>
      <x:c r="F26" s="29" t="str">
        <x:f>IF($A26="","",'Team Setup'!$E$11)</x:f>
      </x:c>
      <x:c r="G26" s="29" t="str">
        <x:f>IF($A26="","",IF(OR($E26="",$E26&lt;'Team Setup'!$D$4,$E26&gt;'Team Setup'!$F$4),"No",IF(WEEKDAY($E26,2)&gt;5,"No","Yes")))</x:f>
      </x:c>
      <x:c r="H26" s="29" t="str">
        <x:f>IF($A26="","",IF(OR($G26&lt;&gt;"Yes",$E26=""),"No",IF(COUNTIFS('Time Off'!$A$9:$A$508,$E26,'Time Off'!$C$9:$C$508,$D26,'Time Off'!$D$9:$D$508,$C26)+COUNTIFS('Time Off'!$A$9:$A$508,$E26,'Time Off'!$C$9:$C$508,$D26,'Time Off'!$D$9:$D$508,"All")&gt;0,"Yes","No")))</x:f>
      </x:c>
      <x:c r="I26" s="29" t="str">
        <x:f>IF($A26="","",IF(OR($G26&lt;&gt;"Yes",$H26="Yes"),0,MIN($F26,SUMIFS('Time Off'!$I$9:$I$508,'Time Off'!$G$9:$G$508,$A26,'Time Off'!$H$9:$H$508,$E26))))</x:f>
      </x:c>
      <x:c r="J26" s="29" t="str">
        <x:f>IF($A26="","",IF(OR($G26&lt;&gt;"Yes",$H26="Yes"),0,MAX(0,$F26-$I26)))</x:f>
      </x:c>
    </x:row>
    <x:row r="27">
      <x:c r="A27" s="27" t="str">
        <x:f>IF('Team Setup'!$A$11="","",'Team Setup'!$A$11)</x:f>
      </x:c>
      <x:c r="B27" s="27" t="str">
        <x:f>IF($A27="","",'Team Setup'!$B$11)</x:f>
      </x:c>
      <x:c r="C27" s="27" t="str">
        <x:f>IF($A27="","",'Team Setup'!$C$11)</x:f>
      </x:c>
      <x:c r="D27" s="27" t="str">
        <x:f>IF($A27="","",'Team Setup'!$D$11)</x:f>
      </x:c>
      <x:c r="E27" s="28" t="str">
        <x:f>IF(OR('Team Setup'!$D$4="",NOT(ISNUMBER('Team Setup'!$D$4))),"",'Team Setup'!$D$4+8)</x:f>
      </x:c>
      <x:c r="F27" s="29" t="str">
        <x:f>IF($A27="","",'Team Setup'!$E$11)</x:f>
      </x:c>
      <x:c r="G27" s="29" t="str">
        <x:f>IF($A27="","",IF(OR($E27="",$E27&lt;'Team Setup'!$D$4,$E27&gt;'Team Setup'!$F$4),"No",IF(WEEKDAY($E27,2)&gt;5,"No","Yes")))</x:f>
      </x:c>
      <x:c r="H27" s="29" t="str">
        <x:f>IF($A27="","",IF(OR($G27&lt;&gt;"Yes",$E27=""),"No",IF(COUNTIFS('Time Off'!$A$9:$A$508,$E27,'Time Off'!$C$9:$C$508,$D27,'Time Off'!$D$9:$D$508,$C27)+COUNTIFS('Time Off'!$A$9:$A$508,$E27,'Time Off'!$C$9:$C$508,$D27,'Time Off'!$D$9:$D$508,"All")&gt;0,"Yes","No")))</x:f>
      </x:c>
      <x:c r="I27" s="29" t="str">
        <x:f>IF($A27="","",IF(OR($G27&lt;&gt;"Yes",$H27="Yes"),0,MIN($F27,SUMIFS('Time Off'!$I$9:$I$508,'Time Off'!$G$9:$G$508,$A27,'Time Off'!$H$9:$H$508,$E27))))</x:f>
      </x:c>
      <x:c r="J27" s="29" t="str">
        <x:f>IF($A27="","",IF(OR($G27&lt;&gt;"Yes",$H27="Yes"),0,MAX(0,$F27-$I27)))</x:f>
      </x:c>
    </x:row>
    <x:row r="28">
      <x:c r="A28" s="27" t="str">
        <x:f>IF('Team Setup'!$A$11="","",'Team Setup'!$A$11)</x:f>
      </x:c>
      <x:c r="B28" s="27" t="str">
        <x:f>IF($A28="","",'Team Setup'!$B$11)</x:f>
      </x:c>
      <x:c r="C28" s="27" t="str">
        <x:f>IF($A28="","",'Team Setup'!$C$11)</x:f>
      </x:c>
      <x:c r="D28" s="27" t="str">
        <x:f>IF($A28="","",'Team Setup'!$D$11)</x:f>
      </x:c>
      <x:c r="E28" s="28" t="str">
        <x:f>IF(OR('Team Setup'!$D$4="",NOT(ISNUMBER('Team Setup'!$D$4))),"",'Team Setup'!$D$4+9)</x:f>
      </x:c>
      <x:c r="F28" s="29" t="str">
        <x:f>IF($A28="","",'Team Setup'!$E$11)</x:f>
      </x:c>
      <x:c r="G28" s="29" t="str">
        <x:f>IF($A28="","",IF(OR($E28="",$E28&lt;'Team Setup'!$D$4,$E28&gt;'Team Setup'!$F$4),"No",IF(WEEKDAY($E28,2)&gt;5,"No","Yes")))</x:f>
      </x:c>
      <x:c r="H28" s="29" t="str">
        <x:f>IF($A28="","",IF(OR($G28&lt;&gt;"Yes",$E28=""),"No",IF(COUNTIFS('Time Off'!$A$9:$A$508,$E28,'Time Off'!$C$9:$C$508,$D28,'Time Off'!$D$9:$D$508,$C28)+COUNTIFS('Time Off'!$A$9:$A$508,$E28,'Time Off'!$C$9:$C$508,$D28,'Time Off'!$D$9:$D$508,"All")&gt;0,"Yes","No")))</x:f>
      </x:c>
      <x:c r="I28" s="29" t="str">
        <x:f>IF($A28="","",IF(OR($G28&lt;&gt;"Yes",$H28="Yes"),0,MIN($F28,SUMIFS('Time Off'!$I$9:$I$508,'Time Off'!$G$9:$G$508,$A28,'Time Off'!$H$9:$H$508,$E28))))</x:f>
      </x:c>
      <x:c r="J28" s="29" t="str">
        <x:f>IF($A28="","",IF(OR($G28&lt;&gt;"Yes",$H28="Yes"),0,MAX(0,$F28-$I28)))</x:f>
      </x:c>
    </x:row>
    <x:row r="29">
      <x:c r="A29" s="27" t="str">
        <x:f>IF('Team Setup'!$A$11="","",'Team Setup'!$A$11)</x:f>
      </x:c>
      <x:c r="B29" s="27" t="str">
        <x:f>IF($A29="","",'Team Setup'!$B$11)</x:f>
      </x:c>
      <x:c r="C29" s="27" t="str">
        <x:f>IF($A29="","",'Team Setup'!$C$11)</x:f>
      </x:c>
      <x:c r="D29" s="27" t="str">
        <x:f>IF($A29="","",'Team Setup'!$D$11)</x:f>
      </x:c>
      <x:c r="E29" s="28" t="str">
        <x:f>IF(OR('Team Setup'!$D$4="",NOT(ISNUMBER('Team Setup'!$D$4))),"",'Team Setup'!$D$4+10)</x:f>
      </x:c>
      <x:c r="F29" s="29" t="str">
        <x:f>IF($A29="","",'Team Setup'!$E$11)</x:f>
      </x:c>
      <x:c r="G29" s="29" t="str">
        <x:f>IF($A29="","",IF(OR($E29="",$E29&lt;'Team Setup'!$D$4,$E29&gt;'Team Setup'!$F$4),"No",IF(WEEKDAY($E29,2)&gt;5,"No","Yes")))</x:f>
      </x:c>
      <x:c r="H29" s="29" t="str">
        <x:f>IF($A29="","",IF(OR($G29&lt;&gt;"Yes",$E29=""),"No",IF(COUNTIFS('Time Off'!$A$9:$A$508,$E29,'Time Off'!$C$9:$C$508,$D29,'Time Off'!$D$9:$D$508,$C29)+COUNTIFS('Time Off'!$A$9:$A$508,$E29,'Time Off'!$C$9:$C$508,$D29,'Time Off'!$D$9:$D$508,"All")&gt;0,"Yes","No")))</x:f>
      </x:c>
      <x:c r="I29" s="29" t="str">
        <x:f>IF($A29="","",IF(OR($G29&lt;&gt;"Yes",$H29="Yes"),0,MIN($F29,SUMIFS('Time Off'!$I$9:$I$508,'Time Off'!$G$9:$G$508,$A29,'Time Off'!$H$9:$H$508,$E29))))</x:f>
      </x:c>
      <x:c r="J29" s="29" t="str">
        <x:f>IF($A29="","",IF(OR($G29&lt;&gt;"Yes",$H29="Yes"),0,MAX(0,$F29-$I29)))</x:f>
      </x:c>
    </x:row>
    <x:row r="30">
      <x:c r="A30" s="27" t="str">
        <x:f>IF('Team Setup'!$A$11="","",'Team Setup'!$A$11)</x:f>
      </x:c>
      <x:c r="B30" s="27" t="str">
        <x:f>IF($A30="","",'Team Setup'!$B$11)</x:f>
      </x:c>
      <x:c r="C30" s="27" t="str">
        <x:f>IF($A30="","",'Team Setup'!$C$11)</x:f>
      </x:c>
      <x:c r="D30" s="27" t="str">
        <x:f>IF($A30="","",'Team Setup'!$D$11)</x:f>
      </x:c>
      <x:c r="E30" s="28" t="str">
        <x:f>IF(OR('Team Setup'!$D$4="",NOT(ISNUMBER('Team Setup'!$D$4))),"",'Team Setup'!$D$4+11)</x:f>
      </x:c>
      <x:c r="F30" s="29" t="str">
        <x:f>IF($A30="","",'Team Setup'!$E$11)</x:f>
      </x:c>
      <x:c r="G30" s="29" t="str">
        <x:f>IF($A30="","",IF(OR($E30="",$E30&lt;'Team Setup'!$D$4,$E30&gt;'Team Setup'!$F$4),"No",IF(WEEKDAY($E30,2)&gt;5,"No","Yes")))</x:f>
      </x:c>
      <x:c r="H30" s="29" t="str">
        <x:f>IF($A30="","",IF(OR($G30&lt;&gt;"Yes",$E30=""),"No",IF(COUNTIFS('Time Off'!$A$9:$A$508,$E30,'Time Off'!$C$9:$C$508,$D30,'Time Off'!$D$9:$D$508,$C30)+COUNTIFS('Time Off'!$A$9:$A$508,$E30,'Time Off'!$C$9:$C$508,$D30,'Time Off'!$D$9:$D$508,"All")&gt;0,"Yes","No")))</x:f>
      </x:c>
      <x:c r="I30" s="29" t="str">
        <x:f>IF($A30="","",IF(OR($G30&lt;&gt;"Yes",$H30="Yes"),0,MIN($F30,SUMIFS('Time Off'!$I$9:$I$508,'Time Off'!$G$9:$G$508,$A30,'Time Off'!$H$9:$H$508,$E30))))</x:f>
      </x:c>
      <x:c r="J30" s="29" t="str">
        <x:f>IF($A30="","",IF(OR($G30&lt;&gt;"Yes",$H30="Yes"),0,MAX(0,$F30-$I30)))</x:f>
      </x:c>
    </x:row>
    <x:row r="31">
      <x:c r="A31" s="27" t="str">
        <x:f>IF('Team Setup'!$A$11="","",'Team Setup'!$A$11)</x:f>
      </x:c>
      <x:c r="B31" s="27" t="str">
        <x:f>IF($A31="","",'Team Setup'!$B$11)</x:f>
      </x:c>
      <x:c r="C31" s="27" t="str">
        <x:f>IF($A31="","",'Team Setup'!$C$11)</x:f>
      </x:c>
      <x:c r="D31" s="27" t="str">
        <x:f>IF($A31="","",'Team Setup'!$D$11)</x:f>
      </x:c>
      <x:c r="E31" s="28" t="str">
        <x:f>IF(OR('Team Setup'!$D$4="",NOT(ISNUMBER('Team Setup'!$D$4))),"",'Team Setup'!$D$4+12)</x:f>
      </x:c>
      <x:c r="F31" s="29" t="str">
        <x:f>IF($A31="","",'Team Setup'!$E$11)</x:f>
      </x:c>
      <x:c r="G31" s="29" t="str">
        <x:f>IF($A31="","",IF(OR($E31="",$E31&lt;'Team Setup'!$D$4,$E31&gt;'Team Setup'!$F$4),"No",IF(WEEKDAY($E31,2)&gt;5,"No","Yes")))</x:f>
      </x:c>
      <x:c r="H31" s="29" t="str">
        <x:f>IF($A31="","",IF(OR($G31&lt;&gt;"Yes",$E31=""),"No",IF(COUNTIFS('Time Off'!$A$9:$A$508,$E31,'Time Off'!$C$9:$C$508,$D31,'Time Off'!$D$9:$D$508,$C31)+COUNTIFS('Time Off'!$A$9:$A$508,$E31,'Time Off'!$C$9:$C$508,$D31,'Time Off'!$D$9:$D$508,"All")&gt;0,"Yes","No")))</x:f>
      </x:c>
      <x:c r="I31" s="29" t="str">
        <x:f>IF($A31="","",IF(OR($G31&lt;&gt;"Yes",$H31="Yes"),0,MIN($F31,SUMIFS('Time Off'!$I$9:$I$508,'Time Off'!$G$9:$G$508,$A31,'Time Off'!$H$9:$H$508,$E31))))</x:f>
      </x:c>
      <x:c r="J31" s="29" t="str">
        <x:f>IF($A31="","",IF(OR($G31&lt;&gt;"Yes",$H31="Yes"),0,MAX(0,$F31-$I31)))</x:f>
      </x:c>
    </x:row>
    <x:row r="32">
      <x:c r="A32" s="27" t="str">
        <x:f>IF('Team Setup'!$A$11="","",'Team Setup'!$A$11)</x:f>
      </x:c>
      <x:c r="B32" s="27" t="str">
        <x:f>IF($A32="","",'Team Setup'!$B$11)</x:f>
      </x:c>
      <x:c r="C32" s="27" t="str">
        <x:f>IF($A32="","",'Team Setup'!$C$11)</x:f>
      </x:c>
      <x:c r="D32" s="27" t="str">
        <x:f>IF($A32="","",'Team Setup'!$D$11)</x:f>
      </x:c>
      <x:c r="E32" s="28" t="str">
        <x:f>IF(OR('Team Setup'!$D$4="",NOT(ISNUMBER('Team Setup'!$D$4))),"",'Team Setup'!$D$4+13)</x:f>
      </x:c>
      <x:c r="F32" s="29" t="str">
        <x:f>IF($A32="","",'Team Setup'!$E$11)</x:f>
      </x:c>
      <x:c r="G32" s="29" t="str">
        <x:f>IF($A32="","",IF(OR($E32="",$E32&lt;'Team Setup'!$D$4,$E32&gt;'Team Setup'!$F$4),"No",IF(WEEKDAY($E32,2)&gt;5,"No","Yes")))</x:f>
      </x:c>
      <x:c r="H32" s="29" t="str">
        <x:f>IF($A32="","",IF(OR($G32&lt;&gt;"Yes",$E32=""),"No",IF(COUNTIFS('Time Off'!$A$9:$A$508,$E32,'Time Off'!$C$9:$C$508,$D32,'Time Off'!$D$9:$D$508,$C32)+COUNTIFS('Time Off'!$A$9:$A$508,$E32,'Time Off'!$C$9:$C$508,$D32,'Time Off'!$D$9:$D$508,"All")&gt;0,"Yes","No")))</x:f>
      </x:c>
      <x:c r="I32" s="29" t="str">
        <x:f>IF($A32="","",IF(OR($G32&lt;&gt;"Yes",$H32="Yes"),0,MIN($F32,SUMIFS('Time Off'!$I$9:$I$508,'Time Off'!$G$9:$G$508,$A32,'Time Off'!$H$9:$H$508,$E32))))</x:f>
      </x:c>
      <x:c r="J32" s="29" t="str">
        <x:f>IF($A32="","",IF(OR($G32&lt;&gt;"Yes",$H32="Yes"),0,MAX(0,$F32-$I32)))</x:f>
      </x:c>
    </x:row>
    <x:row r="33">
      <x:c r="A33" s="27" t="str">
        <x:f>IF('Team Setup'!$A$12="","",'Team Setup'!$A$12)</x:f>
      </x:c>
      <x:c r="B33" s="27" t="str">
        <x:f>IF($A33="","",'Team Setup'!$B$12)</x:f>
      </x:c>
      <x:c r="C33" s="27" t="str">
        <x:f>IF($A33="","",'Team Setup'!$C$12)</x:f>
      </x:c>
      <x:c r="D33" s="27" t="str">
        <x:f>IF($A33="","",'Team Setup'!$D$12)</x:f>
      </x:c>
      <x:c r="E33" s="28" t="str">
        <x:f>IF(OR('Team Setup'!$D$4="",NOT(ISNUMBER('Team Setup'!$D$4))),"",'Team Setup'!$D$4+0)</x:f>
      </x:c>
      <x:c r="F33" s="29" t="str">
        <x:f>IF($A33="","",'Team Setup'!$E$12)</x:f>
      </x:c>
      <x:c r="G33" s="29" t="str">
        <x:f>IF($A33="","",IF(OR($E33="",$E33&lt;'Team Setup'!$D$4,$E33&gt;'Team Setup'!$F$4),"No",IF(WEEKDAY($E33,2)&gt;5,"No","Yes")))</x:f>
      </x:c>
      <x:c r="H33" s="29" t="str">
        <x:f>IF($A33="","",IF(OR($G33&lt;&gt;"Yes",$E33=""),"No",IF(COUNTIFS('Time Off'!$A$9:$A$508,$E33,'Time Off'!$C$9:$C$508,$D33,'Time Off'!$D$9:$D$508,$C33)+COUNTIFS('Time Off'!$A$9:$A$508,$E33,'Time Off'!$C$9:$C$508,$D33,'Time Off'!$D$9:$D$508,"All")&gt;0,"Yes","No")))</x:f>
      </x:c>
      <x:c r="I33" s="29" t="str">
        <x:f>IF($A33="","",IF(OR($G33&lt;&gt;"Yes",$H33="Yes"),0,MIN($F33,SUMIFS('Time Off'!$I$9:$I$508,'Time Off'!$G$9:$G$508,$A33,'Time Off'!$H$9:$H$508,$E33))))</x:f>
      </x:c>
      <x:c r="J33" s="29" t="str">
        <x:f>IF($A33="","",IF(OR($G33&lt;&gt;"Yes",$H33="Yes"),0,MAX(0,$F33-$I33)))</x:f>
      </x:c>
    </x:row>
    <x:row r="34">
      <x:c r="A34" s="27" t="str">
        <x:f>IF('Team Setup'!$A$12="","",'Team Setup'!$A$12)</x:f>
      </x:c>
      <x:c r="B34" s="27" t="str">
        <x:f>IF($A34="","",'Team Setup'!$B$12)</x:f>
      </x:c>
      <x:c r="C34" s="27" t="str">
        <x:f>IF($A34="","",'Team Setup'!$C$12)</x:f>
      </x:c>
      <x:c r="D34" s="27" t="str">
        <x:f>IF($A34="","",'Team Setup'!$D$12)</x:f>
      </x:c>
      <x:c r="E34" s="28" t="str">
        <x:f>IF(OR('Team Setup'!$D$4="",NOT(ISNUMBER('Team Setup'!$D$4))),"",'Team Setup'!$D$4+1)</x:f>
      </x:c>
      <x:c r="F34" s="29" t="str">
        <x:f>IF($A34="","",'Team Setup'!$E$12)</x:f>
      </x:c>
      <x:c r="G34" s="29" t="str">
        <x:f>IF($A34="","",IF(OR($E34="",$E34&lt;'Team Setup'!$D$4,$E34&gt;'Team Setup'!$F$4),"No",IF(WEEKDAY($E34,2)&gt;5,"No","Yes")))</x:f>
      </x:c>
      <x:c r="H34" s="29" t="str">
        <x:f>IF($A34="","",IF(OR($G34&lt;&gt;"Yes",$E34=""),"No",IF(COUNTIFS('Time Off'!$A$9:$A$508,$E34,'Time Off'!$C$9:$C$508,$D34,'Time Off'!$D$9:$D$508,$C34)+COUNTIFS('Time Off'!$A$9:$A$508,$E34,'Time Off'!$C$9:$C$508,$D34,'Time Off'!$D$9:$D$508,"All")&gt;0,"Yes","No")))</x:f>
      </x:c>
      <x:c r="I34" s="29" t="str">
        <x:f>IF($A34="","",IF(OR($G34&lt;&gt;"Yes",$H34="Yes"),0,MIN($F34,SUMIFS('Time Off'!$I$9:$I$508,'Time Off'!$G$9:$G$508,$A34,'Time Off'!$H$9:$H$508,$E34))))</x:f>
      </x:c>
      <x:c r="J34" s="29" t="str">
        <x:f>IF($A34="","",IF(OR($G34&lt;&gt;"Yes",$H34="Yes"),0,MAX(0,$F34-$I34)))</x:f>
      </x:c>
    </x:row>
    <x:row r="35">
      <x:c r="A35" s="27" t="str">
        <x:f>IF('Team Setup'!$A$12="","",'Team Setup'!$A$12)</x:f>
      </x:c>
      <x:c r="B35" s="27" t="str">
        <x:f>IF($A35="","",'Team Setup'!$B$12)</x:f>
      </x:c>
      <x:c r="C35" s="27" t="str">
        <x:f>IF($A35="","",'Team Setup'!$C$12)</x:f>
      </x:c>
      <x:c r="D35" s="27" t="str">
        <x:f>IF($A35="","",'Team Setup'!$D$12)</x:f>
      </x:c>
      <x:c r="E35" s="28" t="str">
        <x:f>IF(OR('Team Setup'!$D$4="",NOT(ISNUMBER('Team Setup'!$D$4))),"",'Team Setup'!$D$4+2)</x:f>
      </x:c>
      <x:c r="F35" s="29" t="str">
        <x:f>IF($A35="","",'Team Setup'!$E$12)</x:f>
      </x:c>
      <x:c r="G35" s="29" t="str">
        <x:f>IF($A35="","",IF(OR($E35="",$E35&lt;'Team Setup'!$D$4,$E35&gt;'Team Setup'!$F$4),"No",IF(WEEKDAY($E35,2)&gt;5,"No","Yes")))</x:f>
      </x:c>
      <x:c r="H35" s="29" t="str">
        <x:f>IF($A35="","",IF(OR($G35&lt;&gt;"Yes",$E35=""),"No",IF(COUNTIFS('Time Off'!$A$9:$A$508,$E35,'Time Off'!$C$9:$C$508,$D35,'Time Off'!$D$9:$D$508,$C35)+COUNTIFS('Time Off'!$A$9:$A$508,$E35,'Time Off'!$C$9:$C$508,$D35,'Time Off'!$D$9:$D$508,"All")&gt;0,"Yes","No")))</x:f>
      </x:c>
      <x:c r="I35" s="29" t="str">
        <x:f>IF($A35="","",IF(OR($G35&lt;&gt;"Yes",$H35="Yes"),0,MIN($F35,SUMIFS('Time Off'!$I$9:$I$508,'Time Off'!$G$9:$G$508,$A35,'Time Off'!$H$9:$H$508,$E35))))</x:f>
      </x:c>
      <x:c r="J35" s="29" t="str">
        <x:f>IF($A35="","",IF(OR($G35&lt;&gt;"Yes",$H35="Yes"),0,MAX(0,$F35-$I35)))</x:f>
      </x:c>
    </x:row>
    <x:row r="36">
      <x:c r="A36" s="27" t="str">
        <x:f>IF('Team Setup'!$A$12="","",'Team Setup'!$A$12)</x:f>
      </x:c>
      <x:c r="B36" s="27" t="str">
        <x:f>IF($A36="","",'Team Setup'!$B$12)</x:f>
      </x:c>
      <x:c r="C36" s="27" t="str">
        <x:f>IF($A36="","",'Team Setup'!$C$12)</x:f>
      </x:c>
      <x:c r="D36" s="27" t="str">
        <x:f>IF($A36="","",'Team Setup'!$D$12)</x:f>
      </x:c>
      <x:c r="E36" s="28" t="str">
        <x:f>IF(OR('Team Setup'!$D$4="",NOT(ISNUMBER('Team Setup'!$D$4))),"",'Team Setup'!$D$4+3)</x:f>
      </x:c>
      <x:c r="F36" s="29" t="str">
        <x:f>IF($A36="","",'Team Setup'!$E$12)</x:f>
      </x:c>
      <x:c r="G36" s="29" t="str">
        <x:f>IF($A36="","",IF(OR($E36="",$E36&lt;'Team Setup'!$D$4,$E36&gt;'Team Setup'!$F$4),"No",IF(WEEKDAY($E36,2)&gt;5,"No","Yes")))</x:f>
      </x:c>
      <x:c r="H36" s="29" t="str">
        <x:f>IF($A36="","",IF(OR($G36&lt;&gt;"Yes",$E36=""),"No",IF(COUNTIFS('Time Off'!$A$9:$A$508,$E36,'Time Off'!$C$9:$C$508,$D36,'Time Off'!$D$9:$D$508,$C36)+COUNTIFS('Time Off'!$A$9:$A$508,$E36,'Time Off'!$C$9:$C$508,$D36,'Time Off'!$D$9:$D$508,"All")&gt;0,"Yes","No")))</x:f>
      </x:c>
      <x:c r="I36" s="29" t="str">
        <x:f>IF($A36="","",IF(OR($G36&lt;&gt;"Yes",$H36="Yes"),0,MIN($F36,SUMIFS('Time Off'!$I$9:$I$508,'Time Off'!$G$9:$G$508,$A36,'Time Off'!$H$9:$H$508,$E36))))</x:f>
      </x:c>
      <x:c r="J36" s="29" t="str">
        <x:f>IF($A36="","",IF(OR($G36&lt;&gt;"Yes",$H36="Yes"),0,MAX(0,$F36-$I36)))</x:f>
      </x:c>
    </x:row>
    <x:row r="37">
      <x:c r="A37" s="27" t="str">
        <x:f>IF('Team Setup'!$A$12="","",'Team Setup'!$A$12)</x:f>
      </x:c>
      <x:c r="B37" s="27" t="str">
        <x:f>IF($A37="","",'Team Setup'!$B$12)</x:f>
      </x:c>
      <x:c r="C37" s="27" t="str">
        <x:f>IF($A37="","",'Team Setup'!$C$12)</x:f>
      </x:c>
      <x:c r="D37" s="27" t="str">
        <x:f>IF($A37="","",'Team Setup'!$D$12)</x:f>
      </x:c>
      <x:c r="E37" s="28" t="str">
        <x:f>IF(OR('Team Setup'!$D$4="",NOT(ISNUMBER('Team Setup'!$D$4))),"",'Team Setup'!$D$4+4)</x:f>
      </x:c>
      <x:c r="F37" s="29" t="str">
        <x:f>IF($A37="","",'Team Setup'!$E$12)</x:f>
      </x:c>
      <x:c r="G37" s="29" t="str">
        <x:f>IF($A37="","",IF(OR($E37="",$E37&lt;'Team Setup'!$D$4,$E37&gt;'Team Setup'!$F$4),"No",IF(WEEKDAY($E37,2)&gt;5,"No","Yes")))</x:f>
      </x:c>
      <x:c r="H37" s="29" t="str">
        <x:f>IF($A37="","",IF(OR($G37&lt;&gt;"Yes",$E37=""),"No",IF(COUNTIFS('Time Off'!$A$9:$A$508,$E37,'Time Off'!$C$9:$C$508,$D37,'Time Off'!$D$9:$D$508,$C37)+COUNTIFS('Time Off'!$A$9:$A$508,$E37,'Time Off'!$C$9:$C$508,$D37,'Time Off'!$D$9:$D$508,"All")&gt;0,"Yes","No")))</x:f>
      </x:c>
      <x:c r="I37" s="29" t="str">
        <x:f>IF($A37="","",IF(OR($G37&lt;&gt;"Yes",$H37="Yes"),0,MIN($F37,SUMIFS('Time Off'!$I$9:$I$508,'Time Off'!$G$9:$G$508,$A37,'Time Off'!$H$9:$H$508,$E37))))</x:f>
      </x:c>
      <x:c r="J37" s="29" t="str">
        <x:f>IF($A37="","",IF(OR($G37&lt;&gt;"Yes",$H37="Yes"),0,MAX(0,$F37-$I37)))</x:f>
      </x:c>
    </x:row>
    <x:row r="38">
      <x:c r="A38" s="27" t="str">
        <x:f>IF('Team Setup'!$A$12="","",'Team Setup'!$A$12)</x:f>
      </x:c>
      <x:c r="B38" s="27" t="str">
        <x:f>IF($A38="","",'Team Setup'!$B$12)</x:f>
      </x:c>
      <x:c r="C38" s="27" t="str">
        <x:f>IF($A38="","",'Team Setup'!$C$12)</x:f>
      </x:c>
      <x:c r="D38" s="27" t="str">
        <x:f>IF($A38="","",'Team Setup'!$D$12)</x:f>
      </x:c>
      <x:c r="E38" s="28" t="str">
        <x:f>IF(OR('Team Setup'!$D$4="",NOT(ISNUMBER('Team Setup'!$D$4))),"",'Team Setup'!$D$4+5)</x:f>
      </x:c>
      <x:c r="F38" s="29" t="str">
        <x:f>IF($A38="","",'Team Setup'!$E$12)</x:f>
      </x:c>
      <x:c r="G38" s="29" t="str">
        <x:f>IF($A38="","",IF(OR($E38="",$E38&lt;'Team Setup'!$D$4,$E38&gt;'Team Setup'!$F$4),"No",IF(WEEKDAY($E38,2)&gt;5,"No","Yes")))</x:f>
      </x:c>
      <x:c r="H38" s="29" t="str">
        <x:f>IF($A38="","",IF(OR($G38&lt;&gt;"Yes",$E38=""),"No",IF(COUNTIFS('Time Off'!$A$9:$A$508,$E38,'Time Off'!$C$9:$C$508,$D38,'Time Off'!$D$9:$D$508,$C38)+COUNTIFS('Time Off'!$A$9:$A$508,$E38,'Time Off'!$C$9:$C$508,$D38,'Time Off'!$D$9:$D$508,"All")&gt;0,"Yes","No")))</x:f>
      </x:c>
      <x:c r="I38" s="29" t="str">
        <x:f>IF($A38="","",IF(OR($G38&lt;&gt;"Yes",$H38="Yes"),0,MIN($F38,SUMIFS('Time Off'!$I$9:$I$508,'Time Off'!$G$9:$G$508,$A38,'Time Off'!$H$9:$H$508,$E38))))</x:f>
      </x:c>
      <x:c r="J38" s="29" t="str">
        <x:f>IF($A38="","",IF(OR($G38&lt;&gt;"Yes",$H38="Yes"),0,MAX(0,$F38-$I38)))</x:f>
      </x:c>
    </x:row>
    <x:row r="39">
      <x:c r="A39" s="27" t="str">
        <x:f>IF('Team Setup'!$A$12="","",'Team Setup'!$A$12)</x:f>
      </x:c>
      <x:c r="B39" s="27" t="str">
        <x:f>IF($A39="","",'Team Setup'!$B$12)</x:f>
      </x:c>
      <x:c r="C39" s="27" t="str">
        <x:f>IF($A39="","",'Team Setup'!$C$12)</x:f>
      </x:c>
      <x:c r="D39" s="27" t="str">
        <x:f>IF($A39="","",'Team Setup'!$D$12)</x:f>
      </x:c>
      <x:c r="E39" s="28" t="str">
        <x:f>IF(OR('Team Setup'!$D$4="",NOT(ISNUMBER('Team Setup'!$D$4))),"",'Team Setup'!$D$4+6)</x:f>
      </x:c>
      <x:c r="F39" s="29" t="str">
        <x:f>IF($A39="","",'Team Setup'!$E$12)</x:f>
      </x:c>
      <x:c r="G39" s="29" t="str">
        <x:f>IF($A39="","",IF(OR($E39="",$E39&lt;'Team Setup'!$D$4,$E39&gt;'Team Setup'!$F$4),"No",IF(WEEKDAY($E39,2)&gt;5,"No","Yes")))</x:f>
      </x:c>
      <x:c r="H39" s="29" t="str">
        <x:f>IF($A39="","",IF(OR($G39&lt;&gt;"Yes",$E39=""),"No",IF(COUNTIFS('Time Off'!$A$9:$A$508,$E39,'Time Off'!$C$9:$C$508,$D39,'Time Off'!$D$9:$D$508,$C39)+COUNTIFS('Time Off'!$A$9:$A$508,$E39,'Time Off'!$C$9:$C$508,$D39,'Time Off'!$D$9:$D$508,"All")&gt;0,"Yes","No")))</x:f>
      </x:c>
      <x:c r="I39" s="29" t="str">
        <x:f>IF($A39="","",IF(OR($G39&lt;&gt;"Yes",$H39="Yes"),0,MIN($F39,SUMIFS('Time Off'!$I$9:$I$508,'Time Off'!$G$9:$G$508,$A39,'Time Off'!$H$9:$H$508,$E39))))</x:f>
      </x:c>
      <x:c r="J39" s="29" t="str">
        <x:f>IF($A39="","",IF(OR($G39&lt;&gt;"Yes",$H39="Yes"),0,MAX(0,$F39-$I39)))</x:f>
      </x:c>
    </x:row>
    <x:row r="40">
      <x:c r="A40" s="27" t="str">
        <x:f>IF('Team Setup'!$A$12="","",'Team Setup'!$A$12)</x:f>
      </x:c>
      <x:c r="B40" s="27" t="str">
        <x:f>IF($A40="","",'Team Setup'!$B$12)</x:f>
      </x:c>
      <x:c r="C40" s="27" t="str">
        <x:f>IF($A40="","",'Team Setup'!$C$12)</x:f>
      </x:c>
      <x:c r="D40" s="27" t="str">
        <x:f>IF($A40="","",'Team Setup'!$D$12)</x:f>
      </x:c>
      <x:c r="E40" s="28" t="str">
        <x:f>IF(OR('Team Setup'!$D$4="",NOT(ISNUMBER('Team Setup'!$D$4))),"",'Team Setup'!$D$4+7)</x:f>
      </x:c>
      <x:c r="F40" s="29" t="str">
        <x:f>IF($A40="","",'Team Setup'!$E$12)</x:f>
      </x:c>
      <x:c r="G40" s="29" t="str">
        <x:f>IF($A40="","",IF(OR($E40="",$E40&lt;'Team Setup'!$D$4,$E40&gt;'Team Setup'!$F$4),"No",IF(WEEKDAY($E40,2)&gt;5,"No","Yes")))</x:f>
      </x:c>
      <x:c r="H40" s="29" t="str">
        <x:f>IF($A40="","",IF(OR($G40&lt;&gt;"Yes",$E40=""),"No",IF(COUNTIFS('Time Off'!$A$9:$A$508,$E40,'Time Off'!$C$9:$C$508,$D40,'Time Off'!$D$9:$D$508,$C40)+COUNTIFS('Time Off'!$A$9:$A$508,$E40,'Time Off'!$C$9:$C$508,$D40,'Time Off'!$D$9:$D$508,"All")&gt;0,"Yes","No")))</x:f>
      </x:c>
      <x:c r="I40" s="29" t="str">
        <x:f>IF($A40="","",IF(OR($G40&lt;&gt;"Yes",$H40="Yes"),0,MIN($F40,SUMIFS('Time Off'!$I$9:$I$508,'Time Off'!$G$9:$G$508,$A40,'Time Off'!$H$9:$H$508,$E40))))</x:f>
      </x:c>
      <x:c r="J40" s="29" t="str">
        <x:f>IF($A40="","",IF(OR($G40&lt;&gt;"Yes",$H40="Yes"),0,MAX(0,$F40-$I40)))</x:f>
      </x:c>
    </x:row>
    <x:row r="41">
      <x:c r="A41" s="27" t="str">
        <x:f>IF('Team Setup'!$A$12="","",'Team Setup'!$A$12)</x:f>
      </x:c>
      <x:c r="B41" s="27" t="str">
        <x:f>IF($A41="","",'Team Setup'!$B$12)</x:f>
      </x:c>
      <x:c r="C41" s="27" t="str">
        <x:f>IF($A41="","",'Team Setup'!$C$12)</x:f>
      </x:c>
      <x:c r="D41" s="27" t="str">
        <x:f>IF($A41="","",'Team Setup'!$D$12)</x:f>
      </x:c>
      <x:c r="E41" s="28" t="str">
        <x:f>IF(OR('Team Setup'!$D$4="",NOT(ISNUMBER('Team Setup'!$D$4))),"",'Team Setup'!$D$4+8)</x:f>
      </x:c>
      <x:c r="F41" s="29" t="str">
        <x:f>IF($A41="","",'Team Setup'!$E$12)</x:f>
      </x:c>
      <x:c r="G41" s="29" t="str">
        <x:f>IF($A41="","",IF(OR($E41="",$E41&lt;'Team Setup'!$D$4,$E41&gt;'Team Setup'!$F$4),"No",IF(WEEKDAY($E41,2)&gt;5,"No","Yes")))</x:f>
      </x:c>
      <x:c r="H41" s="29" t="str">
        <x:f>IF($A41="","",IF(OR($G41&lt;&gt;"Yes",$E41=""),"No",IF(COUNTIFS('Time Off'!$A$9:$A$508,$E41,'Time Off'!$C$9:$C$508,$D41,'Time Off'!$D$9:$D$508,$C41)+COUNTIFS('Time Off'!$A$9:$A$508,$E41,'Time Off'!$C$9:$C$508,$D41,'Time Off'!$D$9:$D$508,"All")&gt;0,"Yes","No")))</x:f>
      </x:c>
      <x:c r="I41" s="29" t="str">
        <x:f>IF($A41="","",IF(OR($G41&lt;&gt;"Yes",$H41="Yes"),0,MIN($F41,SUMIFS('Time Off'!$I$9:$I$508,'Time Off'!$G$9:$G$508,$A41,'Time Off'!$H$9:$H$508,$E41))))</x:f>
      </x:c>
      <x:c r="J41" s="29" t="str">
        <x:f>IF($A41="","",IF(OR($G41&lt;&gt;"Yes",$H41="Yes"),0,MAX(0,$F41-$I41)))</x:f>
      </x:c>
    </x:row>
    <x:row r="42">
      <x:c r="A42" s="27" t="str">
        <x:f>IF('Team Setup'!$A$12="","",'Team Setup'!$A$12)</x:f>
      </x:c>
      <x:c r="B42" s="27" t="str">
        <x:f>IF($A42="","",'Team Setup'!$B$12)</x:f>
      </x:c>
      <x:c r="C42" s="27" t="str">
        <x:f>IF($A42="","",'Team Setup'!$C$12)</x:f>
      </x:c>
      <x:c r="D42" s="27" t="str">
        <x:f>IF($A42="","",'Team Setup'!$D$12)</x:f>
      </x:c>
      <x:c r="E42" s="28" t="str">
        <x:f>IF(OR('Team Setup'!$D$4="",NOT(ISNUMBER('Team Setup'!$D$4))),"",'Team Setup'!$D$4+9)</x:f>
      </x:c>
      <x:c r="F42" s="29" t="str">
        <x:f>IF($A42="","",'Team Setup'!$E$12)</x:f>
      </x:c>
      <x:c r="G42" s="29" t="str">
        <x:f>IF($A42="","",IF(OR($E42="",$E42&lt;'Team Setup'!$D$4,$E42&gt;'Team Setup'!$F$4),"No",IF(WEEKDAY($E42,2)&gt;5,"No","Yes")))</x:f>
      </x:c>
      <x:c r="H42" s="29" t="str">
        <x:f>IF($A42="","",IF(OR($G42&lt;&gt;"Yes",$E42=""),"No",IF(COUNTIFS('Time Off'!$A$9:$A$508,$E42,'Time Off'!$C$9:$C$508,$D42,'Time Off'!$D$9:$D$508,$C42)+COUNTIFS('Time Off'!$A$9:$A$508,$E42,'Time Off'!$C$9:$C$508,$D42,'Time Off'!$D$9:$D$508,"All")&gt;0,"Yes","No")))</x:f>
      </x:c>
      <x:c r="I42" s="29" t="str">
        <x:f>IF($A42="","",IF(OR($G42&lt;&gt;"Yes",$H42="Yes"),0,MIN($F42,SUMIFS('Time Off'!$I$9:$I$508,'Time Off'!$G$9:$G$508,$A42,'Time Off'!$H$9:$H$508,$E42))))</x:f>
      </x:c>
      <x:c r="J42" s="29" t="str">
        <x:f>IF($A42="","",IF(OR($G42&lt;&gt;"Yes",$H42="Yes"),0,MAX(0,$F42-$I42)))</x:f>
      </x:c>
    </x:row>
    <x:row r="43">
      <x:c r="A43" s="27" t="str">
        <x:f>IF('Team Setup'!$A$12="","",'Team Setup'!$A$12)</x:f>
      </x:c>
      <x:c r="B43" s="27" t="str">
        <x:f>IF($A43="","",'Team Setup'!$B$12)</x:f>
      </x:c>
      <x:c r="C43" s="27" t="str">
        <x:f>IF($A43="","",'Team Setup'!$C$12)</x:f>
      </x:c>
      <x:c r="D43" s="27" t="str">
        <x:f>IF($A43="","",'Team Setup'!$D$12)</x:f>
      </x:c>
      <x:c r="E43" s="28" t="str">
        <x:f>IF(OR('Team Setup'!$D$4="",NOT(ISNUMBER('Team Setup'!$D$4))),"",'Team Setup'!$D$4+10)</x:f>
      </x:c>
      <x:c r="F43" s="29" t="str">
        <x:f>IF($A43="","",'Team Setup'!$E$12)</x:f>
      </x:c>
      <x:c r="G43" s="29" t="str">
        <x:f>IF($A43="","",IF(OR($E43="",$E43&lt;'Team Setup'!$D$4,$E43&gt;'Team Setup'!$F$4),"No",IF(WEEKDAY($E43,2)&gt;5,"No","Yes")))</x:f>
      </x:c>
      <x:c r="H43" s="29" t="str">
        <x:f>IF($A43="","",IF(OR($G43&lt;&gt;"Yes",$E43=""),"No",IF(COUNTIFS('Time Off'!$A$9:$A$508,$E43,'Time Off'!$C$9:$C$508,$D43,'Time Off'!$D$9:$D$508,$C43)+COUNTIFS('Time Off'!$A$9:$A$508,$E43,'Time Off'!$C$9:$C$508,$D43,'Time Off'!$D$9:$D$508,"All")&gt;0,"Yes","No")))</x:f>
      </x:c>
      <x:c r="I43" s="29" t="str">
        <x:f>IF($A43="","",IF(OR($G43&lt;&gt;"Yes",$H43="Yes"),0,MIN($F43,SUMIFS('Time Off'!$I$9:$I$508,'Time Off'!$G$9:$G$508,$A43,'Time Off'!$H$9:$H$508,$E43))))</x:f>
      </x:c>
      <x:c r="J43" s="29" t="str">
        <x:f>IF($A43="","",IF(OR($G43&lt;&gt;"Yes",$H43="Yes"),0,MAX(0,$F43-$I43)))</x:f>
      </x:c>
    </x:row>
    <x:row r="44">
      <x:c r="A44" s="27" t="str">
        <x:f>IF('Team Setup'!$A$12="","",'Team Setup'!$A$12)</x:f>
      </x:c>
      <x:c r="B44" s="27" t="str">
        <x:f>IF($A44="","",'Team Setup'!$B$12)</x:f>
      </x:c>
      <x:c r="C44" s="27" t="str">
        <x:f>IF($A44="","",'Team Setup'!$C$12)</x:f>
      </x:c>
      <x:c r="D44" s="27" t="str">
        <x:f>IF($A44="","",'Team Setup'!$D$12)</x:f>
      </x:c>
      <x:c r="E44" s="28" t="str">
        <x:f>IF(OR('Team Setup'!$D$4="",NOT(ISNUMBER('Team Setup'!$D$4))),"",'Team Setup'!$D$4+11)</x:f>
      </x:c>
      <x:c r="F44" s="29" t="str">
        <x:f>IF($A44="","",'Team Setup'!$E$12)</x:f>
      </x:c>
      <x:c r="G44" s="29" t="str">
        <x:f>IF($A44="","",IF(OR($E44="",$E44&lt;'Team Setup'!$D$4,$E44&gt;'Team Setup'!$F$4),"No",IF(WEEKDAY($E44,2)&gt;5,"No","Yes")))</x:f>
      </x:c>
      <x:c r="H44" s="29" t="str">
        <x:f>IF($A44="","",IF(OR($G44&lt;&gt;"Yes",$E44=""),"No",IF(COUNTIFS('Time Off'!$A$9:$A$508,$E44,'Time Off'!$C$9:$C$508,$D44,'Time Off'!$D$9:$D$508,$C44)+COUNTIFS('Time Off'!$A$9:$A$508,$E44,'Time Off'!$C$9:$C$508,$D44,'Time Off'!$D$9:$D$508,"All")&gt;0,"Yes","No")))</x:f>
      </x:c>
      <x:c r="I44" s="29" t="str">
        <x:f>IF($A44="","",IF(OR($G44&lt;&gt;"Yes",$H44="Yes"),0,MIN($F44,SUMIFS('Time Off'!$I$9:$I$508,'Time Off'!$G$9:$G$508,$A44,'Time Off'!$H$9:$H$508,$E44))))</x:f>
      </x:c>
      <x:c r="J44" s="29" t="str">
        <x:f>IF($A44="","",IF(OR($G44&lt;&gt;"Yes",$H44="Yes"),0,MAX(0,$F44-$I44)))</x:f>
      </x:c>
    </x:row>
    <x:row r="45">
      <x:c r="A45" s="27" t="str">
        <x:f>IF('Team Setup'!$A$12="","",'Team Setup'!$A$12)</x:f>
      </x:c>
      <x:c r="B45" s="27" t="str">
        <x:f>IF($A45="","",'Team Setup'!$B$12)</x:f>
      </x:c>
      <x:c r="C45" s="27" t="str">
        <x:f>IF($A45="","",'Team Setup'!$C$12)</x:f>
      </x:c>
      <x:c r="D45" s="27" t="str">
        <x:f>IF($A45="","",'Team Setup'!$D$12)</x:f>
      </x:c>
      <x:c r="E45" s="28" t="str">
        <x:f>IF(OR('Team Setup'!$D$4="",NOT(ISNUMBER('Team Setup'!$D$4))),"",'Team Setup'!$D$4+12)</x:f>
      </x:c>
      <x:c r="F45" s="29" t="str">
        <x:f>IF($A45="","",'Team Setup'!$E$12)</x:f>
      </x:c>
      <x:c r="G45" s="29" t="str">
        <x:f>IF($A45="","",IF(OR($E45="",$E45&lt;'Team Setup'!$D$4,$E45&gt;'Team Setup'!$F$4),"No",IF(WEEKDAY($E45,2)&gt;5,"No","Yes")))</x:f>
      </x:c>
      <x:c r="H45" s="29" t="str">
        <x:f>IF($A45="","",IF(OR($G45&lt;&gt;"Yes",$E45=""),"No",IF(COUNTIFS('Time Off'!$A$9:$A$508,$E45,'Time Off'!$C$9:$C$508,$D45,'Time Off'!$D$9:$D$508,$C45)+COUNTIFS('Time Off'!$A$9:$A$508,$E45,'Time Off'!$C$9:$C$508,$D45,'Time Off'!$D$9:$D$508,"All")&gt;0,"Yes","No")))</x:f>
      </x:c>
      <x:c r="I45" s="29" t="str">
        <x:f>IF($A45="","",IF(OR($G45&lt;&gt;"Yes",$H45="Yes"),0,MIN($F45,SUMIFS('Time Off'!$I$9:$I$508,'Time Off'!$G$9:$G$508,$A45,'Time Off'!$H$9:$H$508,$E45))))</x:f>
      </x:c>
      <x:c r="J45" s="29" t="str">
        <x:f>IF($A45="","",IF(OR($G45&lt;&gt;"Yes",$H45="Yes"),0,MAX(0,$F45-$I45)))</x:f>
      </x:c>
    </x:row>
    <x:row r="46">
      <x:c r="A46" s="27" t="str">
        <x:f>IF('Team Setup'!$A$12="","",'Team Setup'!$A$12)</x:f>
      </x:c>
      <x:c r="B46" s="27" t="str">
        <x:f>IF($A46="","",'Team Setup'!$B$12)</x:f>
      </x:c>
      <x:c r="C46" s="27" t="str">
        <x:f>IF($A46="","",'Team Setup'!$C$12)</x:f>
      </x:c>
      <x:c r="D46" s="27" t="str">
        <x:f>IF($A46="","",'Team Setup'!$D$12)</x:f>
      </x:c>
      <x:c r="E46" s="28" t="str">
        <x:f>IF(OR('Team Setup'!$D$4="",NOT(ISNUMBER('Team Setup'!$D$4))),"",'Team Setup'!$D$4+13)</x:f>
      </x:c>
      <x:c r="F46" s="29" t="str">
        <x:f>IF($A46="","",'Team Setup'!$E$12)</x:f>
      </x:c>
      <x:c r="G46" s="29" t="str">
        <x:f>IF($A46="","",IF(OR($E46="",$E46&lt;'Team Setup'!$D$4,$E46&gt;'Team Setup'!$F$4),"No",IF(WEEKDAY($E46,2)&gt;5,"No","Yes")))</x:f>
      </x:c>
      <x:c r="H46" s="29" t="str">
        <x:f>IF($A46="","",IF(OR($G46&lt;&gt;"Yes",$E46=""),"No",IF(COUNTIFS('Time Off'!$A$9:$A$508,$E46,'Time Off'!$C$9:$C$508,$D46,'Time Off'!$D$9:$D$508,$C46)+COUNTIFS('Time Off'!$A$9:$A$508,$E46,'Time Off'!$C$9:$C$508,$D46,'Time Off'!$D$9:$D$508,"All")&gt;0,"Yes","No")))</x:f>
      </x:c>
      <x:c r="I46" s="29" t="str">
        <x:f>IF($A46="","",IF(OR($G46&lt;&gt;"Yes",$H46="Yes"),0,MIN($F46,SUMIFS('Time Off'!$I$9:$I$508,'Time Off'!$G$9:$G$508,$A46,'Time Off'!$H$9:$H$508,$E46))))</x:f>
      </x:c>
      <x:c r="J46" s="29" t="str">
        <x:f>IF($A46="","",IF(OR($G46&lt;&gt;"Yes",$H46="Yes"),0,MAX(0,$F46-$I46)))</x:f>
      </x:c>
    </x:row>
    <x:row r="47">
      <x:c r="A47" s="27" t="str">
        <x:f>IF('Team Setup'!$A$13="","",'Team Setup'!$A$13)</x:f>
      </x:c>
      <x:c r="B47" s="27" t="str">
        <x:f>IF($A47="","",'Team Setup'!$B$13)</x:f>
      </x:c>
      <x:c r="C47" s="27" t="str">
        <x:f>IF($A47="","",'Team Setup'!$C$13)</x:f>
      </x:c>
      <x:c r="D47" s="27" t="str">
        <x:f>IF($A47="","",'Team Setup'!$D$13)</x:f>
      </x:c>
      <x:c r="E47" s="28" t="str">
        <x:f>IF(OR('Team Setup'!$D$4="",NOT(ISNUMBER('Team Setup'!$D$4))),"",'Team Setup'!$D$4+0)</x:f>
      </x:c>
      <x:c r="F47" s="29" t="str">
        <x:f>IF($A47="","",'Team Setup'!$E$13)</x:f>
      </x:c>
      <x:c r="G47" s="29" t="str">
        <x:f>IF($A47="","",IF(OR($E47="",$E47&lt;'Team Setup'!$D$4,$E47&gt;'Team Setup'!$F$4),"No",IF(WEEKDAY($E47,2)&gt;5,"No","Yes")))</x:f>
      </x:c>
      <x:c r="H47" s="29" t="str">
        <x:f>IF($A47="","",IF(OR($G47&lt;&gt;"Yes",$E47=""),"No",IF(COUNTIFS('Time Off'!$A$9:$A$508,$E47,'Time Off'!$C$9:$C$508,$D47,'Time Off'!$D$9:$D$508,$C47)+COUNTIFS('Time Off'!$A$9:$A$508,$E47,'Time Off'!$C$9:$C$508,$D47,'Time Off'!$D$9:$D$508,"All")&gt;0,"Yes","No")))</x:f>
      </x:c>
      <x:c r="I47" s="29" t="str">
        <x:f>IF($A47="","",IF(OR($G47&lt;&gt;"Yes",$H47="Yes"),0,MIN($F47,SUMIFS('Time Off'!$I$9:$I$508,'Time Off'!$G$9:$G$508,$A47,'Time Off'!$H$9:$H$508,$E47))))</x:f>
      </x:c>
      <x:c r="J47" s="29" t="str">
        <x:f>IF($A47="","",IF(OR($G47&lt;&gt;"Yes",$H47="Yes"),0,MAX(0,$F47-$I47)))</x:f>
      </x:c>
    </x:row>
    <x:row r="48">
      <x:c r="A48" s="27" t="str">
        <x:f>IF('Team Setup'!$A$13="","",'Team Setup'!$A$13)</x:f>
      </x:c>
      <x:c r="B48" s="27" t="str">
        <x:f>IF($A48="","",'Team Setup'!$B$13)</x:f>
      </x:c>
      <x:c r="C48" s="27" t="str">
        <x:f>IF($A48="","",'Team Setup'!$C$13)</x:f>
      </x:c>
      <x:c r="D48" s="27" t="str">
        <x:f>IF($A48="","",'Team Setup'!$D$13)</x:f>
      </x:c>
      <x:c r="E48" s="28" t="str">
        <x:f>IF(OR('Team Setup'!$D$4="",NOT(ISNUMBER('Team Setup'!$D$4))),"",'Team Setup'!$D$4+1)</x:f>
      </x:c>
      <x:c r="F48" s="29" t="str">
        <x:f>IF($A48="","",'Team Setup'!$E$13)</x:f>
      </x:c>
      <x:c r="G48" s="29" t="str">
        <x:f>IF($A48="","",IF(OR($E48="",$E48&lt;'Team Setup'!$D$4,$E48&gt;'Team Setup'!$F$4),"No",IF(WEEKDAY($E48,2)&gt;5,"No","Yes")))</x:f>
      </x:c>
      <x:c r="H48" s="29" t="str">
        <x:f>IF($A48="","",IF(OR($G48&lt;&gt;"Yes",$E48=""),"No",IF(COUNTIFS('Time Off'!$A$9:$A$508,$E48,'Time Off'!$C$9:$C$508,$D48,'Time Off'!$D$9:$D$508,$C48)+COUNTIFS('Time Off'!$A$9:$A$508,$E48,'Time Off'!$C$9:$C$508,$D48,'Time Off'!$D$9:$D$508,"All")&gt;0,"Yes","No")))</x:f>
      </x:c>
      <x:c r="I48" s="29" t="str">
        <x:f>IF($A48="","",IF(OR($G48&lt;&gt;"Yes",$H48="Yes"),0,MIN($F48,SUMIFS('Time Off'!$I$9:$I$508,'Time Off'!$G$9:$G$508,$A48,'Time Off'!$H$9:$H$508,$E48))))</x:f>
      </x:c>
      <x:c r="J48" s="29" t="str">
        <x:f>IF($A48="","",IF(OR($G48&lt;&gt;"Yes",$H48="Yes"),0,MAX(0,$F48-$I48)))</x:f>
      </x:c>
    </x:row>
    <x:row r="49">
      <x:c r="A49" s="27" t="str">
        <x:f>IF('Team Setup'!$A$13="","",'Team Setup'!$A$13)</x:f>
      </x:c>
      <x:c r="B49" s="27" t="str">
        <x:f>IF($A49="","",'Team Setup'!$B$13)</x:f>
      </x:c>
      <x:c r="C49" s="27" t="str">
        <x:f>IF($A49="","",'Team Setup'!$C$13)</x:f>
      </x:c>
      <x:c r="D49" s="27" t="str">
        <x:f>IF($A49="","",'Team Setup'!$D$13)</x:f>
      </x:c>
      <x:c r="E49" s="28" t="str">
        <x:f>IF(OR('Team Setup'!$D$4="",NOT(ISNUMBER('Team Setup'!$D$4))),"",'Team Setup'!$D$4+2)</x:f>
      </x:c>
      <x:c r="F49" s="29" t="str">
        <x:f>IF($A49="","",'Team Setup'!$E$13)</x:f>
      </x:c>
      <x:c r="G49" s="29" t="str">
        <x:f>IF($A49="","",IF(OR($E49="",$E49&lt;'Team Setup'!$D$4,$E49&gt;'Team Setup'!$F$4),"No",IF(WEEKDAY($E49,2)&gt;5,"No","Yes")))</x:f>
      </x:c>
      <x:c r="H49" s="29" t="str">
        <x:f>IF($A49="","",IF(OR($G49&lt;&gt;"Yes",$E49=""),"No",IF(COUNTIFS('Time Off'!$A$9:$A$508,$E49,'Time Off'!$C$9:$C$508,$D49,'Time Off'!$D$9:$D$508,$C49)+COUNTIFS('Time Off'!$A$9:$A$508,$E49,'Time Off'!$C$9:$C$508,$D49,'Time Off'!$D$9:$D$508,"All")&gt;0,"Yes","No")))</x:f>
      </x:c>
      <x:c r="I49" s="29" t="str">
        <x:f>IF($A49="","",IF(OR($G49&lt;&gt;"Yes",$H49="Yes"),0,MIN($F49,SUMIFS('Time Off'!$I$9:$I$508,'Time Off'!$G$9:$G$508,$A49,'Time Off'!$H$9:$H$508,$E49))))</x:f>
      </x:c>
      <x:c r="J49" s="29" t="str">
        <x:f>IF($A49="","",IF(OR($G49&lt;&gt;"Yes",$H49="Yes"),0,MAX(0,$F49-$I49)))</x:f>
      </x:c>
    </x:row>
    <x:row r="50">
      <x:c r="A50" s="27" t="str">
        <x:f>IF('Team Setup'!$A$13="","",'Team Setup'!$A$13)</x:f>
      </x:c>
      <x:c r="B50" s="27" t="str">
        <x:f>IF($A50="","",'Team Setup'!$B$13)</x:f>
      </x:c>
      <x:c r="C50" s="27" t="str">
        <x:f>IF($A50="","",'Team Setup'!$C$13)</x:f>
      </x:c>
      <x:c r="D50" s="27" t="str">
        <x:f>IF($A50="","",'Team Setup'!$D$13)</x:f>
      </x:c>
      <x:c r="E50" s="28" t="str">
        <x:f>IF(OR('Team Setup'!$D$4="",NOT(ISNUMBER('Team Setup'!$D$4))),"",'Team Setup'!$D$4+3)</x:f>
      </x:c>
      <x:c r="F50" s="29" t="str">
        <x:f>IF($A50="","",'Team Setup'!$E$13)</x:f>
      </x:c>
      <x:c r="G50" s="29" t="str">
        <x:f>IF($A50="","",IF(OR($E50="",$E50&lt;'Team Setup'!$D$4,$E50&gt;'Team Setup'!$F$4),"No",IF(WEEKDAY($E50,2)&gt;5,"No","Yes")))</x:f>
      </x:c>
      <x:c r="H50" s="29" t="str">
        <x:f>IF($A50="","",IF(OR($G50&lt;&gt;"Yes",$E50=""),"No",IF(COUNTIFS('Time Off'!$A$9:$A$508,$E50,'Time Off'!$C$9:$C$508,$D50,'Time Off'!$D$9:$D$508,$C50)+COUNTIFS('Time Off'!$A$9:$A$508,$E50,'Time Off'!$C$9:$C$508,$D50,'Time Off'!$D$9:$D$508,"All")&gt;0,"Yes","No")))</x:f>
      </x:c>
      <x:c r="I50" s="29" t="str">
        <x:f>IF($A50="","",IF(OR($G50&lt;&gt;"Yes",$H50="Yes"),0,MIN($F50,SUMIFS('Time Off'!$I$9:$I$508,'Time Off'!$G$9:$G$508,$A50,'Time Off'!$H$9:$H$508,$E50))))</x:f>
      </x:c>
      <x:c r="J50" s="29" t="str">
        <x:f>IF($A50="","",IF(OR($G50&lt;&gt;"Yes",$H50="Yes"),0,MAX(0,$F50-$I50)))</x:f>
      </x:c>
    </x:row>
    <x:row r="51">
      <x:c r="A51" s="27" t="str">
        <x:f>IF('Team Setup'!$A$13="","",'Team Setup'!$A$13)</x:f>
      </x:c>
      <x:c r="B51" s="27" t="str">
        <x:f>IF($A51="","",'Team Setup'!$B$13)</x:f>
      </x:c>
      <x:c r="C51" s="27" t="str">
        <x:f>IF($A51="","",'Team Setup'!$C$13)</x:f>
      </x:c>
      <x:c r="D51" s="27" t="str">
        <x:f>IF($A51="","",'Team Setup'!$D$13)</x:f>
      </x:c>
      <x:c r="E51" s="28" t="str">
        <x:f>IF(OR('Team Setup'!$D$4="",NOT(ISNUMBER('Team Setup'!$D$4))),"",'Team Setup'!$D$4+4)</x:f>
      </x:c>
      <x:c r="F51" s="29" t="str">
        <x:f>IF($A51="","",'Team Setup'!$E$13)</x:f>
      </x:c>
      <x:c r="G51" s="29" t="str">
        <x:f>IF($A51="","",IF(OR($E51="",$E51&lt;'Team Setup'!$D$4,$E51&gt;'Team Setup'!$F$4),"No",IF(WEEKDAY($E51,2)&gt;5,"No","Yes")))</x:f>
      </x:c>
      <x:c r="H51" s="29" t="str">
        <x:f>IF($A51="","",IF(OR($G51&lt;&gt;"Yes",$E51=""),"No",IF(COUNTIFS('Time Off'!$A$9:$A$508,$E51,'Time Off'!$C$9:$C$508,$D51,'Time Off'!$D$9:$D$508,$C51)+COUNTIFS('Time Off'!$A$9:$A$508,$E51,'Time Off'!$C$9:$C$508,$D51,'Time Off'!$D$9:$D$508,"All")&gt;0,"Yes","No")))</x:f>
      </x:c>
      <x:c r="I51" s="29" t="str">
        <x:f>IF($A51="","",IF(OR($G51&lt;&gt;"Yes",$H51="Yes"),0,MIN($F51,SUMIFS('Time Off'!$I$9:$I$508,'Time Off'!$G$9:$G$508,$A51,'Time Off'!$H$9:$H$508,$E51))))</x:f>
      </x:c>
      <x:c r="J51" s="29" t="str">
        <x:f>IF($A51="","",IF(OR($G51&lt;&gt;"Yes",$H51="Yes"),0,MAX(0,$F51-$I51)))</x:f>
      </x:c>
    </x:row>
    <x:row r="52">
      <x:c r="A52" s="27" t="str">
        <x:f>IF('Team Setup'!$A$13="","",'Team Setup'!$A$13)</x:f>
      </x:c>
      <x:c r="B52" s="27" t="str">
        <x:f>IF($A52="","",'Team Setup'!$B$13)</x:f>
      </x:c>
      <x:c r="C52" s="27" t="str">
        <x:f>IF($A52="","",'Team Setup'!$C$13)</x:f>
      </x:c>
      <x:c r="D52" s="27" t="str">
        <x:f>IF($A52="","",'Team Setup'!$D$13)</x:f>
      </x:c>
      <x:c r="E52" s="28" t="str">
        <x:f>IF(OR('Team Setup'!$D$4="",NOT(ISNUMBER('Team Setup'!$D$4))),"",'Team Setup'!$D$4+5)</x:f>
      </x:c>
      <x:c r="F52" s="29" t="str">
        <x:f>IF($A52="","",'Team Setup'!$E$13)</x:f>
      </x:c>
      <x:c r="G52" s="29" t="str">
        <x:f>IF($A52="","",IF(OR($E52="",$E52&lt;'Team Setup'!$D$4,$E52&gt;'Team Setup'!$F$4),"No",IF(WEEKDAY($E52,2)&gt;5,"No","Yes")))</x:f>
      </x:c>
      <x:c r="H52" s="29" t="str">
        <x:f>IF($A52="","",IF(OR($G52&lt;&gt;"Yes",$E52=""),"No",IF(COUNTIFS('Time Off'!$A$9:$A$508,$E52,'Time Off'!$C$9:$C$508,$D52,'Time Off'!$D$9:$D$508,$C52)+COUNTIFS('Time Off'!$A$9:$A$508,$E52,'Time Off'!$C$9:$C$508,$D52,'Time Off'!$D$9:$D$508,"All")&gt;0,"Yes","No")))</x:f>
      </x:c>
      <x:c r="I52" s="29" t="str">
        <x:f>IF($A52="","",IF(OR($G52&lt;&gt;"Yes",$H52="Yes"),0,MIN($F52,SUMIFS('Time Off'!$I$9:$I$508,'Time Off'!$G$9:$G$508,$A52,'Time Off'!$H$9:$H$508,$E52))))</x:f>
      </x:c>
      <x:c r="J52" s="29" t="str">
        <x:f>IF($A52="","",IF(OR($G52&lt;&gt;"Yes",$H52="Yes"),0,MAX(0,$F52-$I52)))</x:f>
      </x:c>
    </x:row>
    <x:row r="53">
      <x:c r="A53" s="27" t="str">
        <x:f>IF('Team Setup'!$A$13="","",'Team Setup'!$A$13)</x:f>
      </x:c>
      <x:c r="B53" s="27" t="str">
        <x:f>IF($A53="","",'Team Setup'!$B$13)</x:f>
      </x:c>
      <x:c r="C53" s="27" t="str">
        <x:f>IF($A53="","",'Team Setup'!$C$13)</x:f>
      </x:c>
      <x:c r="D53" s="27" t="str">
        <x:f>IF($A53="","",'Team Setup'!$D$13)</x:f>
      </x:c>
      <x:c r="E53" s="28" t="str">
        <x:f>IF(OR('Team Setup'!$D$4="",NOT(ISNUMBER('Team Setup'!$D$4))),"",'Team Setup'!$D$4+6)</x:f>
      </x:c>
      <x:c r="F53" s="29" t="str">
        <x:f>IF($A53="","",'Team Setup'!$E$13)</x:f>
      </x:c>
      <x:c r="G53" s="29" t="str">
        <x:f>IF($A53="","",IF(OR($E53="",$E53&lt;'Team Setup'!$D$4,$E53&gt;'Team Setup'!$F$4),"No",IF(WEEKDAY($E53,2)&gt;5,"No","Yes")))</x:f>
      </x:c>
      <x:c r="H53" s="29" t="str">
        <x:f>IF($A53="","",IF(OR($G53&lt;&gt;"Yes",$E53=""),"No",IF(COUNTIFS('Time Off'!$A$9:$A$508,$E53,'Time Off'!$C$9:$C$508,$D53,'Time Off'!$D$9:$D$508,$C53)+COUNTIFS('Time Off'!$A$9:$A$508,$E53,'Time Off'!$C$9:$C$508,$D53,'Time Off'!$D$9:$D$508,"All")&gt;0,"Yes","No")))</x:f>
      </x:c>
      <x:c r="I53" s="29" t="str">
        <x:f>IF($A53="","",IF(OR($G53&lt;&gt;"Yes",$H53="Yes"),0,MIN($F53,SUMIFS('Time Off'!$I$9:$I$508,'Time Off'!$G$9:$G$508,$A53,'Time Off'!$H$9:$H$508,$E53))))</x:f>
      </x:c>
      <x:c r="J53" s="29" t="str">
        <x:f>IF($A53="","",IF(OR($G53&lt;&gt;"Yes",$H53="Yes"),0,MAX(0,$F53-$I53)))</x:f>
      </x:c>
    </x:row>
    <x:row r="54">
      <x:c r="A54" s="27" t="str">
        <x:f>IF('Team Setup'!$A$13="","",'Team Setup'!$A$13)</x:f>
      </x:c>
      <x:c r="B54" s="27" t="str">
        <x:f>IF($A54="","",'Team Setup'!$B$13)</x:f>
      </x:c>
      <x:c r="C54" s="27" t="str">
        <x:f>IF($A54="","",'Team Setup'!$C$13)</x:f>
      </x:c>
      <x:c r="D54" s="27" t="str">
        <x:f>IF($A54="","",'Team Setup'!$D$13)</x:f>
      </x:c>
      <x:c r="E54" s="28" t="str">
        <x:f>IF(OR('Team Setup'!$D$4="",NOT(ISNUMBER('Team Setup'!$D$4))),"",'Team Setup'!$D$4+7)</x:f>
      </x:c>
      <x:c r="F54" s="29" t="str">
        <x:f>IF($A54="","",'Team Setup'!$E$13)</x:f>
      </x:c>
      <x:c r="G54" s="29" t="str">
        <x:f>IF($A54="","",IF(OR($E54="",$E54&lt;'Team Setup'!$D$4,$E54&gt;'Team Setup'!$F$4),"No",IF(WEEKDAY($E54,2)&gt;5,"No","Yes")))</x:f>
      </x:c>
      <x:c r="H54" s="29" t="str">
        <x:f>IF($A54="","",IF(OR($G54&lt;&gt;"Yes",$E54=""),"No",IF(COUNTIFS('Time Off'!$A$9:$A$508,$E54,'Time Off'!$C$9:$C$508,$D54,'Time Off'!$D$9:$D$508,$C54)+COUNTIFS('Time Off'!$A$9:$A$508,$E54,'Time Off'!$C$9:$C$508,$D54,'Time Off'!$D$9:$D$508,"All")&gt;0,"Yes","No")))</x:f>
      </x:c>
      <x:c r="I54" s="29" t="str">
        <x:f>IF($A54="","",IF(OR($G54&lt;&gt;"Yes",$H54="Yes"),0,MIN($F54,SUMIFS('Time Off'!$I$9:$I$508,'Time Off'!$G$9:$G$508,$A54,'Time Off'!$H$9:$H$508,$E54))))</x:f>
      </x:c>
      <x:c r="J54" s="29" t="str">
        <x:f>IF($A54="","",IF(OR($G54&lt;&gt;"Yes",$H54="Yes"),0,MAX(0,$F54-$I54)))</x:f>
      </x:c>
    </x:row>
    <x:row r="55">
      <x:c r="A55" s="27" t="str">
        <x:f>IF('Team Setup'!$A$13="","",'Team Setup'!$A$13)</x:f>
      </x:c>
      <x:c r="B55" s="27" t="str">
        <x:f>IF($A55="","",'Team Setup'!$B$13)</x:f>
      </x:c>
      <x:c r="C55" s="27" t="str">
        <x:f>IF($A55="","",'Team Setup'!$C$13)</x:f>
      </x:c>
      <x:c r="D55" s="27" t="str">
        <x:f>IF($A55="","",'Team Setup'!$D$13)</x:f>
      </x:c>
      <x:c r="E55" s="28" t="str">
        <x:f>IF(OR('Team Setup'!$D$4="",NOT(ISNUMBER('Team Setup'!$D$4))),"",'Team Setup'!$D$4+8)</x:f>
      </x:c>
      <x:c r="F55" s="29" t="str">
        <x:f>IF($A55="","",'Team Setup'!$E$13)</x:f>
      </x:c>
      <x:c r="G55" s="29" t="str">
        <x:f>IF($A55="","",IF(OR($E55="",$E55&lt;'Team Setup'!$D$4,$E55&gt;'Team Setup'!$F$4),"No",IF(WEEKDAY($E55,2)&gt;5,"No","Yes")))</x:f>
      </x:c>
      <x:c r="H55" s="29" t="str">
        <x:f>IF($A55="","",IF(OR($G55&lt;&gt;"Yes",$E55=""),"No",IF(COUNTIFS('Time Off'!$A$9:$A$508,$E55,'Time Off'!$C$9:$C$508,$D55,'Time Off'!$D$9:$D$508,$C55)+COUNTIFS('Time Off'!$A$9:$A$508,$E55,'Time Off'!$C$9:$C$508,$D55,'Time Off'!$D$9:$D$508,"All")&gt;0,"Yes","No")))</x:f>
      </x:c>
      <x:c r="I55" s="29" t="str">
        <x:f>IF($A55="","",IF(OR($G55&lt;&gt;"Yes",$H55="Yes"),0,MIN($F55,SUMIFS('Time Off'!$I$9:$I$508,'Time Off'!$G$9:$G$508,$A55,'Time Off'!$H$9:$H$508,$E55))))</x:f>
      </x:c>
      <x:c r="J55" s="29" t="str">
        <x:f>IF($A55="","",IF(OR($G55&lt;&gt;"Yes",$H55="Yes"),0,MAX(0,$F55-$I55)))</x:f>
      </x:c>
    </x:row>
    <x:row r="56">
      <x:c r="A56" s="27" t="str">
        <x:f>IF('Team Setup'!$A$13="","",'Team Setup'!$A$13)</x:f>
      </x:c>
      <x:c r="B56" s="27" t="str">
        <x:f>IF($A56="","",'Team Setup'!$B$13)</x:f>
      </x:c>
      <x:c r="C56" s="27" t="str">
        <x:f>IF($A56="","",'Team Setup'!$C$13)</x:f>
      </x:c>
      <x:c r="D56" s="27" t="str">
        <x:f>IF($A56="","",'Team Setup'!$D$13)</x:f>
      </x:c>
      <x:c r="E56" s="28" t="str">
        <x:f>IF(OR('Team Setup'!$D$4="",NOT(ISNUMBER('Team Setup'!$D$4))),"",'Team Setup'!$D$4+9)</x:f>
      </x:c>
      <x:c r="F56" s="29" t="str">
        <x:f>IF($A56="","",'Team Setup'!$E$13)</x:f>
      </x:c>
      <x:c r="G56" s="29" t="str">
        <x:f>IF($A56="","",IF(OR($E56="",$E56&lt;'Team Setup'!$D$4,$E56&gt;'Team Setup'!$F$4),"No",IF(WEEKDAY($E56,2)&gt;5,"No","Yes")))</x:f>
      </x:c>
      <x:c r="H56" s="29" t="str">
        <x:f>IF($A56="","",IF(OR($G56&lt;&gt;"Yes",$E56=""),"No",IF(COUNTIFS('Time Off'!$A$9:$A$508,$E56,'Time Off'!$C$9:$C$508,$D56,'Time Off'!$D$9:$D$508,$C56)+COUNTIFS('Time Off'!$A$9:$A$508,$E56,'Time Off'!$C$9:$C$508,$D56,'Time Off'!$D$9:$D$508,"All")&gt;0,"Yes","No")))</x:f>
      </x:c>
      <x:c r="I56" s="29" t="str">
        <x:f>IF($A56="","",IF(OR($G56&lt;&gt;"Yes",$H56="Yes"),0,MIN($F56,SUMIFS('Time Off'!$I$9:$I$508,'Time Off'!$G$9:$G$508,$A56,'Time Off'!$H$9:$H$508,$E56))))</x:f>
      </x:c>
      <x:c r="J56" s="29" t="str">
        <x:f>IF($A56="","",IF(OR($G56&lt;&gt;"Yes",$H56="Yes"),0,MAX(0,$F56-$I56)))</x:f>
      </x:c>
    </x:row>
    <x:row r="57">
      <x:c r="A57" s="27" t="str">
        <x:f>IF('Team Setup'!$A$13="","",'Team Setup'!$A$13)</x:f>
      </x:c>
      <x:c r="B57" s="27" t="str">
        <x:f>IF($A57="","",'Team Setup'!$B$13)</x:f>
      </x:c>
      <x:c r="C57" s="27" t="str">
        <x:f>IF($A57="","",'Team Setup'!$C$13)</x:f>
      </x:c>
      <x:c r="D57" s="27" t="str">
        <x:f>IF($A57="","",'Team Setup'!$D$13)</x:f>
      </x:c>
      <x:c r="E57" s="28" t="str">
        <x:f>IF(OR('Team Setup'!$D$4="",NOT(ISNUMBER('Team Setup'!$D$4))),"",'Team Setup'!$D$4+10)</x:f>
      </x:c>
      <x:c r="F57" s="29" t="str">
        <x:f>IF($A57="","",'Team Setup'!$E$13)</x:f>
      </x:c>
      <x:c r="G57" s="29" t="str">
        <x:f>IF($A57="","",IF(OR($E57="",$E57&lt;'Team Setup'!$D$4,$E57&gt;'Team Setup'!$F$4),"No",IF(WEEKDAY($E57,2)&gt;5,"No","Yes")))</x:f>
      </x:c>
      <x:c r="H57" s="29" t="str">
        <x:f>IF($A57="","",IF(OR($G57&lt;&gt;"Yes",$E57=""),"No",IF(COUNTIFS('Time Off'!$A$9:$A$508,$E57,'Time Off'!$C$9:$C$508,$D57,'Time Off'!$D$9:$D$508,$C57)+COUNTIFS('Time Off'!$A$9:$A$508,$E57,'Time Off'!$C$9:$C$508,$D57,'Time Off'!$D$9:$D$508,"All")&gt;0,"Yes","No")))</x:f>
      </x:c>
      <x:c r="I57" s="29" t="str">
        <x:f>IF($A57="","",IF(OR($G57&lt;&gt;"Yes",$H57="Yes"),0,MIN($F57,SUMIFS('Time Off'!$I$9:$I$508,'Time Off'!$G$9:$G$508,$A57,'Time Off'!$H$9:$H$508,$E57))))</x:f>
      </x:c>
      <x:c r="J57" s="29" t="str">
        <x:f>IF($A57="","",IF(OR($G57&lt;&gt;"Yes",$H57="Yes"),0,MAX(0,$F57-$I57)))</x:f>
      </x:c>
    </x:row>
    <x:row r="58">
      <x:c r="A58" s="27" t="str">
        <x:f>IF('Team Setup'!$A$13="","",'Team Setup'!$A$13)</x:f>
      </x:c>
      <x:c r="B58" s="27" t="str">
        <x:f>IF($A58="","",'Team Setup'!$B$13)</x:f>
      </x:c>
      <x:c r="C58" s="27" t="str">
        <x:f>IF($A58="","",'Team Setup'!$C$13)</x:f>
      </x:c>
      <x:c r="D58" s="27" t="str">
        <x:f>IF($A58="","",'Team Setup'!$D$13)</x:f>
      </x:c>
      <x:c r="E58" s="28" t="str">
        <x:f>IF(OR('Team Setup'!$D$4="",NOT(ISNUMBER('Team Setup'!$D$4))),"",'Team Setup'!$D$4+11)</x:f>
      </x:c>
      <x:c r="F58" s="29" t="str">
        <x:f>IF($A58="","",'Team Setup'!$E$13)</x:f>
      </x:c>
      <x:c r="G58" s="29" t="str">
        <x:f>IF($A58="","",IF(OR($E58="",$E58&lt;'Team Setup'!$D$4,$E58&gt;'Team Setup'!$F$4),"No",IF(WEEKDAY($E58,2)&gt;5,"No","Yes")))</x:f>
      </x:c>
      <x:c r="H58" s="29" t="str">
        <x:f>IF($A58="","",IF(OR($G58&lt;&gt;"Yes",$E58=""),"No",IF(COUNTIFS('Time Off'!$A$9:$A$508,$E58,'Time Off'!$C$9:$C$508,$D58,'Time Off'!$D$9:$D$508,$C58)+COUNTIFS('Time Off'!$A$9:$A$508,$E58,'Time Off'!$C$9:$C$508,$D58,'Time Off'!$D$9:$D$508,"All")&gt;0,"Yes","No")))</x:f>
      </x:c>
      <x:c r="I58" s="29" t="str">
        <x:f>IF($A58="","",IF(OR($G58&lt;&gt;"Yes",$H58="Yes"),0,MIN($F58,SUMIFS('Time Off'!$I$9:$I$508,'Time Off'!$G$9:$G$508,$A58,'Time Off'!$H$9:$H$508,$E58))))</x:f>
      </x:c>
      <x:c r="J58" s="29" t="str">
        <x:f>IF($A58="","",IF(OR($G58&lt;&gt;"Yes",$H58="Yes"),0,MAX(0,$F58-$I58)))</x:f>
      </x:c>
    </x:row>
    <x:row r="59">
      <x:c r="A59" s="27" t="str">
        <x:f>IF('Team Setup'!$A$13="","",'Team Setup'!$A$13)</x:f>
      </x:c>
      <x:c r="B59" s="27" t="str">
        <x:f>IF($A59="","",'Team Setup'!$B$13)</x:f>
      </x:c>
      <x:c r="C59" s="27" t="str">
        <x:f>IF($A59="","",'Team Setup'!$C$13)</x:f>
      </x:c>
      <x:c r="D59" s="27" t="str">
        <x:f>IF($A59="","",'Team Setup'!$D$13)</x:f>
      </x:c>
      <x:c r="E59" s="28" t="str">
        <x:f>IF(OR('Team Setup'!$D$4="",NOT(ISNUMBER('Team Setup'!$D$4))),"",'Team Setup'!$D$4+12)</x:f>
      </x:c>
      <x:c r="F59" s="29" t="str">
        <x:f>IF($A59="","",'Team Setup'!$E$13)</x:f>
      </x:c>
      <x:c r="G59" s="29" t="str">
        <x:f>IF($A59="","",IF(OR($E59="",$E59&lt;'Team Setup'!$D$4,$E59&gt;'Team Setup'!$F$4),"No",IF(WEEKDAY($E59,2)&gt;5,"No","Yes")))</x:f>
      </x:c>
      <x:c r="H59" s="29" t="str">
        <x:f>IF($A59="","",IF(OR($G59&lt;&gt;"Yes",$E59=""),"No",IF(COUNTIFS('Time Off'!$A$9:$A$508,$E59,'Time Off'!$C$9:$C$508,$D59,'Time Off'!$D$9:$D$508,$C59)+COUNTIFS('Time Off'!$A$9:$A$508,$E59,'Time Off'!$C$9:$C$508,$D59,'Time Off'!$D$9:$D$508,"All")&gt;0,"Yes","No")))</x:f>
      </x:c>
      <x:c r="I59" s="29" t="str">
        <x:f>IF($A59="","",IF(OR($G59&lt;&gt;"Yes",$H59="Yes"),0,MIN($F59,SUMIFS('Time Off'!$I$9:$I$508,'Time Off'!$G$9:$G$508,$A59,'Time Off'!$H$9:$H$508,$E59))))</x:f>
      </x:c>
      <x:c r="J59" s="29" t="str">
        <x:f>IF($A59="","",IF(OR($G59&lt;&gt;"Yes",$H59="Yes"),0,MAX(0,$F59-$I59)))</x:f>
      </x:c>
    </x:row>
    <x:row r="60">
      <x:c r="A60" s="27" t="str">
        <x:f>IF('Team Setup'!$A$13="","",'Team Setup'!$A$13)</x:f>
      </x:c>
      <x:c r="B60" s="27" t="str">
        <x:f>IF($A60="","",'Team Setup'!$B$13)</x:f>
      </x:c>
      <x:c r="C60" s="27" t="str">
        <x:f>IF($A60="","",'Team Setup'!$C$13)</x:f>
      </x:c>
      <x:c r="D60" s="27" t="str">
        <x:f>IF($A60="","",'Team Setup'!$D$13)</x:f>
      </x:c>
      <x:c r="E60" s="28" t="str">
        <x:f>IF(OR('Team Setup'!$D$4="",NOT(ISNUMBER('Team Setup'!$D$4))),"",'Team Setup'!$D$4+13)</x:f>
      </x:c>
      <x:c r="F60" s="29" t="str">
        <x:f>IF($A60="","",'Team Setup'!$E$13)</x:f>
      </x:c>
      <x:c r="G60" s="29" t="str">
        <x:f>IF($A60="","",IF(OR($E60="",$E60&lt;'Team Setup'!$D$4,$E60&gt;'Team Setup'!$F$4),"No",IF(WEEKDAY($E60,2)&gt;5,"No","Yes")))</x:f>
      </x:c>
      <x:c r="H60" s="29" t="str">
        <x:f>IF($A60="","",IF(OR($G60&lt;&gt;"Yes",$E60=""),"No",IF(COUNTIFS('Time Off'!$A$9:$A$508,$E60,'Time Off'!$C$9:$C$508,$D60,'Time Off'!$D$9:$D$508,$C60)+COUNTIFS('Time Off'!$A$9:$A$508,$E60,'Time Off'!$C$9:$C$508,$D60,'Time Off'!$D$9:$D$508,"All")&gt;0,"Yes","No")))</x:f>
      </x:c>
      <x:c r="I60" s="29" t="str">
        <x:f>IF($A60="","",IF(OR($G60&lt;&gt;"Yes",$H60="Yes"),0,MIN($F60,SUMIFS('Time Off'!$I$9:$I$508,'Time Off'!$G$9:$G$508,$A60,'Time Off'!$H$9:$H$508,$E60))))</x:f>
      </x:c>
      <x:c r="J60" s="29" t="str">
        <x:f>IF($A60="","",IF(OR($G60&lt;&gt;"Yes",$H60="Yes"),0,MAX(0,$F60-$I60)))</x:f>
      </x:c>
    </x:row>
    <x:row r="61">
      <x:c r="A61" s="27" t="str">
        <x:f>IF('Team Setup'!$A$14="","",'Team Setup'!$A$14)</x:f>
      </x:c>
      <x:c r="B61" s="27" t="str">
        <x:f>IF($A61="","",'Team Setup'!$B$14)</x:f>
      </x:c>
      <x:c r="C61" s="27" t="str">
        <x:f>IF($A61="","",'Team Setup'!$C$14)</x:f>
      </x:c>
      <x:c r="D61" s="27" t="str">
        <x:f>IF($A61="","",'Team Setup'!$D$14)</x:f>
      </x:c>
      <x:c r="E61" s="28" t="str">
        <x:f>IF(OR('Team Setup'!$D$4="",NOT(ISNUMBER('Team Setup'!$D$4))),"",'Team Setup'!$D$4+0)</x:f>
      </x:c>
      <x:c r="F61" s="29" t="str">
        <x:f>IF($A61="","",'Team Setup'!$E$14)</x:f>
      </x:c>
      <x:c r="G61" s="29" t="str">
        <x:f>IF($A61="","",IF(OR($E61="",$E61&lt;'Team Setup'!$D$4,$E61&gt;'Team Setup'!$F$4),"No",IF(WEEKDAY($E61,2)&gt;5,"No","Yes")))</x:f>
      </x:c>
      <x:c r="H61" s="29" t="str">
        <x:f>IF($A61="","",IF(OR($G61&lt;&gt;"Yes",$E61=""),"No",IF(COUNTIFS('Time Off'!$A$9:$A$508,$E61,'Time Off'!$C$9:$C$508,$D61,'Time Off'!$D$9:$D$508,$C61)+COUNTIFS('Time Off'!$A$9:$A$508,$E61,'Time Off'!$C$9:$C$508,$D61,'Time Off'!$D$9:$D$508,"All")&gt;0,"Yes","No")))</x:f>
      </x:c>
      <x:c r="I61" s="29" t="str">
        <x:f>IF($A61="","",IF(OR($G61&lt;&gt;"Yes",$H61="Yes"),0,MIN($F61,SUMIFS('Time Off'!$I$9:$I$508,'Time Off'!$G$9:$G$508,$A61,'Time Off'!$H$9:$H$508,$E61))))</x:f>
      </x:c>
      <x:c r="J61" s="29" t="str">
        <x:f>IF($A61="","",IF(OR($G61&lt;&gt;"Yes",$H61="Yes"),0,MAX(0,$F61-$I61)))</x:f>
      </x:c>
    </x:row>
    <x:row r="62">
      <x:c r="A62" s="27" t="str">
        <x:f>IF('Team Setup'!$A$14="","",'Team Setup'!$A$14)</x:f>
      </x:c>
      <x:c r="B62" s="27" t="str">
        <x:f>IF($A62="","",'Team Setup'!$B$14)</x:f>
      </x:c>
      <x:c r="C62" s="27" t="str">
        <x:f>IF($A62="","",'Team Setup'!$C$14)</x:f>
      </x:c>
      <x:c r="D62" s="27" t="str">
        <x:f>IF($A62="","",'Team Setup'!$D$14)</x:f>
      </x:c>
      <x:c r="E62" s="28" t="str">
        <x:f>IF(OR('Team Setup'!$D$4="",NOT(ISNUMBER('Team Setup'!$D$4))),"",'Team Setup'!$D$4+1)</x:f>
      </x:c>
      <x:c r="F62" s="29" t="str">
        <x:f>IF($A62="","",'Team Setup'!$E$14)</x:f>
      </x:c>
      <x:c r="G62" s="29" t="str">
        <x:f>IF($A62="","",IF(OR($E62="",$E62&lt;'Team Setup'!$D$4,$E62&gt;'Team Setup'!$F$4),"No",IF(WEEKDAY($E62,2)&gt;5,"No","Yes")))</x:f>
      </x:c>
      <x:c r="H62" s="29" t="str">
        <x:f>IF($A62="","",IF(OR($G62&lt;&gt;"Yes",$E62=""),"No",IF(COUNTIFS('Time Off'!$A$9:$A$508,$E62,'Time Off'!$C$9:$C$508,$D62,'Time Off'!$D$9:$D$508,$C62)+COUNTIFS('Time Off'!$A$9:$A$508,$E62,'Time Off'!$C$9:$C$508,$D62,'Time Off'!$D$9:$D$508,"All")&gt;0,"Yes","No")))</x:f>
      </x:c>
      <x:c r="I62" s="29" t="str">
        <x:f>IF($A62="","",IF(OR($G62&lt;&gt;"Yes",$H62="Yes"),0,MIN($F62,SUMIFS('Time Off'!$I$9:$I$508,'Time Off'!$G$9:$G$508,$A62,'Time Off'!$H$9:$H$508,$E62))))</x:f>
      </x:c>
      <x:c r="J62" s="29" t="str">
        <x:f>IF($A62="","",IF(OR($G62&lt;&gt;"Yes",$H62="Yes"),0,MAX(0,$F62-$I62)))</x:f>
      </x:c>
    </x:row>
    <x:row r="63">
      <x:c r="A63" s="27" t="str">
        <x:f>IF('Team Setup'!$A$14="","",'Team Setup'!$A$14)</x:f>
      </x:c>
      <x:c r="B63" s="27" t="str">
        <x:f>IF($A63="","",'Team Setup'!$B$14)</x:f>
      </x:c>
      <x:c r="C63" s="27" t="str">
        <x:f>IF($A63="","",'Team Setup'!$C$14)</x:f>
      </x:c>
      <x:c r="D63" s="27" t="str">
        <x:f>IF($A63="","",'Team Setup'!$D$14)</x:f>
      </x:c>
      <x:c r="E63" s="28" t="str">
        <x:f>IF(OR('Team Setup'!$D$4="",NOT(ISNUMBER('Team Setup'!$D$4))),"",'Team Setup'!$D$4+2)</x:f>
      </x:c>
      <x:c r="F63" s="29" t="str">
        <x:f>IF($A63="","",'Team Setup'!$E$14)</x:f>
      </x:c>
      <x:c r="G63" s="29" t="str">
        <x:f>IF($A63="","",IF(OR($E63="",$E63&lt;'Team Setup'!$D$4,$E63&gt;'Team Setup'!$F$4),"No",IF(WEEKDAY($E63,2)&gt;5,"No","Yes")))</x:f>
      </x:c>
      <x:c r="H63" s="29" t="str">
        <x:f>IF($A63="","",IF(OR($G63&lt;&gt;"Yes",$E63=""),"No",IF(COUNTIFS('Time Off'!$A$9:$A$508,$E63,'Time Off'!$C$9:$C$508,$D63,'Time Off'!$D$9:$D$508,$C63)+COUNTIFS('Time Off'!$A$9:$A$508,$E63,'Time Off'!$C$9:$C$508,$D63,'Time Off'!$D$9:$D$508,"All")&gt;0,"Yes","No")))</x:f>
      </x:c>
      <x:c r="I63" s="29" t="str">
        <x:f>IF($A63="","",IF(OR($G63&lt;&gt;"Yes",$H63="Yes"),0,MIN($F63,SUMIFS('Time Off'!$I$9:$I$508,'Time Off'!$G$9:$G$508,$A63,'Time Off'!$H$9:$H$508,$E63))))</x:f>
      </x:c>
      <x:c r="J63" s="29" t="str">
        <x:f>IF($A63="","",IF(OR($G63&lt;&gt;"Yes",$H63="Yes"),0,MAX(0,$F63-$I63)))</x:f>
      </x:c>
    </x:row>
    <x:row r="64">
      <x:c r="A64" s="27" t="str">
        <x:f>IF('Team Setup'!$A$14="","",'Team Setup'!$A$14)</x:f>
      </x:c>
      <x:c r="B64" s="27" t="str">
        <x:f>IF($A64="","",'Team Setup'!$B$14)</x:f>
      </x:c>
      <x:c r="C64" s="27" t="str">
        <x:f>IF($A64="","",'Team Setup'!$C$14)</x:f>
      </x:c>
      <x:c r="D64" s="27" t="str">
        <x:f>IF($A64="","",'Team Setup'!$D$14)</x:f>
      </x:c>
      <x:c r="E64" s="28" t="str">
        <x:f>IF(OR('Team Setup'!$D$4="",NOT(ISNUMBER('Team Setup'!$D$4))),"",'Team Setup'!$D$4+3)</x:f>
      </x:c>
      <x:c r="F64" s="29" t="str">
        <x:f>IF($A64="","",'Team Setup'!$E$14)</x:f>
      </x:c>
      <x:c r="G64" s="29" t="str">
        <x:f>IF($A64="","",IF(OR($E64="",$E64&lt;'Team Setup'!$D$4,$E64&gt;'Team Setup'!$F$4),"No",IF(WEEKDAY($E64,2)&gt;5,"No","Yes")))</x:f>
      </x:c>
      <x:c r="H64" s="29" t="str">
        <x:f>IF($A64="","",IF(OR($G64&lt;&gt;"Yes",$E64=""),"No",IF(COUNTIFS('Time Off'!$A$9:$A$508,$E64,'Time Off'!$C$9:$C$508,$D64,'Time Off'!$D$9:$D$508,$C64)+COUNTIFS('Time Off'!$A$9:$A$508,$E64,'Time Off'!$C$9:$C$508,$D64,'Time Off'!$D$9:$D$508,"All")&gt;0,"Yes","No")))</x:f>
      </x:c>
      <x:c r="I64" s="29" t="str">
        <x:f>IF($A64="","",IF(OR($G64&lt;&gt;"Yes",$H64="Yes"),0,MIN($F64,SUMIFS('Time Off'!$I$9:$I$508,'Time Off'!$G$9:$G$508,$A64,'Time Off'!$H$9:$H$508,$E64))))</x:f>
      </x:c>
      <x:c r="J64" s="29" t="str">
        <x:f>IF($A64="","",IF(OR($G64&lt;&gt;"Yes",$H64="Yes"),0,MAX(0,$F64-$I64)))</x:f>
      </x:c>
    </x:row>
    <x:row r="65">
      <x:c r="A65" s="27" t="str">
        <x:f>IF('Team Setup'!$A$14="","",'Team Setup'!$A$14)</x:f>
      </x:c>
      <x:c r="B65" s="27" t="str">
        <x:f>IF($A65="","",'Team Setup'!$B$14)</x:f>
      </x:c>
      <x:c r="C65" s="27" t="str">
        <x:f>IF($A65="","",'Team Setup'!$C$14)</x:f>
      </x:c>
      <x:c r="D65" s="27" t="str">
        <x:f>IF($A65="","",'Team Setup'!$D$14)</x:f>
      </x:c>
      <x:c r="E65" s="28" t="str">
        <x:f>IF(OR('Team Setup'!$D$4="",NOT(ISNUMBER('Team Setup'!$D$4))),"",'Team Setup'!$D$4+4)</x:f>
      </x:c>
      <x:c r="F65" s="29" t="str">
        <x:f>IF($A65="","",'Team Setup'!$E$14)</x:f>
      </x:c>
      <x:c r="G65" s="29" t="str">
        <x:f>IF($A65="","",IF(OR($E65="",$E65&lt;'Team Setup'!$D$4,$E65&gt;'Team Setup'!$F$4),"No",IF(WEEKDAY($E65,2)&gt;5,"No","Yes")))</x:f>
      </x:c>
      <x:c r="H65" s="29" t="str">
        <x:f>IF($A65="","",IF(OR($G65&lt;&gt;"Yes",$E65=""),"No",IF(COUNTIFS('Time Off'!$A$9:$A$508,$E65,'Time Off'!$C$9:$C$508,$D65,'Time Off'!$D$9:$D$508,$C65)+COUNTIFS('Time Off'!$A$9:$A$508,$E65,'Time Off'!$C$9:$C$508,$D65,'Time Off'!$D$9:$D$508,"All")&gt;0,"Yes","No")))</x:f>
      </x:c>
      <x:c r="I65" s="29" t="str">
        <x:f>IF($A65="","",IF(OR($G65&lt;&gt;"Yes",$H65="Yes"),0,MIN($F65,SUMIFS('Time Off'!$I$9:$I$508,'Time Off'!$G$9:$G$508,$A65,'Time Off'!$H$9:$H$508,$E65))))</x:f>
      </x:c>
      <x:c r="J65" s="29" t="str">
        <x:f>IF($A65="","",IF(OR($G65&lt;&gt;"Yes",$H65="Yes"),0,MAX(0,$F65-$I65)))</x:f>
      </x:c>
    </x:row>
    <x:row r="66">
      <x:c r="A66" s="27" t="str">
        <x:f>IF('Team Setup'!$A$14="","",'Team Setup'!$A$14)</x:f>
      </x:c>
      <x:c r="B66" s="27" t="str">
        <x:f>IF($A66="","",'Team Setup'!$B$14)</x:f>
      </x:c>
      <x:c r="C66" s="27" t="str">
        <x:f>IF($A66="","",'Team Setup'!$C$14)</x:f>
      </x:c>
      <x:c r="D66" s="27" t="str">
        <x:f>IF($A66="","",'Team Setup'!$D$14)</x:f>
      </x:c>
      <x:c r="E66" s="28" t="str">
        <x:f>IF(OR('Team Setup'!$D$4="",NOT(ISNUMBER('Team Setup'!$D$4))),"",'Team Setup'!$D$4+5)</x:f>
      </x:c>
      <x:c r="F66" s="29" t="str">
        <x:f>IF($A66="","",'Team Setup'!$E$14)</x:f>
      </x:c>
      <x:c r="G66" s="29" t="str">
        <x:f>IF($A66="","",IF(OR($E66="",$E66&lt;'Team Setup'!$D$4,$E66&gt;'Team Setup'!$F$4),"No",IF(WEEKDAY($E66,2)&gt;5,"No","Yes")))</x:f>
      </x:c>
      <x:c r="H66" s="29" t="str">
        <x:f>IF($A66="","",IF(OR($G66&lt;&gt;"Yes",$E66=""),"No",IF(COUNTIFS('Time Off'!$A$9:$A$508,$E66,'Time Off'!$C$9:$C$508,$D66,'Time Off'!$D$9:$D$508,$C66)+COUNTIFS('Time Off'!$A$9:$A$508,$E66,'Time Off'!$C$9:$C$508,$D66,'Time Off'!$D$9:$D$508,"All")&gt;0,"Yes","No")))</x:f>
      </x:c>
      <x:c r="I66" s="29" t="str">
        <x:f>IF($A66="","",IF(OR($G66&lt;&gt;"Yes",$H66="Yes"),0,MIN($F66,SUMIFS('Time Off'!$I$9:$I$508,'Time Off'!$G$9:$G$508,$A66,'Time Off'!$H$9:$H$508,$E66))))</x:f>
      </x:c>
      <x:c r="J66" s="29" t="str">
        <x:f>IF($A66="","",IF(OR($G66&lt;&gt;"Yes",$H66="Yes"),0,MAX(0,$F66-$I66)))</x:f>
      </x:c>
    </x:row>
    <x:row r="67">
      <x:c r="A67" s="27" t="str">
        <x:f>IF('Team Setup'!$A$14="","",'Team Setup'!$A$14)</x:f>
      </x:c>
      <x:c r="B67" s="27" t="str">
        <x:f>IF($A67="","",'Team Setup'!$B$14)</x:f>
      </x:c>
      <x:c r="C67" s="27" t="str">
        <x:f>IF($A67="","",'Team Setup'!$C$14)</x:f>
      </x:c>
      <x:c r="D67" s="27" t="str">
        <x:f>IF($A67="","",'Team Setup'!$D$14)</x:f>
      </x:c>
      <x:c r="E67" s="28" t="str">
        <x:f>IF(OR('Team Setup'!$D$4="",NOT(ISNUMBER('Team Setup'!$D$4))),"",'Team Setup'!$D$4+6)</x:f>
      </x:c>
      <x:c r="F67" s="29" t="str">
        <x:f>IF($A67="","",'Team Setup'!$E$14)</x:f>
      </x:c>
      <x:c r="G67" s="29" t="str">
        <x:f>IF($A67="","",IF(OR($E67="",$E67&lt;'Team Setup'!$D$4,$E67&gt;'Team Setup'!$F$4),"No",IF(WEEKDAY($E67,2)&gt;5,"No","Yes")))</x:f>
      </x:c>
      <x:c r="H67" s="29" t="str">
        <x:f>IF($A67="","",IF(OR($G67&lt;&gt;"Yes",$E67=""),"No",IF(COUNTIFS('Time Off'!$A$9:$A$508,$E67,'Time Off'!$C$9:$C$508,$D67,'Time Off'!$D$9:$D$508,$C67)+COUNTIFS('Time Off'!$A$9:$A$508,$E67,'Time Off'!$C$9:$C$508,$D67,'Time Off'!$D$9:$D$508,"All")&gt;0,"Yes","No")))</x:f>
      </x:c>
      <x:c r="I67" s="29" t="str">
        <x:f>IF($A67="","",IF(OR($G67&lt;&gt;"Yes",$H67="Yes"),0,MIN($F67,SUMIFS('Time Off'!$I$9:$I$508,'Time Off'!$G$9:$G$508,$A67,'Time Off'!$H$9:$H$508,$E67))))</x:f>
      </x:c>
      <x:c r="J67" s="29" t="str">
        <x:f>IF($A67="","",IF(OR($G67&lt;&gt;"Yes",$H67="Yes"),0,MAX(0,$F67-$I67)))</x:f>
      </x:c>
    </x:row>
    <x:row r="68">
      <x:c r="A68" s="27" t="str">
        <x:f>IF('Team Setup'!$A$14="","",'Team Setup'!$A$14)</x:f>
      </x:c>
      <x:c r="B68" s="27" t="str">
        <x:f>IF($A68="","",'Team Setup'!$B$14)</x:f>
      </x:c>
      <x:c r="C68" s="27" t="str">
        <x:f>IF($A68="","",'Team Setup'!$C$14)</x:f>
      </x:c>
      <x:c r="D68" s="27" t="str">
        <x:f>IF($A68="","",'Team Setup'!$D$14)</x:f>
      </x:c>
      <x:c r="E68" s="28" t="str">
        <x:f>IF(OR('Team Setup'!$D$4="",NOT(ISNUMBER('Team Setup'!$D$4))),"",'Team Setup'!$D$4+7)</x:f>
      </x:c>
      <x:c r="F68" s="29" t="str">
        <x:f>IF($A68="","",'Team Setup'!$E$14)</x:f>
      </x:c>
      <x:c r="G68" s="29" t="str">
        <x:f>IF($A68="","",IF(OR($E68="",$E68&lt;'Team Setup'!$D$4,$E68&gt;'Team Setup'!$F$4),"No",IF(WEEKDAY($E68,2)&gt;5,"No","Yes")))</x:f>
      </x:c>
      <x:c r="H68" s="29" t="str">
        <x:f>IF($A68="","",IF(OR($G68&lt;&gt;"Yes",$E68=""),"No",IF(COUNTIFS('Time Off'!$A$9:$A$508,$E68,'Time Off'!$C$9:$C$508,$D68,'Time Off'!$D$9:$D$508,$C68)+COUNTIFS('Time Off'!$A$9:$A$508,$E68,'Time Off'!$C$9:$C$508,$D68,'Time Off'!$D$9:$D$508,"All")&gt;0,"Yes","No")))</x:f>
      </x:c>
      <x:c r="I68" s="29" t="str">
        <x:f>IF($A68="","",IF(OR($G68&lt;&gt;"Yes",$H68="Yes"),0,MIN($F68,SUMIFS('Time Off'!$I$9:$I$508,'Time Off'!$G$9:$G$508,$A68,'Time Off'!$H$9:$H$508,$E68))))</x:f>
      </x:c>
      <x:c r="J68" s="29" t="str">
        <x:f>IF($A68="","",IF(OR($G68&lt;&gt;"Yes",$H68="Yes"),0,MAX(0,$F68-$I68)))</x:f>
      </x:c>
    </x:row>
    <x:row r="69">
      <x:c r="A69" s="27" t="str">
        <x:f>IF('Team Setup'!$A$14="","",'Team Setup'!$A$14)</x:f>
      </x:c>
      <x:c r="B69" s="27" t="str">
        <x:f>IF($A69="","",'Team Setup'!$B$14)</x:f>
      </x:c>
      <x:c r="C69" s="27" t="str">
        <x:f>IF($A69="","",'Team Setup'!$C$14)</x:f>
      </x:c>
      <x:c r="D69" s="27" t="str">
        <x:f>IF($A69="","",'Team Setup'!$D$14)</x:f>
      </x:c>
      <x:c r="E69" s="28" t="str">
        <x:f>IF(OR('Team Setup'!$D$4="",NOT(ISNUMBER('Team Setup'!$D$4))),"",'Team Setup'!$D$4+8)</x:f>
      </x:c>
      <x:c r="F69" s="29" t="str">
        <x:f>IF($A69="","",'Team Setup'!$E$14)</x:f>
      </x:c>
      <x:c r="G69" s="29" t="str">
        <x:f>IF($A69="","",IF(OR($E69="",$E69&lt;'Team Setup'!$D$4,$E69&gt;'Team Setup'!$F$4),"No",IF(WEEKDAY($E69,2)&gt;5,"No","Yes")))</x:f>
      </x:c>
      <x:c r="H69" s="29" t="str">
        <x:f>IF($A69="","",IF(OR($G69&lt;&gt;"Yes",$E69=""),"No",IF(COUNTIFS('Time Off'!$A$9:$A$508,$E69,'Time Off'!$C$9:$C$508,$D69,'Time Off'!$D$9:$D$508,$C69)+COUNTIFS('Time Off'!$A$9:$A$508,$E69,'Time Off'!$C$9:$C$508,$D69,'Time Off'!$D$9:$D$508,"All")&gt;0,"Yes","No")))</x:f>
      </x:c>
      <x:c r="I69" s="29" t="str">
        <x:f>IF($A69="","",IF(OR($G69&lt;&gt;"Yes",$H69="Yes"),0,MIN($F69,SUMIFS('Time Off'!$I$9:$I$508,'Time Off'!$G$9:$G$508,$A69,'Time Off'!$H$9:$H$508,$E69))))</x:f>
      </x:c>
      <x:c r="J69" s="29" t="str">
        <x:f>IF($A69="","",IF(OR($G69&lt;&gt;"Yes",$H69="Yes"),0,MAX(0,$F69-$I69)))</x:f>
      </x:c>
    </x:row>
    <x:row r="70">
      <x:c r="A70" s="27" t="str">
        <x:f>IF('Team Setup'!$A$14="","",'Team Setup'!$A$14)</x:f>
      </x:c>
      <x:c r="B70" s="27" t="str">
        <x:f>IF($A70="","",'Team Setup'!$B$14)</x:f>
      </x:c>
      <x:c r="C70" s="27" t="str">
        <x:f>IF($A70="","",'Team Setup'!$C$14)</x:f>
      </x:c>
      <x:c r="D70" s="27" t="str">
        <x:f>IF($A70="","",'Team Setup'!$D$14)</x:f>
      </x:c>
      <x:c r="E70" s="28" t="str">
        <x:f>IF(OR('Team Setup'!$D$4="",NOT(ISNUMBER('Team Setup'!$D$4))),"",'Team Setup'!$D$4+9)</x:f>
      </x:c>
      <x:c r="F70" s="29" t="str">
        <x:f>IF($A70="","",'Team Setup'!$E$14)</x:f>
      </x:c>
      <x:c r="G70" s="29" t="str">
        <x:f>IF($A70="","",IF(OR($E70="",$E70&lt;'Team Setup'!$D$4,$E70&gt;'Team Setup'!$F$4),"No",IF(WEEKDAY($E70,2)&gt;5,"No","Yes")))</x:f>
      </x:c>
      <x:c r="H70" s="29" t="str">
        <x:f>IF($A70="","",IF(OR($G70&lt;&gt;"Yes",$E70=""),"No",IF(COUNTIFS('Time Off'!$A$9:$A$508,$E70,'Time Off'!$C$9:$C$508,$D70,'Time Off'!$D$9:$D$508,$C70)+COUNTIFS('Time Off'!$A$9:$A$508,$E70,'Time Off'!$C$9:$C$508,$D70,'Time Off'!$D$9:$D$508,"All")&gt;0,"Yes","No")))</x:f>
      </x:c>
      <x:c r="I70" s="29" t="str">
        <x:f>IF($A70="","",IF(OR($G70&lt;&gt;"Yes",$H70="Yes"),0,MIN($F70,SUMIFS('Time Off'!$I$9:$I$508,'Time Off'!$G$9:$G$508,$A70,'Time Off'!$H$9:$H$508,$E70))))</x:f>
      </x:c>
      <x:c r="J70" s="29" t="str">
        <x:f>IF($A70="","",IF(OR($G70&lt;&gt;"Yes",$H70="Yes"),0,MAX(0,$F70-$I70)))</x:f>
      </x:c>
    </x:row>
    <x:row r="71">
      <x:c r="A71" s="27" t="str">
        <x:f>IF('Team Setup'!$A$14="","",'Team Setup'!$A$14)</x:f>
      </x:c>
      <x:c r="B71" s="27" t="str">
        <x:f>IF($A71="","",'Team Setup'!$B$14)</x:f>
      </x:c>
      <x:c r="C71" s="27" t="str">
        <x:f>IF($A71="","",'Team Setup'!$C$14)</x:f>
      </x:c>
      <x:c r="D71" s="27" t="str">
        <x:f>IF($A71="","",'Team Setup'!$D$14)</x:f>
      </x:c>
      <x:c r="E71" s="28" t="str">
        <x:f>IF(OR('Team Setup'!$D$4="",NOT(ISNUMBER('Team Setup'!$D$4))),"",'Team Setup'!$D$4+10)</x:f>
      </x:c>
      <x:c r="F71" s="29" t="str">
        <x:f>IF($A71="","",'Team Setup'!$E$14)</x:f>
      </x:c>
      <x:c r="G71" s="29" t="str">
        <x:f>IF($A71="","",IF(OR($E71="",$E71&lt;'Team Setup'!$D$4,$E71&gt;'Team Setup'!$F$4),"No",IF(WEEKDAY($E71,2)&gt;5,"No","Yes")))</x:f>
      </x:c>
      <x:c r="H71" s="29" t="str">
        <x:f>IF($A71="","",IF(OR($G71&lt;&gt;"Yes",$E71=""),"No",IF(COUNTIFS('Time Off'!$A$9:$A$508,$E71,'Time Off'!$C$9:$C$508,$D71,'Time Off'!$D$9:$D$508,$C71)+COUNTIFS('Time Off'!$A$9:$A$508,$E71,'Time Off'!$C$9:$C$508,$D71,'Time Off'!$D$9:$D$508,"All")&gt;0,"Yes","No")))</x:f>
      </x:c>
      <x:c r="I71" s="29" t="str">
        <x:f>IF($A71="","",IF(OR($G71&lt;&gt;"Yes",$H71="Yes"),0,MIN($F71,SUMIFS('Time Off'!$I$9:$I$508,'Time Off'!$G$9:$G$508,$A71,'Time Off'!$H$9:$H$508,$E71))))</x:f>
      </x:c>
      <x:c r="J71" s="29" t="str">
        <x:f>IF($A71="","",IF(OR($G71&lt;&gt;"Yes",$H71="Yes"),0,MAX(0,$F71-$I71)))</x:f>
      </x:c>
    </x:row>
    <x:row r="72">
      <x:c r="A72" s="27" t="str">
        <x:f>IF('Team Setup'!$A$14="","",'Team Setup'!$A$14)</x:f>
      </x:c>
      <x:c r="B72" s="27" t="str">
        <x:f>IF($A72="","",'Team Setup'!$B$14)</x:f>
      </x:c>
      <x:c r="C72" s="27" t="str">
        <x:f>IF($A72="","",'Team Setup'!$C$14)</x:f>
      </x:c>
      <x:c r="D72" s="27" t="str">
        <x:f>IF($A72="","",'Team Setup'!$D$14)</x:f>
      </x:c>
      <x:c r="E72" s="28" t="str">
        <x:f>IF(OR('Team Setup'!$D$4="",NOT(ISNUMBER('Team Setup'!$D$4))),"",'Team Setup'!$D$4+11)</x:f>
      </x:c>
      <x:c r="F72" s="29" t="str">
        <x:f>IF($A72="","",'Team Setup'!$E$14)</x:f>
      </x:c>
      <x:c r="G72" s="29" t="str">
        <x:f>IF($A72="","",IF(OR($E72="",$E72&lt;'Team Setup'!$D$4,$E72&gt;'Team Setup'!$F$4),"No",IF(WEEKDAY($E72,2)&gt;5,"No","Yes")))</x:f>
      </x:c>
      <x:c r="H72" s="29" t="str">
        <x:f>IF($A72="","",IF(OR($G72&lt;&gt;"Yes",$E72=""),"No",IF(COUNTIFS('Time Off'!$A$9:$A$508,$E72,'Time Off'!$C$9:$C$508,$D72,'Time Off'!$D$9:$D$508,$C72)+COUNTIFS('Time Off'!$A$9:$A$508,$E72,'Time Off'!$C$9:$C$508,$D72,'Time Off'!$D$9:$D$508,"All")&gt;0,"Yes","No")))</x:f>
      </x:c>
      <x:c r="I72" s="29" t="str">
        <x:f>IF($A72="","",IF(OR($G72&lt;&gt;"Yes",$H72="Yes"),0,MIN($F72,SUMIFS('Time Off'!$I$9:$I$508,'Time Off'!$G$9:$G$508,$A72,'Time Off'!$H$9:$H$508,$E72))))</x:f>
      </x:c>
      <x:c r="J72" s="29" t="str">
        <x:f>IF($A72="","",IF(OR($G72&lt;&gt;"Yes",$H72="Yes"),0,MAX(0,$F72-$I72)))</x:f>
      </x:c>
    </x:row>
    <x:row r="73">
      <x:c r="A73" s="27" t="str">
        <x:f>IF('Team Setup'!$A$14="","",'Team Setup'!$A$14)</x:f>
      </x:c>
      <x:c r="B73" s="27" t="str">
        <x:f>IF($A73="","",'Team Setup'!$B$14)</x:f>
      </x:c>
      <x:c r="C73" s="27" t="str">
        <x:f>IF($A73="","",'Team Setup'!$C$14)</x:f>
      </x:c>
      <x:c r="D73" s="27" t="str">
        <x:f>IF($A73="","",'Team Setup'!$D$14)</x:f>
      </x:c>
      <x:c r="E73" s="28" t="str">
        <x:f>IF(OR('Team Setup'!$D$4="",NOT(ISNUMBER('Team Setup'!$D$4))),"",'Team Setup'!$D$4+12)</x:f>
      </x:c>
      <x:c r="F73" s="29" t="str">
        <x:f>IF($A73="","",'Team Setup'!$E$14)</x:f>
      </x:c>
      <x:c r="G73" s="29" t="str">
        <x:f>IF($A73="","",IF(OR($E73="",$E73&lt;'Team Setup'!$D$4,$E73&gt;'Team Setup'!$F$4),"No",IF(WEEKDAY($E73,2)&gt;5,"No","Yes")))</x:f>
      </x:c>
      <x:c r="H73" s="29" t="str">
        <x:f>IF($A73="","",IF(OR($G73&lt;&gt;"Yes",$E73=""),"No",IF(COUNTIFS('Time Off'!$A$9:$A$508,$E73,'Time Off'!$C$9:$C$508,$D73,'Time Off'!$D$9:$D$508,$C73)+COUNTIFS('Time Off'!$A$9:$A$508,$E73,'Time Off'!$C$9:$C$508,$D73,'Time Off'!$D$9:$D$508,"All")&gt;0,"Yes","No")))</x:f>
      </x:c>
      <x:c r="I73" s="29" t="str">
        <x:f>IF($A73="","",IF(OR($G73&lt;&gt;"Yes",$H73="Yes"),0,MIN($F73,SUMIFS('Time Off'!$I$9:$I$508,'Time Off'!$G$9:$G$508,$A73,'Time Off'!$H$9:$H$508,$E73))))</x:f>
      </x:c>
      <x:c r="J73" s="29" t="str">
        <x:f>IF($A73="","",IF(OR($G73&lt;&gt;"Yes",$H73="Yes"),0,MAX(0,$F73-$I73)))</x:f>
      </x:c>
    </x:row>
    <x:row r="74">
      <x:c r="A74" s="27" t="str">
        <x:f>IF('Team Setup'!$A$14="","",'Team Setup'!$A$14)</x:f>
      </x:c>
      <x:c r="B74" s="27" t="str">
        <x:f>IF($A74="","",'Team Setup'!$B$14)</x:f>
      </x:c>
      <x:c r="C74" s="27" t="str">
        <x:f>IF($A74="","",'Team Setup'!$C$14)</x:f>
      </x:c>
      <x:c r="D74" s="27" t="str">
        <x:f>IF($A74="","",'Team Setup'!$D$14)</x:f>
      </x:c>
      <x:c r="E74" s="28" t="str">
        <x:f>IF(OR('Team Setup'!$D$4="",NOT(ISNUMBER('Team Setup'!$D$4))),"",'Team Setup'!$D$4+13)</x:f>
      </x:c>
      <x:c r="F74" s="29" t="str">
        <x:f>IF($A74="","",'Team Setup'!$E$14)</x:f>
      </x:c>
      <x:c r="G74" s="29" t="str">
        <x:f>IF($A74="","",IF(OR($E74="",$E74&lt;'Team Setup'!$D$4,$E74&gt;'Team Setup'!$F$4),"No",IF(WEEKDAY($E74,2)&gt;5,"No","Yes")))</x:f>
      </x:c>
      <x:c r="H74" s="29" t="str">
        <x:f>IF($A74="","",IF(OR($G74&lt;&gt;"Yes",$E74=""),"No",IF(COUNTIFS('Time Off'!$A$9:$A$508,$E74,'Time Off'!$C$9:$C$508,$D74,'Time Off'!$D$9:$D$508,$C74)+COUNTIFS('Time Off'!$A$9:$A$508,$E74,'Time Off'!$C$9:$C$508,$D74,'Time Off'!$D$9:$D$508,"All")&gt;0,"Yes","No")))</x:f>
      </x:c>
      <x:c r="I74" s="29" t="str">
        <x:f>IF($A74="","",IF(OR($G74&lt;&gt;"Yes",$H74="Yes"),0,MIN($F74,SUMIFS('Time Off'!$I$9:$I$508,'Time Off'!$G$9:$G$508,$A74,'Time Off'!$H$9:$H$508,$E74))))</x:f>
      </x:c>
      <x:c r="J74" s="29" t="str">
        <x:f>IF($A74="","",IF(OR($G74&lt;&gt;"Yes",$H74="Yes"),0,MAX(0,$F74-$I74)))</x:f>
      </x:c>
    </x:row>
    <x:row r="75">
      <x:c r="A75" s="27" t="str">
        <x:f>IF('Team Setup'!$A$15="","",'Team Setup'!$A$15)</x:f>
      </x:c>
      <x:c r="B75" s="27" t="str">
        <x:f>IF($A75="","",'Team Setup'!$B$15)</x:f>
      </x:c>
      <x:c r="C75" s="27" t="str">
        <x:f>IF($A75="","",'Team Setup'!$C$15)</x:f>
      </x:c>
      <x:c r="D75" s="27" t="str">
        <x:f>IF($A75="","",'Team Setup'!$D$15)</x:f>
      </x:c>
      <x:c r="E75" s="28" t="str">
        <x:f>IF(OR('Team Setup'!$D$4="",NOT(ISNUMBER('Team Setup'!$D$4))),"",'Team Setup'!$D$4+0)</x:f>
      </x:c>
      <x:c r="F75" s="29" t="str">
        <x:f>IF($A75="","",'Team Setup'!$E$15)</x:f>
      </x:c>
      <x:c r="G75" s="29" t="str">
        <x:f>IF($A75="","",IF(OR($E75="",$E75&lt;'Team Setup'!$D$4,$E75&gt;'Team Setup'!$F$4),"No",IF(WEEKDAY($E75,2)&gt;5,"No","Yes")))</x:f>
      </x:c>
      <x:c r="H75" s="29" t="str">
        <x:f>IF($A75="","",IF(OR($G75&lt;&gt;"Yes",$E75=""),"No",IF(COUNTIFS('Time Off'!$A$9:$A$508,$E75,'Time Off'!$C$9:$C$508,$D75,'Time Off'!$D$9:$D$508,$C75)+COUNTIFS('Time Off'!$A$9:$A$508,$E75,'Time Off'!$C$9:$C$508,$D75,'Time Off'!$D$9:$D$508,"All")&gt;0,"Yes","No")))</x:f>
      </x:c>
      <x:c r="I75" s="29" t="str">
        <x:f>IF($A75="","",IF(OR($G75&lt;&gt;"Yes",$H75="Yes"),0,MIN($F75,SUMIFS('Time Off'!$I$9:$I$508,'Time Off'!$G$9:$G$508,$A75,'Time Off'!$H$9:$H$508,$E75))))</x:f>
      </x:c>
      <x:c r="J75" s="29" t="str">
        <x:f>IF($A75="","",IF(OR($G75&lt;&gt;"Yes",$H75="Yes"),0,MAX(0,$F75-$I75)))</x:f>
      </x:c>
    </x:row>
    <x:row r="76">
      <x:c r="A76" s="27" t="str">
        <x:f>IF('Team Setup'!$A$15="","",'Team Setup'!$A$15)</x:f>
      </x:c>
      <x:c r="B76" s="27" t="str">
        <x:f>IF($A76="","",'Team Setup'!$B$15)</x:f>
      </x:c>
      <x:c r="C76" s="27" t="str">
        <x:f>IF($A76="","",'Team Setup'!$C$15)</x:f>
      </x:c>
      <x:c r="D76" s="27" t="str">
        <x:f>IF($A76="","",'Team Setup'!$D$15)</x:f>
      </x:c>
      <x:c r="E76" s="28" t="str">
        <x:f>IF(OR('Team Setup'!$D$4="",NOT(ISNUMBER('Team Setup'!$D$4))),"",'Team Setup'!$D$4+1)</x:f>
      </x:c>
      <x:c r="F76" s="29" t="str">
        <x:f>IF($A76="","",'Team Setup'!$E$15)</x:f>
      </x:c>
      <x:c r="G76" s="29" t="str">
        <x:f>IF($A76="","",IF(OR($E76="",$E76&lt;'Team Setup'!$D$4,$E76&gt;'Team Setup'!$F$4),"No",IF(WEEKDAY($E76,2)&gt;5,"No","Yes")))</x:f>
      </x:c>
      <x:c r="H76" s="29" t="str">
        <x:f>IF($A76="","",IF(OR($G76&lt;&gt;"Yes",$E76=""),"No",IF(COUNTIFS('Time Off'!$A$9:$A$508,$E76,'Time Off'!$C$9:$C$508,$D76,'Time Off'!$D$9:$D$508,$C76)+COUNTIFS('Time Off'!$A$9:$A$508,$E76,'Time Off'!$C$9:$C$508,$D76,'Time Off'!$D$9:$D$508,"All")&gt;0,"Yes","No")))</x:f>
      </x:c>
      <x:c r="I76" s="29" t="str">
        <x:f>IF($A76="","",IF(OR($G76&lt;&gt;"Yes",$H76="Yes"),0,MIN($F76,SUMIFS('Time Off'!$I$9:$I$508,'Time Off'!$G$9:$G$508,$A76,'Time Off'!$H$9:$H$508,$E76))))</x:f>
      </x:c>
      <x:c r="J76" s="29" t="str">
        <x:f>IF($A76="","",IF(OR($G76&lt;&gt;"Yes",$H76="Yes"),0,MAX(0,$F76-$I76)))</x:f>
      </x:c>
    </x:row>
    <x:row r="77">
      <x:c r="A77" s="27" t="str">
        <x:f>IF('Team Setup'!$A$15="","",'Team Setup'!$A$15)</x:f>
      </x:c>
      <x:c r="B77" s="27" t="str">
        <x:f>IF($A77="","",'Team Setup'!$B$15)</x:f>
      </x:c>
      <x:c r="C77" s="27" t="str">
        <x:f>IF($A77="","",'Team Setup'!$C$15)</x:f>
      </x:c>
      <x:c r="D77" s="27" t="str">
        <x:f>IF($A77="","",'Team Setup'!$D$15)</x:f>
      </x:c>
      <x:c r="E77" s="28" t="str">
        <x:f>IF(OR('Team Setup'!$D$4="",NOT(ISNUMBER('Team Setup'!$D$4))),"",'Team Setup'!$D$4+2)</x:f>
      </x:c>
      <x:c r="F77" s="29" t="str">
        <x:f>IF($A77="","",'Team Setup'!$E$15)</x:f>
      </x:c>
      <x:c r="G77" s="29" t="str">
        <x:f>IF($A77="","",IF(OR($E77="",$E77&lt;'Team Setup'!$D$4,$E77&gt;'Team Setup'!$F$4),"No",IF(WEEKDAY($E77,2)&gt;5,"No","Yes")))</x:f>
      </x:c>
      <x:c r="H77" s="29" t="str">
        <x:f>IF($A77="","",IF(OR($G77&lt;&gt;"Yes",$E77=""),"No",IF(COUNTIFS('Time Off'!$A$9:$A$508,$E77,'Time Off'!$C$9:$C$508,$D77,'Time Off'!$D$9:$D$508,$C77)+COUNTIFS('Time Off'!$A$9:$A$508,$E77,'Time Off'!$C$9:$C$508,$D77,'Time Off'!$D$9:$D$508,"All")&gt;0,"Yes","No")))</x:f>
      </x:c>
      <x:c r="I77" s="29" t="str">
        <x:f>IF($A77="","",IF(OR($G77&lt;&gt;"Yes",$H77="Yes"),0,MIN($F77,SUMIFS('Time Off'!$I$9:$I$508,'Time Off'!$G$9:$G$508,$A77,'Time Off'!$H$9:$H$508,$E77))))</x:f>
      </x:c>
      <x:c r="J77" s="29" t="str">
        <x:f>IF($A77="","",IF(OR($G77&lt;&gt;"Yes",$H77="Yes"),0,MAX(0,$F77-$I77)))</x:f>
      </x:c>
    </x:row>
    <x:row r="78">
      <x:c r="A78" s="27" t="str">
        <x:f>IF('Team Setup'!$A$15="","",'Team Setup'!$A$15)</x:f>
      </x:c>
      <x:c r="B78" s="27" t="str">
        <x:f>IF($A78="","",'Team Setup'!$B$15)</x:f>
      </x:c>
      <x:c r="C78" s="27" t="str">
        <x:f>IF($A78="","",'Team Setup'!$C$15)</x:f>
      </x:c>
      <x:c r="D78" s="27" t="str">
        <x:f>IF($A78="","",'Team Setup'!$D$15)</x:f>
      </x:c>
      <x:c r="E78" s="28" t="str">
        <x:f>IF(OR('Team Setup'!$D$4="",NOT(ISNUMBER('Team Setup'!$D$4))),"",'Team Setup'!$D$4+3)</x:f>
      </x:c>
      <x:c r="F78" s="29" t="str">
        <x:f>IF($A78="","",'Team Setup'!$E$15)</x:f>
      </x:c>
      <x:c r="G78" s="29" t="str">
        <x:f>IF($A78="","",IF(OR($E78="",$E78&lt;'Team Setup'!$D$4,$E78&gt;'Team Setup'!$F$4),"No",IF(WEEKDAY($E78,2)&gt;5,"No","Yes")))</x:f>
      </x:c>
      <x:c r="H78" s="29" t="str">
        <x:f>IF($A78="","",IF(OR($G78&lt;&gt;"Yes",$E78=""),"No",IF(COUNTIFS('Time Off'!$A$9:$A$508,$E78,'Time Off'!$C$9:$C$508,$D78,'Time Off'!$D$9:$D$508,$C78)+COUNTIFS('Time Off'!$A$9:$A$508,$E78,'Time Off'!$C$9:$C$508,$D78,'Time Off'!$D$9:$D$508,"All")&gt;0,"Yes","No")))</x:f>
      </x:c>
      <x:c r="I78" s="29" t="str">
        <x:f>IF($A78="","",IF(OR($G78&lt;&gt;"Yes",$H78="Yes"),0,MIN($F78,SUMIFS('Time Off'!$I$9:$I$508,'Time Off'!$G$9:$G$508,$A78,'Time Off'!$H$9:$H$508,$E78))))</x:f>
      </x:c>
      <x:c r="J78" s="29" t="str">
        <x:f>IF($A78="","",IF(OR($G78&lt;&gt;"Yes",$H78="Yes"),0,MAX(0,$F78-$I78)))</x:f>
      </x:c>
    </x:row>
    <x:row r="79">
      <x:c r="A79" s="27" t="str">
        <x:f>IF('Team Setup'!$A$15="","",'Team Setup'!$A$15)</x:f>
      </x:c>
      <x:c r="B79" s="27" t="str">
        <x:f>IF($A79="","",'Team Setup'!$B$15)</x:f>
      </x:c>
      <x:c r="C79" s="27" t="str">
        <x:f>IF($A79="","",'Team Setup'!$C$15)</x:f>
      </x:c>
      <x:c r="D79" s="27" t="str">
        <x:f>IF($A79="","",'Team Setup'!$D$15)</x:f>
      </x:c>
      <x:c r="E79" s="28" t="str">
        <x:f>IF(OR('Team Setup'!$D$4="",NOT(ISNUMBER('Team Setup'!$D$4))),"",'Team Setup'!$D$4+4)</x:f>
      </x:c>
      <x:c r="F79" s="29" t="str">
        <x:f>IF($A79="","",'Team Setup'!$E$15)</x:f>
      </x:c>
      <x:c r="G79" s="29" t="str">
        <x:f>IF($A79="","",IF(OR($E79="",$E79&lt;'Team Setup'!$D$4,$E79&gt;'Team Setup'!$F$4),"No",IF(WEEKDAY($E79,2)&gt;5,"No","Yes")))</x:f>
      </x:c>
      <x:c r="H79" s="29" t="str">
        <x:f>IF($A79="","",IF(OR($G79&lt;&gt;"Yes",$E79=""),"No",IF(COUNTIFS('Time Off'!$A$9:$A$508,$E79,'Time Off'!$C$9:$C$508,$D79,'Time Off'!$D$9:$D$508,$C79)+COUNTIFS('Time Off'!$A$9:$A$508,$E79,'Time Off'!$C$9:$C$508,$D79,'Time Off'!$D$9:$D$508,"All")&gt;0,"Yes","No")))</x:f>
      </x:c>
      <x:c r="I79" s="29" t="str">
        <x:f>IF($A79="","",IF(OR($G79&lt;&gt;"Yes",$H79="Yes"),0,MIN($F79,SUMIFS('Time Off'!$I$9:$I$508,'Time Off'!$G$9:$G$508,$A79,'Time Off'!$H$9:$H$508,$E79))))</x:f>
      </x:c>
      <x:c r="J79" s="29" t="str">
        <x:f>IF($A79="","",IF(OR($G79&lt;&gt;"Yes",$H79="Yes"),0,MAX(0,$F79-$I79)))</x:f>
      </x:c>
    </x:row>
    <x:row r="80">
      <x:c r="A80" s="27" t="str">
        <x:f>IF('Team Setup'!$A$15="","",'Team Setup'!$A$15)</x:f>
      </x:c>
      <x:c r="B80" s="27" t="str">
        <x:f>IF($A80="","",'Team Setup'!$B$15)</x:f>
      </x:c>
      <x:c r="C80" s="27" t="str">
        <x:f>IF($A80="","",'Team Setup'!$C$15)</x:f>
      </x:c>
      <x:c r="D80" s="27" t="str">
        <x:f>IF($A80="","",'Team Setup'!$D$15)</x:f>
      </x:c>
      <x:c r="E80" s="28" t="str">
        <x:f>IF(OR('Team Setup'!$D$4="",NOT(ISNUMBER('Team Setup'!$D$4))),"",'Team Setup'!$D$4+5)</x:f>
      </x:c>
      <x:c r="F80" s="29" t="str">
        <x:f>IF($A80="","",'Team Setup'!$E$15)</x:f>
      </x:c>
      <x:c r="G80" s="29" t="str">
        <x:f>IF($A80="","",IF(OR($E80="",$E80&lt;'Team Setup'!$D$4,$E80&gt;'Team Setup'!$F$4),"No",IF(WEEKDAY($E80,2)&gt;5,"No","Yes")))</x:f>
      </x:c>
      <x:c r="H80" s="29" t="str">
        <x:f>IF($A80="","",IF(OR($G80&lt;&gt;"Yes",$E80=""),"No",IF(COUNTIFS('Time Off'!$A$9:$A$508,$E80,'Time Off'!$C$9:$C$508,$D80,'Time Off'!$D$9:$D$508,$C80)+COUNTIFS('Time Off'!$A$9:$A$508,$E80,'Time Off'!$C$9:$C$508,$D80,'Time Off'!$D$9:$D$508,"All")&gt;0,"Yes","No")))</x:f>
      </x:c>
      <x:c r="I80" s="29" t="str">
        <x:f>IF($A80="","",IF(OR($G80&lt;&gt;"Yes",$H80="Yes"),0,MIN($F80,SUMIFS('Time Off'!$I$9:$I$508,'Time Off'!$G$9:$G$508,$A80,'Time Off'!$H$9:$H$508,$E80))))</x:f>
      </x:c>
      <x:c r="J80" s="29" t="str">
        <x:f>IF($A80="","",IF(OR($G80&lt;&gt;"Yes",$H80="Yes"),0,MAX(0,$F80-$I80)))</x:f>
      </x:c>
    </x:row>
    <x:row r="81">
      <x:c r="A81" s="27" t="str">
        <x:f>IF('Team Setup'!$A$15="","",'Team Setup'!$A$15)</x:f>
      </x:c>
      <x:c r="B81" s="27" t="str">
        <x:f>IF($A81="","",'Team Setup'!$B$15)</x:f>
      </x:c>
      <x:c r="C81" s="27" t="str">
        <x:f>IF($A81="","",'Team Setup'!$C$15)</x:f>
      </x:c>
      <x:c r="D81" s="27" t="str">
        <x:f>IF($A81="","",'Team Setup'!$D$15)</x:f>
      </x:c>
      <x:c r="E81" s="28" t="str">
        <x:f>IF(OR('Team Setup'!$D$4="",NOT(ISNUMBER('Team Setup'!$D$4))),"",'Team Setup'!$D$4+6)</x:f>
      </x:c>
      <x:c r="F81" s="29" t="str">
        <x:f>IF($A81="","",'Team Setup'!$E$15)</x:f>
      </x:c>
      <x:c r="G81" s="29" t="str">
        <x:f>IF($A81="","",IF(OR($E81="",$E81&lt;'Team Setup'!$D$4,$E81&gt;'Team Setup'!$F$4),"No",IF(WEEKDAY($E81,2)&gt;5,"No","Yes")))</x:f>
      </x:c>
      <x:c r="H81" s="29" t="str">
        <x:f>IF($A81="","",IF(OR($G81&lt;&gt;"Yes",$E81=""),"No",IF(COUNTIFS('Time Off'!$A$9:$A$508,$E81,'Time Off'!$C$9:$C$508,$D81,'Time Off'!$D$9:$D$508,$C81)+COUNTIFS('Time Off'!$A$9:$A$508,$E81,'Time Off'!$C$9:$C$508,$D81,'Time Off'!$D$9:$D$508,"All")&gt;0,"Yes","No")))</x:f>
      </x:c>
      <x:c r="I81" s="29" t="str">
        <x:f>IF($A81="","",IF(OR($G81&lt;&gt;"Yes",$H81="Yes"),0,MIN($F81,SUMIFS('Time Off'!$I$9:$I$508,'Time Off'!$G$9:$G$508,$A81,'Time Off'!$H$9:$H$508,$E81))))</x:f>
      </x:c>
      <x:c r="J81" s="29" t="str">
        <x:f>IF($A81="","",IF(OR($G81&lt;&gt;"Yes",$H81="Yes"),0,MAX(0,$F81-$I81)))</x:f>
      </x:c>
    </x:row>
    <x:row r="82">
      <x:c r="A82" s="27" t="str">
        <x:f>IF('Team Setup'!$A$15="","",'Team Setup'!$A$15)</x:f>
      </x:c>
      <x:c r="B82" s="27" t="str">
        <x:f>IF($A82="","",'Team Setup'!$B$15)</x:f>
      </x:c>
      <x:c r="C82" s="27" t="str">
        <x:f>IF($A82="","",'Team Setup'!$C$15)</x:f>
      </x:c>
      <x:c r="D82" s="27" t="str">
        <x:f>IF($A82="","",'Team Setup'!$D$15)</x:f>
      </x:c>
      <x:c r="E82" s="28" t="str">
        <x:f>IF(OR('Team Setup'!$D$4="",NOT(ISNUMBER('Team Setup'!$D$4))),"",'Team Setup'!$D$4+7)</x:f>
      </x:c>
      <x:c r="F82" s="29" t="str">
        <x:f>IF($A82="","",'Team Setup'!$E$15)</x:f>
      </x:c>
      <x:c r="G82" s="29" t="str">
        <x:f>IF($A82="","",IF(OR($E82="",$E82&lt;'Team Setup'!$D$4,$E82&gt;'Team Setup'!$F$4),"No",IF(WEEKDAY($E82,2)&gt;5,"No","Yes")))</x:f>
      </x:c>
      <x:c r="H82" s="29" t="str">
        <x:f>IF($A82="","",IF(OR($G82&lt;&gt;"Yes",$E82=""),"No",IF(COUNTIFS('Time Off'!$A$9:$A$508,$E82,'Time Off'!$C$9:$C$508,$D82,'Time Off'!$D$9:$D$508,$C82)+COUNTIFS('Time Off'!$A$9:$A$508,$E82,'Time Off'!$C$9:$C$508,$D82,'Time Off'!$D$9:$D$508,"All")&gt;0,"Yes","No")))</x:f>
      </x:c>
      <x:c r="I82" s="29" t="str">
        <x:f>IF($A82="","",IF(OR($G82&lt;&gt;"Yes",$H82="Yes"),0,MIN($F82,SUMIFS('Time Off'!$I$9:$I$508,'Time Off'!$G$9:$G$508,$A82,'Time Off'!$H$9:$H$508,$E82))))</x:f>
      </x:c>
      <x:c r="J82" s="29" t="str">
        <x:f>IF($A82="","",IF(OR($G82&lt;&gt;"Yes",$H82="Yes"),0,MAX(0,$F82-$I82)))</x:f>
      </x:c>
    </x:row>
    <x:row r="83">
      <x:c r="A83" s="27" t="str">
        <x:f>IF('Team Setup'!$A$15="","",'Team Setup'!$A$15)</x:f>
      </x:c>
      <x:c r="B83" s="27" t="str">
        <x:f>IF($A83="","",'Team Setup'!$B$15)</x:f>
      </x:c>
      <x:c r="C83" s="27" t="str">
        <x:f>IF($A83="","",'Team Setup'!$C$15)</x:f>
      </x:c>
      <x:c r="D83" s="27" t="str">
        <x:f>IF($A83="","",'Team Setup'!$D$15)</x:f>
      </x:c>
      <x:c r="E83" s="28" t="str">
        <x:f>IF(OR('Team Setup'!$D$4="",NOT(ISNUMBER('Team Setup'!$D$4))),"",'Team Setup'!$D$4+8)</x:f>
      </x:c>
      <x:c r="F83" s="29" t="str">
        <x:f>IF($A83="","",'Team Setup'!$E$15)</x:f>
      </x:c>
      <x:c r="G83" s="29" t="str">
        <x:f>IF($A83="","",IF(OR($E83="",$E83&lt;'Team Setup'!$D$4,$E83&gt;'Team Setup'!$F$4),"No",IF(WEEKDAY($E83,2)&gt;5,"No","Yes")))</x:f>
      </x:c>
      <x:c r="H83" s="29" t="str">
        <x:f>IF($A83="","",IF(OR($G83&lt;&gt;"Yes",$E83=""),"No",IF(COUNTIFS('Time Off'!$A$9:$A$508,$E83,'Time Off'!$C$9:$C$508,$D83,'Time Off'!$D$9:$D$508,$C83)+COUNTIFS('Time Off'!$A$9:$A$508,$E83,'Time Off'!$C$9:$C$508,$D83,'Time Off'!$D$9:$D$508,"All")&gt;0,"Yes","No")))</x:f>
      </x:c>
      <x:c r="I83" s="29" t="str">
        <x:f>IF($A83="","",IF(OR($G83&lt;&gt;"Yes",$H83="Yes"),0,MIN($F83,SUMIFS('Time Off'!$I$9:$I$508,'Time Off'!$G$9:$G$508,$A83,'Time Off'!$H$9:$H$508,$E83))))</x:f>
      </x:c>
      <x:c r="J83" s="29" t="str">
        <x:f>IF($A83="","",IF(OR($G83&lt;&gt;"Yes",$H83="Yes"),0,MAX(0,$F83-$I83)))</x:f>
      </x:c>
    </x:row>
    <x:row r="84">
      <x:c r="A84" s="27" t="str">
        <x:f>IF('Team Setup'!$A$15="","",'Team Setup'!$A$15)</x:f>
      </x:c>
      <x:c r="B84" s="27" t="str">
        <x:f>IF($A84="","",'Team Setup'!$B$15)</x:f>
      </x:c>
      <x:c r="C84" s="27" t="str">
        <x:f>IF($A84="","",'Team Setup'!$C$15)</x:f>
      </x:c>
      <x:c r="D84" s="27" t="str">
        <x:f>IF($A84="","",'Team Setup'!$D$15)</x:f>
      </x:c>
      <x:c r="E84" s="28" t="str">
        <x:f>IF(OR('Team Setup'!$D$4="",NOT(ISNUMBER('Team Setup'!$D$4))),"",'Team Setup'!$D$4+9)</x:f>
      </x:c>
      <x:c r="F84" s="29" t="str">
        <x:f>IF($A84="","",'Team Setup'!$E$15)</x:f>
      </x:c>
      <x:c r="G84" s="29" t="str">
        <x:f>IF($A84="","",IF(OR($E84="",$E84&lt;'Team Setup'!$D$4,$E84&gt;'Team Setup'!$F$4),"No",IF(WEEKDAY($E84,2)&gt;5,"No","Yes")))</x:f>
      </x:c>
      <x:c r="H84" s="29" t="str">
        <x:f>IF($A84="","",IF(OR($G84&lt;&gt;"Yes",$E84=""),"No",IF(COUNTIFS('Time Off'!$A$9:$A$508,$E84,'Time Off'!$C$9:$C$508,$D84,'Time Off'!$D$9:$D$508,$C84)+COUNTIFS('Time Off'!$A$9:$A$508,$E84,'Time Off'!$C$9:$C$508,$D84,'Time Off'!$D$9:$D$508,"All")&gt;0,"Yes","No")))</x:f>
      </x:c>
      <x:c r="I84" s="29" t="str">
        <x:f>IF($A84="","",IF(OR($G84&lt;&gt;"Yes",$H84="Yes"),0,MIN($F84,SUMIFS('Time Off'!$I$9:$I$508,'Time Off'!$G$9:$G$508,$A84,'Time Off'!$H$9:$H$508,$E84))))</x:f>
      </x:c>
      <x:c r="J84" s="29" t="str">
        <x:f>IF($A84="","",IF(OR($G84&lt;&gt;"Yes",$H84="Yes"),0,MAX(0,$F84-$I84)))</x:f>
      </x:c>
    </x:row>
    <x:row r="85">
      <x:c r="A85" s="27" t="str">
        <x:f>IF('Team Setup'!$A$15="","",'Team Setup'!$A$15)</x:f>
      </x:c>
      <x:c r="B85" s="27" t="str">
        <x:f>IF($A85="","",'Team Setup'!$B$15)</x:f>
      </x:c>
      <x:c r="C85" s="27" t="str">
        <x:f>IF($A85="","",'Team Setup'!$C$15)</x:f>
      </x:c>
      <x:c r="D85" s="27" t="str">
        <x:f>IF($A85="","",'Team Setup'!$D$15)</x:f>
      </x:c>
      <x:c r="E85" s="28" t="str">
        <x:f>IF(OR('Team Setup'!$D$4="",NOT(ISNUMBER('Team Setup'!$D$4))),"",'Team Setup'!$D$4+10)</x:f>
      </x:c>
      <x:c r="F85" s="29" t="str">
        <x:f>IF($A85="","",'Team Setup'!$E$15)</x:f>
      </x:c>
      <x:c r="G85" s="29" t="str">
        <x:f>IF($A85="","",IF(OR($E85="",$E85&lt;'Team Setup'!$D$4,$E85&gt;'Team Setup'!$F$4),"No",IF(WEEKDAY($E85,2)&gt;5,"No","Yes")))</x:f>
      </x:c>
      <x:c r="H85" s="29" t="str">
        <x:f>IF($A85="","",IF(OR($G85&lt;&gt;"Yes",$E85=""),"No",IF(COUNTIFS('Time Off'!$A$9:$A$508,$E85,'Time Off'!$C$9:$C$508,$D85,'Time Off'!$D$9:$D$508,$C85)+COUNTIFS('Time Off'!$A$9:$A$508,$E85,'Time Off'!$C$9:$C$508,$D85,'Time Off'!$D$9:$D$508,"All")&gt;0,"Yes","No")))</x:f>
      </x:c>
      <x:c r="I85" s="29" t="str">
        <x:f>IF($A85="","",IF(OR($G85&lt;&gt;"Yes",$H85="Yes"),0,MIN($F85,SUMIFS('Time Off'!$I$9:$I$508,'Time Off'!$G$9:$G$508,$A85,'Time Off'!$H$9:$H$508,$E85))))</x:f>
      </x:c>
      <x:c r="J85" s="29" t="str">
        <x:f>IF($A85="","",IF(OR($G85&lt;&gt;"Yes",$H85="Yes"),0,MAX(0,$F85-$I85)))</x:f>
      </x:c>
    </x:row>
    <x:row r="86">
      <x:c r="A86" s="27" t="str">
        <x:f>IF('Team Setup'!$A$15="","",'Team Setup'!$A$15)</x:f>
      </x:c>
      <x:c r="B86" s="27" t="str">
        <x:f>IF($A86="","",'Team Setup'!$B$15)</x:f>
      </x:c>
      <x:c r="C86" s="27" t="str">
        <x:f>IF($A86="","",'Team Setup'!$C$15)</x:f>
      </x:c>
      <x:c r="D86" s="27" t="str">
        <x:f>IF($A86="","",'Team Setup'!$D$15)</x:f>
      </x:c>
      <x:c r="E86" s="28" t="str">
        <x:f>IF(OR('Team Setup'!$D$4="",NOT(ISNUMBER('Team Setup'!$D$4))),"",'Team Setup'!$D$4+11)</x:f>
      </x:c>
      <x:c r="F86" s="29" t="str">
        <x:f>IF($A86="","",'Team Setup'!$E$15)</x:f>
      </x:c>
      <x:c r="G86" s="29" t="str">
        <x:f>IF($A86="","",IF(OR($E86="",$E86&lt;'Team Setup'!$D$4,$E86&gt;'Team Setup'!$F$4),"No",IF(WEEKDAY($E86,2)&gt;5,"No","Yes")))</x:f>
      </x:c>
      <x:c r="H86" s="29" t="str">
        <x:f>IF($A86="","",IF(OR($G86&lt;&gt;"Yes",$E86=""),"No",IF(COUNTIFS('Time Off'!$A$9:$A$508,$E86,'Time Off'!$C$9:$C$508,$D86,'Time Off'!$D$9:$D$508,$C86)+COUNTIFS('Time Off'!$A$9:$A$508,$E86,'Time Off'!$C$9:$C$508,$D86,'Time Off'!$D$9:$D$508,"All")&gt;0,"Yes","No")))</x:f>
      </x:c>
      <x:c r="I86" s="29" t="str">
        <x:f>IF($A86="","",IF(OR($G86&lt;&gt;"Yes",$H86="Yes"),0,MIN($F86,SUMIFS('Time Off'!$I$9:$I$508,'Time Off'!$G$9:$G$508,$A86,'Time Off'!$H$9:$H$508,$E86))))</x:f>
      </x:c>
      <x:c r="J86" s="29" t="str">
        <x:f>IF($A86="","",IF(OR($G86&lt;&gt;"Yes",$H86="Yes"),0,MAX(0,$F86-$I86)))</x:f>
      </x:c>
    </x:row>
    <x:row r="87">
      <x:c r="A87" s="27" t="str">
        <x:f>IF('Team Setup'!$A$15="","",'Team Setup'!$A$15)</x:f>
      </x:c>
      <x:c r="B87" s="27" t="str">
        <x:f>IF($A87="","",'Team Setup'!$B$15)</x:f>
      </x:c>
      <x:c r="C87" s="27" t="str">
        <x:f>IF($A87="","",'Team Setup'!$C$15)</x:f>
      </x:c>
      <x:c r="D87" s="27" t="str">
        <x:f>IF($A87="","",'Team Setup'!$D$15)</x:f>
      </x:c>
      <x:c r="E87" s="28" t="str">
        <x:f>IF(OR('Team Setup'!$D$4="",NOT(ISNUMBER('Team Setup'!$D$4))),"",'Team Setup'!$D$4+12)</x:f>
      </x:c>
      <x:c r="F87" s="29" t="str">
        <x:f>IF($A87="","",'Team Setup'!$E$15)</x:f>
      </x:c>
      <x:c r="G87" s="29" t="str">
        <x:f>IF($A87="","",IF(OR($E87="",$E87&lt;'Team Setup'!$D$4,$E87&gt;'Team Setup'!$F$4),"No",IF(WEEKDAY($E87,2)&gt;5,"No","Yes")))</x:f>
      </x:c>
      <x:c r="H87" s="29" t="str">
        <x:f>IF($A87="","",IF(OR($G87&lt;&gt;"Yes",$E87=""),"No",IF(COUNTIFS('Time Off'!$A$9:$A$508,$E87,'Time Off'!$C$9:$C$508,$D87,'Time Off'!$D$9:$D$508,$C87)+COUNTIFS('Time Off'!$A$9:$A$508,$E87,'Time Off'!$C$9:$C$508,$D87,'Time Off'!$D$9:$D$508,"All")&gt;0,"Yes","No")))</x:f>
      </x:c>
      <x:c r="I87" s="29" t="str">
        <x:f>IF($A87="","",IF(OR($G87&lt;&gt;"Yes",$H87="Yes"),0,MIN($F87,SUMIFS('Time Off'!$I$9:$I$508,'Time Off'!$G$9:$G$508,$A87,'Time Off'!$H$9:$H$508,$E87))))</x:f>
      </x:c>
      <x:c r="J87" s="29" t="str">
        <x:f>IF($A87="","",IF(OR($G87&lt;&gt;"Yes",$H87="Yes"),0,MAX(0,$F87-$I87)))</x:f>
      </x:c>
    </x:row>
    <x:row r="88">
      <x:c r="A88" s="27" t="str">
        <x:f>IF('Team Setup'!$A$15="","",'Team Setup'!$A$15)</x:f>
      </x:c>
      <x:c r="B88" s="27" t="str">
        <x:f>IF($A88="","",'Team Setup'!$B$15)</x:f>
      </x:c>
      <x:c r="C88" s="27" t="str">
        <x:f>IF($A88="","",'Team Setup'!$C$15)</x:f>
      </x:c>
      <x:c r="D88" s="27" t="str">
        <x:f>IF($A88="","",'Team Setup'!$D$15)</x:f>
      </x:c>
      <x:c r="E88" s="28" t="str">
        <x:f>IF(OR('Team Setup'!$D$4="",NOT(ISNUMBER('Team Setup'!$D$4))),"",'Team Setup'!$D$4+13)</x:f>
      </x:c>
      <x:c r="F88" s="29" t="str">
        <x:f>IF($A88="","",'Team Setup'!$E$15)</x:f>
      </x:c>
      <x:c r="G88" s="29" t="str">
        <x:f>IF($A88="","",IF(OR($E88="",$E88&lt;'Team Setup'!$D$4,$E88&gt;'Team Setup'!$F$4),"No",IF(WEEKDAY($E88,2)&gt;5,"No","Yes")))</x:f>
      </x:c>
      <x:c r="H88" s="29" t="str">
        <x:f>IF($A88="","",IF(OR($G88&lt;&gt;"Yes",$E88=""),"No",IF(COUNTIFS('Time Off'!$A$9:$A$508,$E88,'Time Off'!$C$9:$C$508,$D88,'Time Off'!$D$9:$D$508,$C88)+COUNTIFS('Time Off'!$A$9:$A$508,$E88,'Time Off'!$C$9:$C$508,$D88,'Time Off'!$D$9:$D$508,"All")&gt;0,"Yes","No")))</x:f>
      </x:c>
      <x:c r="I88" s="29" t="str">
        <x:f>IF($A88="","",IF(OR($G88&lt;&gt;"Yes",$H88="Yes"),0,MIN($F88,SUMIFS('Time Off'!$I$9:$I$508,'Time Off'!$G$9:$G$508,$A88,'Time Off'!$H$9:$H$508,$E88))))</x:f>
      </x:c>
      <x:c r="J88" s="29" t="str">
        <x:f>IF($A88="","",IF(OR($G88&lt;&gt;"Yes",$H88="Yes"),0,MAX(0,$F88-$I88)))</x:f>
      </x:c>
    </x:row>
    <x:row r="89">
      <x:c r="A89" s="27" t="str">
        <x:f>IF('Team Setup'!$A$16="","",'Team Setup'!$A$16)</x:f>
      </x:c>
      <x:c r="B89" s="27" t="str">
        <x:f>IF($A89="","",'Team Setup'!$B$16)</x:f>
      </x:c>
      <x:c r="C89" s="27" t="str">
        <x:f>IF($A89="","",'Team Setup'!$C$16)</x:f>
      </x:c>
      <x:c r="D89" s="27" t="str">
        <x:f>IF($A89="","",'Team Setup'!$D$16)</x:f>
      </x:c>
      <x:c r="E89" s="28" t="str">
        <x:f>IF(OR('Team Setup'!$D$4="",NOT(ISNUMBER('Team Setup'!$D$4))),"",'Team Setup'!$D$4+0)</x:f>
      </x:c>
      <x:c r="F89" s="29" t="str">
        <x:f>IF($A89="","",'Team Setup'!$E$16)</x:f>
      </x:c>
      <x:c r="G89" s="29" t="str">
        <x:f>IF($A89="","",IF(OR($E89="",$E89&lt;'Team Setup'!$D$4,$E89&gt;'Team Setup'!$F$4),"No",IF(WEEKDAY($E89,2)&gt;5,"No","Yes")))</x:f>
      </x:c>
      <x:c r="H89" s="29" t="str">
        <x:f>IF($A89="","",IF(OR($G89&lt;&gt;"Yes",$E89=""),"No",IF(COUNTIFS('Time Off'!$A$9:$A$508,$E89,'Time Off'!$C$9:$C$508,$D89,'Time Off'!$D$9:$D$508,$C89)+COUNTIFS('Time Off'!$A$9:$A$508,$E89,'Time Off'!$C$9:$C$508,$D89,'Time Off'!$D$9:$D$508,"All")&gt;0,"Yes","No")))</x:f>
      </x:c>
      <x:c r="I89" s="29" t="str">
        <x:f>IF($A89="","",IF(OR($G89&lt;&gt;"Yes",$H89="Yes"),0,MIN($F89,SUMIFS('Time Off'!$I$9:$I$508,'Time Off'!$G$9:$G$508,$A89,'Time Off'!$H$9:$H$508,$E89))))</x:f>
      </x:c>
      <x:c r="J89" s="29" t="str">
        <x:f>IF($A89="","",IF(OR($G89&lt;&gt;"Yes",$H89="Yes"),0,MAX(0,$F89-$I89)))</x:f>
      </x:c>
    </x:row>
    <x:row r="90">
      <x:c r="A90" s="27" t="str">
        <x:f>IF('Team Setup'!$A$16="","",'Team Setup'!$A$16)</x:f>
      </x:c>
      <x:c r="B90" s="27" t="str">
        <x:f>IF($A90="","",'Team Setup'!$B$16)</x:f>
      </x:c>
      <x:c r="C90" s="27" t="str">
        <x:f>IF($A90="","",'Team Setup'!$C$16)</x:f>
      </x:c>
      <x:c r="D90" s="27" t="str">
        <x:f>IF($A90="","",'Team Setup'!$D$16)</x:f>
      </x:c>
      <x:c r="E90" s="28" t="str">
        <x:f>IF(OR('Team Setup'!$D$4="",NOT(ISNUMBER('Team Setup'!$D$4))),"",'Team Setup'!$D$4+1)</x:f>
      </x:c>
      <x:c r="F90" s="29" t="str">
        <x:f>IF($A90="","",'Team Setup'!$E$16)</x:f>
      </x:c>
      <x:c r="G90" s="29" t="str">
        <x:f>IF($A90="","",IF(OR($E90="",$E90&lt;'Team Setup'!$D$4,$E90&gt;'Team Setup'!$F$4),"No",IF(WEEKDAY($E90,2)&gt;5,"No","Yes")))</x:f>
      </x:c>
      <x:c r="H90" s="29" t="str">
        <x:f>IF($A90="","",IF(OR($G90&lt;&gt;"Yes",$E90=""),"No",IF(COUNTIFS('Time Off'!$A$9:$A$508,$E90,'Time Off'!$C$9:$C$508,$D90,'Time Off'!$D$9:$D$508,$C90)+COUNTIFS('Time Off'!$A$9:$A$508,$E90,'Time Off'!$C$9:$C$508,$D90,'Time Off'!$D$9:$D$508,"All")&gt;0,"Yes","No")))</x:f>
      </x:c>
      <x:c r="I90" s="29" t="str">
        <x:f>IF($A90="","",IF(OR($G90&lt;&gt;"Yes",$H90="Yes"),0,MIN($F90,SUMIFS('Time Off'!$I$9:$I$508,'Time Off'!$G$9:$G$508,$A90,'Time Off'!$H$9:$H$508,$E90))))</x:f>
      </x:c>
      <x:c r="J90" s="29" t="str">
        <x:f>IF($A90="","",IF(OR($G90&lt;&gt;"Yes",$H90="Yes"),0,MAX(0,$F90-$I90)))</x:f>
      </x:c>
    </x:row>
    <x:row r="91">
      <x:c r="A91" s="27" t="str">
        <x:f>IF('Team Setup'!$A$16="","",'Team Setup'!$A$16)</x:f>
      </x:c>
      <x:c r="B91" s="27" t="str">
        <x:f>IF($A91="","",'Team Setup'!$B$16)</x:f>
      </x:c>
      <x:c r="C91" s="27" t="str">
        <x:f>IF($A91="","",'Team Setup'!$C$16)</x:f>
      </x:c>
      <x:c r="D91" s="27" t="str">
        <x:f>IF($A91="","",'Team Setup'!$D$16)</x:f>
      </x:c>
      <x:c r="E91" s="28" t="str">
        <x:f>IF(OR('Team Setup'!$D$4="",NOT(ISNUMBER('Team Setup'!$D$4))),"",'Team Setup'!$D$4+2)</x:f>
      </x:c>
      <x:c r="F91" s="29" t="str">
        <x:f>IF($A91="","",'Team Setup'!$E$16)</x:f>
      </x:c>
      <x:c r="G91" s="29" t="str">
        <x:f>IF($A91="","",IF(OR($E91="",$E91&lt;'Team Setup'!$D$4,$E91&gt;'Team Setup'!$F$4),"No",IF(WEEKDAY($E91,2)&gt;5,"No","Yes")))</x:f>
      </x:c>
      <x:c r="H91" s="29" t="str">
        <x:f>IF($A91="","",IF(OR($G91&lt;&gt;"Yes",$E91=""),"No",IF(COUNTIFS('Time Off'!$A$9:$A$508,$E91,'Time Off'!$C$9:$C$508,$D91,'Time Off'!$D$9:$D$508,$C91)+COUNTIFS('Time Off'!$A$9:$A$508,$E91,'Time Off'!$C$9:$C$508,$D91,'Time Off'!$D$9:$D$508,"All")&gt;0,"Yes","No")))</x:f>
      </x:c>
      <x:c r="I91" s="29" t="str">
        <x:f>IF($A91="","",IF(OR($G91&lt;&gt;"Yes",$H91="Yes"),0,MIN($F91,SUMIFS('Time Off'!$I$9:$I$508,'Time Off'!$G$9:$G$508,$A91,'Time Off'!$H$9:$H$508,$E91))))</x:f>
      </x:c>
      <x:c r="J91" s="29" t="str">
        <x:f>IF($A91="","",IF(OR($G91&lt;&gt;"Yes",$H91="Yes"),0,MAX(0,$F91-$I91)))</x:f>
      </x:c>
    </x:row>
    <x:row r="92">
      <x:c r="A92" s="27" t="str">
        <x:f>IF('Team Setup'!$A$16="","",'Team Setup'!$A$16)</x:f>
      </x:c>
      <x:c r="B92" s="27" t="str">
        <x:f>IF($A92="","",'Team Setup'!$B$16)</x:f>
      </x:c>
      <x:c r="C92" s="27" t="str">
        <x:f>IF($A92="","",'Team Setup'!$C$16)</x:f>
      </x:c>
      <x:c r="D92" s="27" t="str">
        <x:f>IF($A92="","",'Team Setup'!$D$16)</x:f>
      </x:c>
      <x:c r="E92" s="28" t="str">
        <x:f>IF(OR('Team Setup'!$D$4="",NOT(ISNUMBER('Team Setup'!$D$4))),"",'Team Setup'!$D$4+3)</x:f>
      </x:c>
      <x:c r="F92" s="29" t="str">
        <x:f>IF($A92="","",'Team Setup'!$E$16)</x:f>
      </x:c>
      <x:c r="G92" s="29" t="str">
        <x:f>IF($A92="","",IF(OR($E92="",$E92&lt;'Team Setup'!$D$4,$E92&gt;'Team Setup'!$F$4),"No",IF(WEEKDAY($E92,2)&gt;5,"No","Yes")))</x:f>
      </x:c>
      <x:c r="H92" s="29" t="str">
        <x:f>IF($A92="","",IF(OR($G92&lt;&gt;"Yes",$E92=""),"No",IF(COUNTIFS('Time Off'!$A$9:$A$508,$E92,'Time Off'!$C$9:$C$508,$D92,'Time Off'!$D$9:$D$508,$C92)+COUNTIFS('Time Off'!$A$9:$A$508,$E92,'Time Off'!$C$9:$C$508,$D92,'Time Off'!$D$9:$D$508,"All")&gt;0,"Yes","No")))</x:f>
      </x:c>
      <x:c r="I92" s="29" t="str">
        <x:f>IF($A92="","",IF(OR($G92&lt;&gt;"Yes",$H92="Yes"),0,MIN($F92,SUMIFS('Time Off'!$I$9:$I$508,'Time Off'!$G$9:$G$508,$A92,'Time Off'!$H$9:$H$508,$E92))))</x:f>
      </x:c>
      <x:c r="J92" s="29" t="str">
        <x:f>IF($A92="","",IF(OR($G92&lt;&gt;"Yes",$H92="Yes"),0,MAX(0,$F92-$I92)))</x:f>
      </x:c>
    </x:row>
    <x:row r="93">
      <x:c r="A93" s="27" t="str">
        <x:f>IF('Team Setup'!$A$16="","",'Team Setup'!$A$16)</x:f>
      </x:c>
      <x:c r="B93" s="27" t="str">
        <x:f>IF($A93="","",'Team Setup'!$B$16)</x:f>
      </x:c>
      <x:c r="C93" s="27" t="str">
        <x:f>IF($A93="","",'Team Setup'!$C$16)</x:f>
      </x:c>
      <x:c r="D93" s="27" t="str">
        <x:f>IF($A93="","",'Team Setup'!$D$16)</x:f>
      </x:c>
      <x:c r="E93" s="28" t="str">
        <x:f>IF(OR('Team Setup'!$D$4="",NOT(ISNUMBER('Team Setup'!$D$4))),"",'Team Setup'!$D$4+4)</x:f>
      </x:c>
      <x:c r="F93" s="29" t="str">
        <x:f>IF($A93="","",'Team Setup'!$E$16)</x:f>
      </x:c>
      <x:c r="G93" s="29" t="str">
        <x:f>IF($A93="","",IF(OR($E93="",$E93&lt;'Team Setup'!$D$4,$E93&gt;'Team Setup'!$F$4),"No",IF(WEEKDAY($E93,2)&gt;5,"No","Yes")))</x:f>
      </x:c>
      <x:c r="H93" s="29" t="str">
        <x:f>IF($A93="","",IF(OR($G93&lt;&gt;"Yes",$E93=""),"No",IF(COUNTIFS('Time Off'!$A$9:$A$508,$E93,'Time Off'!$C$9:$C$508,$D93,'Time Off'!$D$9:$D$508,$C93)+COUNTIFS('Time Off'!$A$9:$A$508,$E93,'Time Off'!$C$9:$C$508,$D93,'Time Off'!$D$9:$D$508,"All")&gt;0,"Yes","No")))</x:f>
      </x:c>
      <x:c r="I93" s="29" t="str">
        <x:f>IF($A93="","",IF(OR($G93&lt;&gt;"Yes",$H93="Yes"),0,MIN($F93,SUMIFS('Time Off'!$I$9:$I$508,'Time Off'!$G$9:$G$508,$A93,'Time Off'!$H$9:$H$508,$E93))))</x:f>
      </x:c>
      <x:c r="J93" s="29" t="str">
        <x:f>IF($A93="","",IF(OR($G93&lt;&gt;"Yes",$H93="Yes"),0,MAX(0,$F93-$I93)))</x:f>
      </x:c>
    </x:row>
    <x:row r="94">
      <x:c r="A94" s="27" t="str">
        <x:f>IF('Team Setup'!$A$16="","",'Team Setup'!$A$16)</x:f>
      </x:c>
      <x:c r="B94" s="27" t="str">
        <x:f>IF($A94="","",'Team Setup'!$B$16)</x:f>
      </x:c>
      <x:c r="C94" s="27" t="str">
        <x:f>IF($A94="","",'Team Setup'!$C$16)</x:f>
      </x:c>
      <x:c r="D94" s="27" t="str">
        <x:f>IF($A94="","",'Team Setup'!$D$16)</x:f>
      </x:c>
      <x:c r="E94" s="28" t="str">
        <x:f>IF(OR('Team Setup'!$D$4="",NOT(ISNUMBER('Team Setup'!$D$4))),"",'Team Setup'!$D$4+5)</x:f>
      </x:c>
      <x:c r="F94" s="29" t="str">
        <x:f>IF($A94="","",'Team Setup'!$E$16)</x:f>
      </x:c>
      <x:c r="G94" s="29" t="str">
        <x:f>IF($A94="","",IF(OR($E94="",$E94&lt;'Team Setup'!$D$4,$E94&gt;'Team Setup'!$F$4),"No",IF(WEEKDAY($E94,2)&gt;5,"No","Yes")))</x:f>
      </x:c>
      <x:c r="H94" s="29" t="str">
        <x:f>IF($A94="","",IF(OR($G94&lt;&gt;"Yes",$E94=""),"No",IF(COUNTIFS('Time Off'!$A$9:$A$508,$E94,'Time Off'!$C$9:$C$508,$D94,'Time Off'!$D$9:$D$508,$C94)+COUNTIFS('Time Off'!$A$9:$A$508,$E94,'Time Off'!$C$9:$C$508,$D94,'Time Off'!$D$9:$D$508,"All")&gt;0,"Yes","No")))</x:f>
      </x:c>
      <x:c r="I94" s="29" t="str">
        <x:f>IF($A94="","",IF(OR($G94&lt;&gt;"Yes",$H94="Yes"),0,MIN($F94,SUMIFS('Time Off'!$I$9:$I$508,'Time Off'!$G$9:$G$508,$A94,'Time Off'!$H$9:$H$508,$E94))))</x:f>
      </x:c>
      <x:c r="J94" s="29" t="str">
        <x:f>IF($A94="","",IF(OR($G94&lt;&gt;"Yes",$H94="Yes"),0,MAX(0,$F94-$I94)))</x:f>
      </x:c>
    </x:row>
    <x:row r="95">
      <x:c r="A95" s="27" t="str">
        <x:f>IF('Team Setup'!$A$16="","",'Team Setup'!$A$16)</x:f>
      </x:c>
      <x:c r="B95" s="27" t="str">
        <x:f>IF($A95="","",'Team Setup'!$B$16)</x:f>
      </x:c>
      <x:c r="C95" s="27" t="str">
        <x:f>IF($A95="","",'Team Setup'!$C$16)</x:f>
      </x:c>
      <x:c r="D95" s="27" t="str">
        <x:f>IF($A95="","",'Team Setup'!$D$16)</x:f>
      </x:c>
      <x:c r="E95" s="28" t="str">
        <x:f>IF(OR('Team Setup'!$D$4="",NOT(ISNUMBER('Team Setup'!$D$4))),"",'Team Setup'!$D$4+6)</x:f>
      </x:c>
      <x:c r="F95" s="29" t="str">
        <x:f>IF($A95="","",'Team Setup'!$E$16)</x:f>
      </x:c>
      <x:c r="G95" s="29" t="str">
        <x:f>IF($A95="","",IF(OR($E95="",$E95&lt;'Team Setup'!$D$4,$E95&gt;'Team Setup'!$F$4),"No",IF(WEEKDAY($E95,2)&gt;5,"No","Yes")))</x:f>
      </x:c>
      <x:c r="H95" s="29" t="str">
        <x:f>IF($A95="","",IF(OR($G95&lt;&gt;"Yes",$E95=""),"No",IF(COUNTIFS('Time Off'!$A$9:$A$508,$E95,'Time Off'!$C$9:$C$508,$D95,'Time Off'!$D$9:$D$508,$C95)+COUNTIFS('Time Off'!$A$9:$A$508,$E95,'Time Off'!$C$9:$C$508,$D95,'Time Off'!$D$9:$D$508,"All")&gt;0,"Yes","No")))</x:f>
      </x:c>
      <x:c r="I95" s="29" t="str">
        <x:f>IF($A95="","",IF(OR($G95&lt;&gt;"Yes",$H95="Yes"),0,MIN($F95,SUMIFS('Time Off'!$I$9:$I$508,'Time Off'!$G$9:$G$508,$A95,'Time Off'!$H$9:$H$508,$E95))))</x:f>
      </x:c>
      <x:c r="J95" s="29" t="str">
        <x:f>IF($A95="","",IF(OR($G95&lt;&gt;"Yes",$H95="Yes"),0,MAX(0,$F95-$I95)))</x:f>
      </x:c>
    </x:row>
    <x:row r="96">
      <x:c r="A96" s="27" t="str">
        <x:f>IF('Team Setup'!$A$16="","",'Team Setup'!$A$16)</x:f>
      </x:c>
      <x:c r="B96" s="27" t="str">
        <x:f>IF($A96="","",'Team Setup'!$B$16)</x:f>
      </x:c>
      <x:c r="C96" s="27" t="str">
        <x:f>IF($A96="","",'Team Setup'!$C$16)</x:f>
      </x:c>
      <x:c r="D96" s="27" t="str">
        <x:f>IF($A96="","",'Team Setup'!$D$16)</x:f>
      </x:c>
      <x:c r="E96" s="28" t="str">
        <x:f>IF(OR('Team Setup'!$D$4="",NOT(ISNUMBER('Team Setup'!$D$4))),"",'Team Setup'!$D$4+7)</x:f>
      </x:c>
      <x:c r="F96" s="29" t="str">
        <x:f>IF($A96="","",'Team Setup'!$E$16)</x:f>
      </x:c>
      <x:c r="G96" s="29" t="str">
        <x:f>IF($A96="","",IF(OR($E96="",$E96&lt;'Team Setup'!$D$4,$E96&gt;'Team Setup'!$F$4),"No",IF(WEEKDAY($E96,2)&gt;5,"No","Yes")))</x:f>
      </x:c>
      <x:c r="H96" s="29" t="str">
        <x:f>IF($A96="","",IF(OR($G96&lt;&gt;"Yes",$E96=""),"No",IF(COUNTIFS('Time Off'!$A$9:$A$508,$E96,'Time Off'!$C$9:$C$508,$D96,'Time Off'!$D$9:$D$508,$C96)+COUNTIFS('Time Off'!$A$9:$A$508,$E96,'Time Off'!$C$9:$C$508,$D96,'Time Off'!$D$9:$D$508,"All")&gt;0,"Yes","No")))</x:f>
      </x:c>
      <x:c r="I96" s="29" t="str">
        <x:f>IF($A96="","",IF(OR($G96&lt;&gt;"Yes",$H96="Yes"),0,MIN($F96,SUMIFS('Time Off'!$I$9:$I$508,'Time Off'!$G$9:$G$508,$A96,'Time Off'!$H$9:$H$508,$E96))))</x:f>
      </x:c>
      <x:c r="J96" s="29" t="str">
        <x:f>IF($A96="","",IF(OR($G96&lt;&gt;"Yes",$H96="Yes"),0,MAX(0,$F96-$I96)))</x:f>
      </x:c>
    </x:row>
    <x:row r="97">
      <x:c r="A97" s="27" t="str">
        <x:f>IF('Team Setup'!$A$16="","",'Team Setup'!$A$16)</x:f>
      </x:c>
      <x:c r="B97" s="27" t="str">
        <x:f>IF($A97="","",'Team Setup'!$B$16)</x:f>
      </x:c>
      <x:c r="C97" s="27" t="str">
        <x:f>IF($A97="","",'Team Setup'!$C$16)</x:f>
      </x:c>
      <x:c r="D97" s="27" t="str">
        <x:f>IF($A97="","",'Team Setup'!$D$16)</x:f>
      </x:c>
      <x:c r="E97" s="28" t="str">
        <x:f>IF(OR('Team Setup'!$D$4="",NOT(ISNUMBER('Team Setup'!$D$4))),"",'Team Setup'!$D$4+8)</x:f>
      </x:c>
      <x:c r="F97" s="29" t="str">
        <x:f>IF($A97="","",'Team Setup'!$E$16)</x:f>
      </x:c>
      <x:c r="G97" s="29" t="str">
        <x:f>IF($A97="","",IF(OR($E97="",$E97&lt;'Team Setup'!$D$4,$E97&gt;'Team Setup'!$F$4),"No",IF(WEEKDAY($E97,2)&gt;5,"No","Yes")))</x:f>
      </x:c>
      <x:c r="H97" s="29" t="str">
        <x:f>IF($A97="","",IF(OR($G97&lt;&gt;"Yes",$E97=""),"No",IF(COUNTIFS('Time Off'!$A$9:$A$508,$E97,'Time Off'!$C$9:$C$508,$D97,'Time Off'!$D$9:$D$508,$C97)+COUNTIFS('Time Off'!$A$9:$A$508,$E97,'Time Off'!$C$9:$C$508,$D97,'Time Off'!$D$9:$D$508,"All")&gt;0,"Yes","No")))</x:f>
      </x:c>
      <x:c r="I97" s="29" t="str">
        <x:f>IF($A97="","",IF(OR($G97&lt;&gt;"Yes",$H97="Yes"),0,MIN($F97,SUMIFS('Time Off'!$I$9:$I$508,'Time Off'!$G$9:$G$508,$A97,'Time Off'!$H$9:$H$508,$E97))))</x:f>
      </x:c>
      <x:c r="J97" s="29" t="str">
        <x:f>IF($A97="","",IF(OR($G97&lt;&gt;"Yes",$H97="Yes"),0,MAX(0,$F97-$I97)))</x:f>
      </x:c>
    </x:row>
    <x:row r="98">
      <x:c r="A98" s="27" t="str">
        <x:f>IF('Team Setup'!$A$16="","",'Team Setup'!$A$16)</x:f>
      </x:c>
      <x:c r="B98" s="27" t="str">
        <x:f>IF($A98="","",'Team Setup'!$B$16)</x:f>
      </x:c>
      <x:c r="C98" s="27" t="str">
        <x:f>IF($A98="","",'Team Setup'!$C$16)</x:f>
      </x:c>
      <x:c r="D98" s="27" t="str">
        <x:f>IF($A98="","",'Team Setup'!$D$16)</x:f>
      </x:c>
      <x:c r="E98" s="28" t="str">
        <x:f>IF(OR('Team Setup'!$D$4="",NOT(ISNUMBER('Team Setup'!$D$4))),"",'Team Setup'!$D$4+9)</x:f>
      </x:c>
      <x:c r="F98" s="29" t="str">
        <x:f>IF($A98="","",'Team Setup'!$E$16)</x:f>
      </x:c>
      <x:c r="G98" s="29" t="str">
        <x:f>IF($A98="","",IF(OR($E98="",$E98&lt;'Team Setup'!$D$4,$E98&gt;'Team Setup'!$F$4),"No",IF(WEEKDAY($E98,2)&gt;5,"No","Yes")))</x:f>
      </x:c>
      <x:c r="H98" s="29" t="str">
        <x:f>IF($A98="","",IF(OR($G98&lt;&gt;"Yes",$E98=""),"No",IF(COUNTIFS('Time Off'!$A$9:$A$508,$E98,'Time Off'!$C$9:$C$508,$D98,'Time Off'!$D$9:$D$508,$C98)+COUNTIFS('Time Off'!$A$9:$A$508,$E98,'Time Off'!$C$9:$C$508,$D98,'Time Off'!$D$9:$D$508,"All")&gt;0,"Yes","No")))</x:f>
      </x:c>
      <x:c r="I98" s="29" t="str">
        <x:f>IF($A98="","",IF(OR($G98&lt;&gt;"Yes",$H98="Yes"),0,MIN($F98,SUMIFS('Time Off'!$I$9:$I$508,'Time Off'!$G$9:$G$508,$A98,'Time Off'!$H$9:$H$508,$E98))))</x:f>
      </x:c>
      <x:c r="J98" s="29" t="str">
        <x:f>IF($A98="","",IF(OR($G98&lt;&gt;"Yes",$H98="Yes"),0,MAX(0,$F98-$I98)))</x:f>
      </x:c>
    </x:row>
    <x:row r="99">
      <x:c r="A99" s="27" t="str">
        <x:f>IF('Team Setup'!$A$16="","",'Team Setup'!$A$16)</x:f>
      </x:c>
      <x:c r="B99" s="27" t="str">
        <x:f>IF($A99="","",'Team Setup'!$B$16)</x:f>
      </x:c>
      <x:c r="C99" s="27" t="str">
        <x:f>IF($A99="","",'Team Setup'!$C$16)</x:f>
      </x:c>
      <x:c r="D99" s="27" t="str">
        <x:f>IF($A99="","",'Team Setup'!$D$16)</x:f>
      </x:c>
      <x:c r="E99" s="28" t="str">
        <x:f>IF(OR('Team Setup'!$D$4="",NOT(ISNUMBER('Team Setup'!$D$4))),"",'Team Setup'!$D$4+10)</x:f>
      </x:c>
      <x:c r="F99" s="29" t="str">
        <x:f>IF($A99="","",'Team Setup'!$E$16)</x:f>
      </x:c>
      <x:c r="G99" s="29" t="str">
        <x:f>IF($A99="","",IF(OR($E99="",$E99&lt;'Team Setup'!$D$4,$E99&gt;'Team Setup'!$F$4),"No",IF(WEEKDAY($E99,2)&gt;5,"No","Yes")))</x:f>
      </x:c>
      <x:c r="H99" s="29" t="str">
        <x:f>IF($A99="","",IF(OR($G99&lt;&gt;"Yes",$E99=""),"No",IF(COUNTIFS('Time Off'!$A$9:$A$508,$E99,'Time Off'!$C$9:$C$508,$D99,'Time Off'!$D$9:$D$508,$C99)+COUNTIFS('Time Off'!$A$9:$A$508,$E99,'Time Off'!$C$9:$C$508,$D99,'Time Off'!$D$9:$D$508,"All")&gt;0,"Yes","No")))</x:f>
      </x:c>
      <x:c r="I99" s="29" t="str">
        <x:f>IF($A99="","",IF(OR($G99&lt;&gt;"Yes",$H99="Yes"),0,MIN($F99,SUMIFS('Time Off'!$I$9:$I$508,'Time Off'!$G$9:$G$508,$A99,'Time Off'!$H$9:$H$508,$E99))))</x:f>
      </x:c>
      <x:c r="J99" s="29" t="str">
        <x:f>IF($A99="","",IF(OR($G99&lt;&gt;"Yes",$H99="Yes"),0,MAX(0,$F99-$I99)))</x:f>
      </x:c>
    </x:row>
    <x:row r="100">
      <x:c r="A100" s="27" t="str">
        <x:f>IF('Team Setup'!$A$16="","",'Team Setup'!$A$16)</x:f>
      </x:c>
      <x:c r="B100" s="27" t="str">
        <x:f>IF($A100="","",'Team Setup'!$B$16)</x:f>
      </x:c>
      <x:c r="C100" s="27" t="str">
        <x:f>IF($A100="","",'Team Setup'!$C$16)</x:f>
      </x:c>
      <x:c r="D100" s="27" t="str">
        <x:f>IF($A100="","",'Team Setup'!$D$16)</x:f>
      </x:c>
      <x:c r="E100" s="28" t="str">
        <x:f>IF(OR('Team Setup'!$D$4="",NOT(ISNUMBER('Team Setup'!$D$4))),"",'Team Setup'!$D$4+11)</x:f>
      </x:c>
      <x:c r="F100" s="29" t="str">
        <x:f>IF($A100="","",'Team Setup'!$E$16)</x:f>
      </x:c>
      <x:c r="G100" s="29" t="str">
        <x:f>IF($A100="","",IF(OR($E100="",$E100&lt;'Team Setup'!$D$4,$E100&gt;'Team Setup'!$F$4),"No",IF(WEEKDAY($E100,2)&gt;5,"No","Yes")))</x:f>
      </x:c>
      <x:c r="H100" s="29" t="str">
        <x:f>IF($A100="","",IF(OR($G100&lt;&gt;"Yes",$E100=""),"No",IF(COUNTIFS('Time Off'!$A$9:$A$508,$E100,'Time Off'!$C$9:$C$508,$D100,'Time Off'!$D$9:$D$508,$C100)+COUNTIFS('Time Off'!$A$9:$A$508,$E100,'Time Off'!$C$9:$C$508,$D100,'Time Off'!$D$9:$D$508,"All")&gt;0,"Yes","No")))</x:f>
      </x:c>
      <x:c r="I100" s="29" t="str">
        <x:f>IF($A100="","",IF(OR($G100&lt;&gt;"Yes",$H100="Yes"),0,MIN($F100,SUMIFS('Time Off'!$I$9:$I$508,'Time Off'!$G$9:$G$508,$A100,'Time Off'!$H$9:$H$508,$E100))))</x:f>
      </x:c>
      <x:c r="J100" s="29" t="str">
        <x:f>IF($A100="","",IF(OR($G100&lt;&gt;"Yes",$H100="Yes"),0,MAX(0,$F100-$I100)))</x:f>
      </x:c>
    </x:row>
    <x:row r="101">
      <x:c r="A101" s="27" t="str">
        <x:f>IF('Team Setup'!$A$16="","",'Team Setup'!$A$16)</x:f>
      </x:c>
      <x:c r="B101" s="27" t="str">
        <x:f>IF($A101="","",'Team Setup'!$B$16)</x:f>
      </x:c>
      <x:c r="C101" s="27" t="str">
        <x:f>IF($A101="","",'Team Setup'!$C$16)</x:f>
      </x:c>
      <x:c r="D101" s="27" t="str">
        <x:f>IF($A101="","",'Team Setup'!$D$16)</x:f>
      </x:c>
      <x:c r="E101" s="28" t="str">
        <x:f>IF(OR('Team Setup'!$D$4="",NOT(ISNUMBER('Team Setup'!$D$4))),"",'Team Setup'!$D$4+12)</x:f>
      </x:c>
      <x:c r="F101" s="29" t="str">
        <x:f>IF($A101="","",'Team Setup'!$E$16)</x:f>
      </x:c>
      <x:c r="G101" s="29" t="str">
        <x:f>IF($A101="","",IF(OR($E101="",$E101&lt;'Team Setup'!$D$4,$E101&gt;'Team Setup'!$F$4),"No",IF(WEEKDAY($E101,2)&gt;5,"No","Yes")))</x:f>
      </x:c>
      <x:c r="H101" s="29" t="str">
        <x:f>IF($A101="","",IF(OR($G101&lt;&gt;"Yes",$E101=""),"No",IF(COUNTIFS('Time Off'!$A$9:$A$508,$E101,'Time Off'!$C$9:$C$508,$D101,'Time Off'!$D$9:$D$508,$C101)+COUNTIFS('Time Off'!$A$9:$A$508,$E101,'Time Off'!$C$9:$C$508,$D101,'Time Off'!$D$9:$D$508,"All")&gt;0,"Yes","No")))</x:f>
      </x:c>
      <x:c r="I101" s="29" t="str">
        <x:f>IF($A101="","",IF(OR($G101&lt;&gt;"Yes",$H101="Yes"),0,MIN($F101,SUMIFS('Time Off'!$I$9:$I$508,'Time Off'!$G$9:$G$508,$A101,'Time Off'!$H$9:$H$508,$E101))))</x:f>
      </x:c>
      <x:c r="J101" s="29" t="str">
        <x:f>IF($A101="","",IF(OR($G101&lt;&gt;"Yes",$H101="Yes"),0,MAX(0,$F101-$I101)))</x:f>
      </x:c>
    </x:row>
    <x:row r="102">
      <x:c r="A102" s="27" t="str">
        <x:f>IF('Team Setup'!$A$16="","",'Team Setup'!$A$16)</x:f>
      </x:c>
      <x:c r="B102" s="27" t="str">
        <x:f>IF($A102="","",'Team Setup'!$B$16)</x:f>
      </x:c>
      <x:c r="C102" s="27" t="str">
        <x:f>IF($A102="","",'Team Setup'!$C$16)</x:f>
      </x:c>
      <x:c r="D102" s="27" t="str">
        <x:f>IF($A102="","",'Team Setup'!$D$16)</x:f>
      </x:c>
      <x:c r="E102" s="28" t="str">
        <x:f>IF(OR('Team Setup'!$D$4="",NOT(ISNUMBER('Team Setup'!$D$4))),"",'Team Setup'!$D$4+13)</x:f>
      </x:c>
      <x:c r="F102" s="29" t="str">
        <x:f>IF($A102="","",'Team Setup'!$E$16)</x:f>
      </x:c>
      <x:c r="G102" s="29" t="str">
        <x:f>IF($A102="","",IF(OR($E102="",$E102&lt;'Team Setup'!$D$4,$E102&gt;'Team Setup'!$F$4),"No",IF(WEEKDAY($E102,2)&gt;5,"No","Yes")))</x:f>
      </x:c>
      <x:c r="H102" s="29" t="str">
        <x:f>IF($A102="","",IF(OR($G102&lt;&gt;"Yes",$E102=""),"No",IF(COUNTIFS('Time Off'!$A$9:$A$508,$E102,'Time Off'!$C$9:$C$508,$D102,'Time Off'!$D$9:$D$508,$C102)+COUNTIFS('Time Off'!$A$9:$A$508,$E102,'Time Off'!$C$9:$C$508,$D102,'Time Off'!$D$9:$D$508,"All")&gt;0,"Yes","No")))</x:f>
      </x:c>
      <x:c r="I102" s="29" t="str">
        <x:f>IF($A102="","",IF(OR($G102&lt;&gt;"Yes",$H102="Yes"),0,MIN($F102,SUMIFS('Time Off'!$I$9:$I$508,'Time Off'!$G$9:$G$508,$A102,'Time Off'!$H$9:$H$508,$E102))))</x:f>
      </x:c>
      <x:c r="J102" s="29" t="str">
        <x:f>IF($A102="","",IF(OR($G102&lt;&gt;"Yes",$H102="Yes"),0,MAX(0,$F102-$I102)))</x:f>
      </x:c>
    </x:row>
    <x:row r="103">
      <x:c r="A103" s="27" t="str">
        <x:f>IF('Team Setup'!$A$17="","",'Team Setup'!$A$17)</x:f>
      </x:c>
      <x:c r="B103" s="27" t="str">
        <x:f>IF($A103="","",'Team Setup'!$B$17)</x:f>
      </x:c>
      <x:c r="C103" s="27" t="str">
        <x:f>IF($A103="","",'Team Setup'!$C$17)</x:f>
      </x:c>
      <x:c r="D103" s="27" t="str">
        <x:f>IF($A103="","",'Team Setup'!$D$17)</x:f>
      </x:c>
      <x:c r="E103" s="28" t="str">
        <x:f>IF(OR('Team Setup'!$D$4="",NOT(ISNUMBER('Team Setup'!$D$4))),"",'Team Setup'!$D$4+0)</x:f>
      </x:c>
      <x:c r="F103" s="29" t="str">
        <x:f>IF($A103="","",'Team Setup'!$E$17)</x:f>
      </x:c>
      <x:c r="G103" s="29" t="str">
        <x:f>IF($A103="","",IF(OR($E103="",$E103&lt;'Team Setup'!$D$4,$E103&gt;'Team Setup'!$F$4),"No",IF(WEEKDAY($E103,2)&gt;5,"No","Yes")))</x:f>
      </x:c>
      <x:c r="H103" s="29" t="str">
        <x:f>IF($A103="","",IF(OR($G103&lt;&gt;"Yes",$E103=""),"No",IF(COUNTIFS('Time Off'!$A$9:$A$508,$E103,'Time Off'!$C$9:$C$508,$D103,'Time Off'!$D$9:$D$508,$C103)+COUNTIFS('Time Off'!$A$9:$A$508,$E103,'Time Off'!$C$9:$C$508,$D103,'Time Off'!$D$9:$D$508,"All")&gt;0,"Yes","No")))</x:f>
      </x:c>
      <x:c r="I103" s="29" t="str">
        <x:f>IF($A103="","",IF(OR($G103&lt;&gt;"Yes",$H103="Yes"),0,MIN($F103,SUMIFS('Time Off'!$I$9:$I$508,'Time Off'!$G$9:$G$508,$A103,'Time Off'!$H$9:$H$508,$E103))))</x:f>
      </x:c>
      <x:c r="J103" s="29" t="str">
        <x:f>IF($A103="","",IF(OR($G103&lt;&gt;"Yes",$H103="Yes"),0,MAX(0,$F103-$I103)))</x:f>
      </x:c>
    </x:row>
    <x:row r="104">
      <x:c r="A104" s="27" t="str">
        <x:f>IF('Team Setup'!$A$17="","",'Team Setup'!$A$17)</x:f>
      </x:c>
      <x:c r="B104" s="27" t="str">
        <x:f>IF($A104="","",'Team Setup'!$B$17)</x:f>
      </x:c>
      <x:c r="C104" s="27" t="str">
        <x:f>IF($A104="","",'Team Setup'!$C$17)</x:f>
      </x:c>
      <x:c r="D104" s="27" t="str">
        <x:f>IF($A104="","",'Team Setup'!$D$17)</x:f>
      </x:c>
      <x:c r="E104" s="28" t="str">
        <x:f>IF(OR('Team Setup'!$D$4="",NOT(ISNUMBER('Team Setup'!$D$4))),"",'Team Setup'!$D$4+1)</x:f>
      </x:c>
      <x:c r="F104" s="29" t="str">
        <x:f>IF($A104="","",'Team Setup'!$E$17)</x:f>
      </x:c>
      <x:c r="G104" s="29" t="str">
        <x:f>IF($A104="","",IF(OR($E104="",$E104&lt;'Team Setup'!$D$4,$E104&gt;'Team Setup'!$F$4),"No",IF(WEEKDAY($E104,2)&gt;5,"No","Yes")))</x:f>
      </x:c>
      <x:c r="H104" s="29" t="str">
        <x:f>IF($A104="","",IF(OR($G104&lt;&gt;"Yes",$E104=""),"No",IF(COUNTIFS('Time Off'!$A$9:$A$508,$E104,'Time Off'!$C$9:$C$508,$D104,'Time Off'!$D$9:$D$508,$C104)+COUNTIFS('Time Off'!$A$9:$A$508,$E104,'Time Off'!$C$9:$C$508,$D104,'Time Off'!$D$9:$D$508,"All")&gt;0,"Yes","No")))</x:f>
      </x:c>
      <x:c r="I104" s="29" t="str">
        <x:f>IF($A104="","",IF(OR($G104&lt;&gt;"Yes",$H104="Yes"),0,MIN($F104,SUMIFS('Time Off'!$I$9:$I$508,'Time Off'!$G$9:$G$508,$A104,'Time Off'!$H$9:$H$508,$E104))))</x:f>
      </x:c>
      <x:c r="J104" s="29" t="str">
        <x:f>IF($A104="","",IF(OR($G104&lt;&gt;"Yes",$H104="Yes"),0,MAX(0,$F104-$I104)))</x:f>
      </x:c>
    </x:row>
    <x:row r="105">
      <x:c r="A105" s="27" t="str">
        <x:f>IF('Team Setup'!$A$17="","",'Team Setup'!$A$17)</x:f>
      </x:c>
      <x:c r="B105" s="27" t="str">
        <x:f>IF($A105="","",'Team Setup'!$B$17)</x:f>
      </x:c>
      <x:c r="C105" s="27" t="str">
        <x:f>IF($A105="","",'Team Setup'!$C$17)</x:f>
      </x:c>
      <x:c r="D105" s="27" t="str">
        <x:f>IF($A105="","",'Team Setup'!$D$17)</x:f>
      </x:c>
      <x:c r="E105" s="28" t="str">
        <x:f>IF(OR('Team Setup'!$D$4="",NOT(ISNUMBER('Team Setup'!$D$4))),"",'Team Setup'!$D$4+2)</x:f>
      </x:c>
      <x:c r="F105" s="29" t="str">
        <x:f>IF($A105="","",'Team Setup'!$E$17)</x:f>
      </x:c>
      <x:c r="G105" s="29" t="str">
        <x:f>IF($A105="","",IF(OR($E105="",$E105&lt;'Team Setup'!$D$4,$E105&gt;'Team Setup'!$F$4),"No",IF(WEEKDAY($E105,2)&gt;5,"No","Yes")))</x:f>
      </x:c>
      <x:c r="H105" s="29" t="str">
        <x:f>IF($A105="","",IF(OR($G105&lt;&gt;"Yes",$E105=""),"No",IF(COUNTIFS('Time Off'!$A$9:$A$508,$E105,'Time Off'!$C$9:$C$508,$D105,'Time Off'!$D$9:$D$508,$C105)+COUNTIFS('Time Off'!$A$9:$A$508,$E105,'Time Off'!$C$9:$C$508,$D105,'Time Off'!$D$9:$D$508,"All")&gt;0,"Yes","No")))</x:f>
      </x:c>
      <x:c r="I105" s="29" t="str">
        <x:f>IF($A105="","",IF(OR($G105&lt;&gt;"Yes",$H105="Yes"),0,MIN($F105,SUMIFS('Time Off'!$I$9:$I$508,'Time Off'!$G$9:$G$508,$A105,'Time Off'!$H$9:$H$508,$E105))))</x:f>
      </x:c>
      <x:c r="J105" s="29" t="str">
        <x:f>IF($A105="","",IF(OR($G105&lt;&gt;"Yes",$H105="Yes"),0,MAX(0,$F105-$I105)))</x:f>
      </x:c>
    </x:row>
    <x:row r="106">
      <x:c r="A106" s="27" t="str">
        <x:f>IF('Team Setup'!$A$17="","",'Team Setup'!$A$17)</x:f>
      </x:c>
      <x:c r="B106" s="27" t="str">
        <x:f>IF($A106="","",'Team Setup'!$B$17)</x:f>
      </x:c>
      <x:c r="C106" s="27" t="str">
        <x:f>IF($A106="","",'Team Setup'!$C$17)</x:f>
      </x:c>
      <x:c r="D106" s="27" t="str">
        <x:f>IF($A106="","",'Team Setup'!$D$17)</x:f>
      </x:c>
      <x:c r="E106" s="28" t="str">
        <x:f>IF(OR('Team Setup'!$D$4="",NOT(ISNUMBER('Team Setup'!$D$4))),"",'Team Setup'!$D$4+3)</x:f>
      </x:c>
      <x:c r="F106" s="29" t="str">
        <x:f>IF($A106="","",'Team Setup'!$E$17)</x:f>
      </x:c>
      <x:c r="G106" s="29" t="str">
        <x:f>IF($A106="","",IF(OR($E106="",$E106&lt;'Team Setup'!$D$4,$E106&gt;'Team Setup'!$F$4),"No",IF(WEEKDAY($E106,2)&gt;5,"No","Yes")))</x:f>
      </x:c>
      <x:c r="H106" s="29" t="str">
        <x:f>IF($A106="","",IF(OR($G106&lt;&gt;"Yes",$E106=""),"No",IF(COUNTIFS('Time Off'!$A$9:$A$508,$E106,'Time Off'!$C$9:$C$508,$D106,'Time Off'!$D$9:$D$508,$C106)+COUNTIFS('Time Off'!$A$9:$A$508,$E106,'Time Off'!$C$9:$C$508,$D106,'Time Off'!$D$9:$D$508,"All")&gt;0,"Yes","No")))</x:f>
      </x:c>
      <x:c r="I106" s="29" t="str">
        <x:f>IF($A106="","",IF(OR($G106&lt;&gt;"Yes",$H106="Yes"),0,MIN($F106,SUMIFS('Time Off'!$I$9:$I$508,'Time Off'!$G$9:$G$508,$A106,'Time Off'!$H$9:$H$508,$E106))))</x:f>
      </x:c>
      <x:c r="J106" s="29" t="str">
        <x:f>IF($A106="","",IF(OR($G106&lt;&gt;"Yes",$H106="Yes"),0,MAX(0,$F106-$I106)))</x:f>
      </x:c>
    </x:row>
    <x:row r="107">
      <x:c r="A107" s="27" t="str">
        <x:f>IF('Team Setup'!$A$17="","",'Team Setup'!$A$17)</x:f>
      </x:c>
      <x:c r="B107" s="27" t="str">
        <x:f>IF($A107="","",'Team Setup'!$B$17)</x:f>
      </x:c>
      <x:c r="C107" s="27" t="str">
        <x:f>IF($A107="","",'Team Setup'!$C$17)</x:f>
      </x:c>
      <x:c r="D107" s="27" t="str">
        <x:f>IF($A107="","",'Team Setup'!$D$17)</x:f>
      </x:c>
      <x:c r="E107" s="28" t="str">
        <x:f>IF(OR('Team Setup'!$D$4="",NOT(ISNUMBER('Team Setup'!$D$4))),"",'Team Setup'!$D$4+4)</x:f>
      </x:c>
      <x:c r="F107" s="29" t="str">
        <x:f>IF($A107="","",'Team Setup'!$E$17)</x:f>
      </x:c>
      <x:c r="G107" s="29" t="str">
        <x:f>IF($A107="","",IF(OR($E107="",$E107&lt;'Team Setup'!$D$4,$E107&gt;'Team Setup'!$F$4),"No",IF(WEEKDAY($E107,2)&gt;5,"No","Yes")))</x:f>
      </x:c>
      <x:c r="H107" s="29" t="str">
        <x:f>IF($A107="","",IF(OR($G107&lt;&gt;"Yes",$E107=""),"No",IF(COUNTIFS('Time Off'!$A$9:$A$508,$E107,'Time Off'!$C$9:$C$508,$D107,'Time Off'!$D$9:$D$508,$C107)+COUNTIFS('Time Off'!$A$9:$A$508,$E107,'Time Off'!$C$9:$C$508,$D107,'Time Off'!$D$9:$D$508,"All")&gt;0,"Yes","No")))</x:f>
      </x:c>
      <x:c r="I107" s="29" t="str">
        <x:f>IF($A107="","",IF(OR($G107&lt;&gt;"Yes",$H107="Yes"),0,MIN($F107,SUMIFS('Time Off'!$I$9:$I$508,'Time Off'!$G$9:$G$508,$A107,'Time Off'!$H$9:$H$508,$E107))))</x:f>
      </x:c>
      <x:c r="J107" s="29" t="str">
        <x:f>IF($A107="","",IF(OR($G107&lt;&gt;"Yes",$H107="Yes"),0,MAX(0,$F107-$I107)))</x:f>
      </x:c>
    </x:row>
    <x:row r="108">
      <x:c r="A108" s="27" t="str">
        <x:f>IF('Team Setup'!$A$17="","",'Team Setup'!$A$17)</x:f>
      </x:c>
      <x:c r="B108" s="27" t="str">
        <x:f>IF($A108="","",'Team Setup'!$B$17)</x:f>
      </x:c>
      <x:c r="C108" s="27" t="str">
        <x:f>IF($A108="","",'Team Setup'!$C$17)</x:f>
      </x:c>
      <x:c r="D108" s="27" t="str">
        <x:f>IF($A108="","",'Team Setup'!$D$17)</x:f>
      </x:c>
      <x:c r="E108" s="28" t="str">
        <x:f>IF(OR('Team Setup'!$D$4="",NOT(ISNUMBER('Team Setup'!$D$4))),"",'Team Setup'!$D$4+5)</x:f>
      </x:c>
      <x:c r="F108" s="29" t="str">
        <x:f>IF($A108="","",'Team Setup'!$E$17)</x:f>
      </x:c>
      <x:c r="G108" s="29" t="str">
        <x:f>IF($A108="","",IF(OR($E108="",$E108&lt;'Team Setup'!$D$4,$E108&gt;'Team Setup'!$F$4),"No",IF(WEEKDAY($E108,2)&gt;5,"No","Yes")))</x:f>
      </x:c>
      <x:c r="H108" s="29" t="str">
        <x:f>IF($A108="","",IF(OR($G108&lt;&gt;"Yes",$E108=""),"No",IF(COUNTIFS('Time Off'!$A$9:$A$508,$E108,'Time Off'!$C$9:$C$508,$D108,'Time Off'!$D$9:$D$508,$C108)+COUNTIFS('Time Off'!$A$9:$A$508,$E108,'Time Off'!$C$9:$C$508,$D108,'Time Off'!$D$9:$D$508,"All")&gt;0,"Yes","No")))</x:f>
      </x:c>
      <x:c r="I108" s="29" t="str">
        <x:f>IF($A108="","",IF(OR($G108&lt;&gt;"Yes",$H108="Yes"),0,MIN($F108,SUMIFS('Time Off'!$I$9:$I$508,'Time Off'!$G$9:$G$508,$A108,'Time Off'!$H$9:$H$508,$E108))))</x:f>
      </x:c>
      <x:c r="J108" s="29" t="str">
        <x:f>IF($A108="","",IF(OR($G108&lt;&gt;"Yes",$H108="Yes"),0,MAX(0,$F108-$I108)))</x:f>
      </x:c>
    </x:row>
    <x:row r="109">
      <x:c r="A109" s="27" t="str">
        <x:f>IF('Team Setup'!$A$17="","",'Team Setup'!$A$17)</x:f>
      </x:c>
      <x:c r="B109" s="27" t="str">
        <x:f>IF($A109="","",'Team Setup'!$B$17)</x:f>
      </x:c>
      <x:c r="C109" s="27" t="str">
        <x:f>IF($A109="","",'Team Setup'!$C$17)</x:f>
      </x:c>
      <x:c r="D109" s="27" t="str">
        <x:f>IF($A109="","",'Team Setup'!$D$17)</x:f>
      </x:c>
      <x:c r="E109" s="28" t="str">
        <x:f>IF(OR('Team Setup'!$D$4="",NOT(ISNUMBER('Team Setup'!$D$4))),"",'Team Setup'!$D$4+6)</x:f>
      </x:c>
      <x:c r="F109" s="29" t="str">
        <x:f>IF($A109="","",'Team Setup'!$E$17)</x:f>
      </x:c>
      <x:c r="G109" s="29" t="str">
        <x:f>IF($A109="","",IF(OR($E109="",$E109&lt;'Team Setup'!$D$4,$E109&gt;'Team Setup'!$F$4),"No",IF(WEEKDAY($E109,2)&gt;5,"No","Yes")))</x:f>
      </x:c>
      <x:c r="H109" s="29" t="str">
        <x:f>IF($A109="","",IF(OR($G109&lt;&gt;"Yes",$E109=""),"No",IF(COUNTIFS('Time Off'!$A$9:$A$508,$E109,'Time Off'!$C$9:$C$508,$D109,'Time Off'!$D$9:$D$508,$C109)+COUNTIFS('Time Off'!$A$9:$A$508,$E109,'Time Off'!$C$9:$C$508,$D109,'Time Off'!$D$9:$D$508,"All")&gt;0,"Yes","No")))</x:f>
      </x:c>
      <x:c r="I109" s="29" t="str">
        <x:f>IF($A109="","",IF(OR($G109&lt;&gt;"Yes",$H109="Yes"),0,MIN($F109,SUMIFS('Time Off'!$I$9:$I$508,'Time Off'!$G$9:$G$508,$A109,'Time Off'!$H$9:$H$508,$E109))))</x:f>
      </x:c>
      <x:c r="J109" s="29" t="str">
        <x:f>IF($A109="","",IF(OR($G109&lt;&gt;"Yes",$H109="Yes"),0,MAX(0,$F109-$I109)))</x:f>
      </x:c>
    </x:row>
    <x:row r="110">
      <x:c r="A110" s="27" t="str">
        <x:f>IF('Team Setup'!$A$17="","",'Team Setup'!$A$17)</x:f>
      </x:c>
      <x:c r="B110" s="27" t="str">
        <x:f>IF($A110="","",'Team Setup'!$B$17)</x:f>
      </x:c>
      <x:c r="C110" s="27" t="str">
        <x:f>IF($A110="","",'Team Setup'!$C$17)</x:f>
      </x:c>
      <x:c r="D110" s="27" t="str">
        <x:f>IF($A110="","",'Team Setup'!$D$17)</x:f>
      </x:c>
      <x:c r="E110" s="28" t="str">
        <x:f>IF(OR('Team Setup'!$D$4="",NOT(ISNUMBER('Team Setup'!$D$4))),"",'Team Setup'!$D$4+7)</x:f>
      </x:c>
      <x:c r="F110" s="29" t="str">
        <x:f>IF($A110="","",'Team Setup'!$E$17)</x:f>
      </x:c>
      <x:c r="G110" s="29" t="str">
        <x:f>IF($A110="","",IF(OR($E110="",$E110&lt;'Team Setup'!$D$4,$E110&gt;'Team Setup'!$F$4),"No",IF(WEEKDAY($E110,2)&gt;5,"No","Yes")))</x:f>
      </x:c>
      <x:c r="H110" s="29" t="str">
        <x:f>IF($A110="","",IF(OR($G110&lt;&gt;"Yes",$E110=""),"No",IF(COUNTIFS('Time Off'!$A$9:$A$508,$E110,'Time Off'!$C$9:$C$508,$D110,'Time Off'!$D$9:$D$508,$C110)+COUNTIFS('Time Off'!$A$9:$A$508,$E110,'Time Off'!$C$9:$C$508,$D110,'Time Off'!$D$9:$D$508,"All")&gt;0,"Yes","No")))</x:f>
      </x:c>
      <x:c r="I110" s="29" t="str">
        <x:f>IF($A110="","",IF(OR($G110&lt;&gt;"Yes",$H110="Yes"),0,MIN($F110,SUMIFS('Time Off'!$I$9:$I$508,'Time Off'!$G$9:$G$508,$A110,'Time Off'!$H$9:$H$508,$E110))))</x:f>
      </x:c>
      <x:c r="J110" s="29" t="str">
        <x:f>IF($A110="","",IF(OR($G110&lt;&gt;"Yes",$H110="Yes"),0,MAX(0,$F110-$I110)))</x:f>
      </x:c>
    </x:row>
    <x:row r="111">
      <x:c r="A111" s="27" t="str">
        <x:f>IF('Team Setup'!$A$17="","",'Team Setup'!$A$17)</x:f>
      </x:c>
      <x:c r="B111" s="27" t="str">
        <x:f>IF($A111="","",'Team Setup'!$B$17)</x:f>
      </x:c>
      <x:c r="C111" s="27" t="str">
        <x:f>IF($A111="","",'Team Setup'!$C$17)</x:f>
      </x:c>
      <x:c r="D111" s="27" t="str">
        <x:f>IF($A111="","",'Team Setup'!$D$17)</x:f>
      </x:c>
      <x:c r="E111" s="28" t="str">
        <x:f>IF(OR('Team Setup'!$D$4="",NOT(ISNUMBER('Team Setup'!$D$4))),"",'Team Setup'!$D$4+8)</x:f>
      </x:c>
      <x:c r="F111" s="29" t="str">
        <x:f>IF($A111="","",'Team Setup'!$E$17)</x:f>
      </x:c>
      <x:c r="G111" s="29" t="str">
        <x:f>IF($A111="","",IF(OR($E111="",$E111&lt;'Team Setup'!$D$4,$E111&gt;'Team Setup'!$F$4),"No",IF(WEEKDAY($E111,2)&gt;5,"No","Yes")))</x:f>
      </x:c>
      <x:c r="H111" s="29" t="str">
        <x:f>IF($A111="","",IF(OR($G111&lt;&gt;"Yes",$E111=""),"No",IF(COUNTIFS('Time Off'!$A$9:$A$508,$E111,'Time Off'!$C$9:$C$508,$D111,'Time Off'!$D$9:$D$508,$C111)+COUNTIFS('Time Off'!$A$9:$A$508,$E111,'Time Off'!$C$9:$C$508,$D111,'Time Off'!$D$9:$D$508,"All")&gt;0,"Yes","No")))</x:f>
      </x:c>
      <x:c r="I111" s="29" t="str">
        <x:f>IF($A111="","",IF(OR($G111&lt;&gt;"Yes",$H111="Yes"),0,MIN($F111,SUMIFS('Time Off'!$I$9:$I$508,'Time Off'!$G$9:$G$508,$A111,'Time Off'!$H$9:$H$508,$E111))))</x:f>
      </x:c>
      <x:c r="J111" s="29" t="str">
        <x:f>IF($A111="","",IF(OR($G111&lt;&gt;"Yes",$H111="Yes"),0,MAX(0,$F111-$I111)))</x:f>
      </x:c>
    </x:row>
    <x:row r="112">
      <x:c r="A112" s="27" t="str">
        <x:f>IF('Team Setup'!$A$17="","",'Team Setup'!$A$17)</x:f>
      </x:c>
      <x:c r="B112" s="27" t="str">
        <x:f>IF($A112="","",'Team Setup'!$B$17)</x:f>
      </x:c>
      <x:c r="C112" s="27" t="str">
        <x:f>IF($A112="","",'Team Setup'!$C$17)</x:f>
      </x:c>
      <x:c r="D112" s="27" t="str">
        <x:f>IF($A112="","",'Team Setup'!$D$17)</x:f>
      </x:c>
      <x:c r="E112" s="28" t="str">
        <x:f>IF(OR('Team Setup'!$D$4="",NOT(ISNUMBER('Team Setup'!$D$4))),"",'Team Setup'!$D$4+9)</x:f>
      </x:c>
      <x:c r="F112" s="29" t="str">
        <x:f>IF($A112="","",'Team Setup'!$E$17)</x:f>
      </x:c>
      <x:c r="G112" s="29" t="str">
        <x:f>IF($A112="","",IF(OR($E112="",$E112&lt;'Team Setup'!$D$4,$E112&gt;'Team Setup'!$F$4),"No",IF(WEEKDAY($E112,2)&gt;5,"No","Yes")))</x:f>
      </x:c>
      <x:c r="H112" s="29" t="str">
        <x:f>IF($A112="","",IF(OR($G112&lt;&gt;"Yes",$E112=""),"No",IF(COUNTIFS('Time Off'!$A$9:$A$508,$E112,'Time Off'!$C$9:$C$508,$D112,'Time Off'!$D$9:$D$508,$C112)+COUNTIFS('Time Off'!$A$9:$A$508,$E112,'Time Off'!$C$9:$C$508,$D112,'Time Off'!$D$9:$D$508,"All")&gt;0,"Yes","No")))</x:f>
      </x:c>
      <x:c r="I112" s="29" t="str">
        <x:f>IF($A112="","",IF(OR($G112&lt;&gt;"Yes",$H112="Yes"),0,MIN($F112,SUMIFS('Time Off'!$I$9:$I$508,'Time Off'!$G$9:$G$508,$A112,'Time Off'!$H$9:$H$508,$E112))))</x:f>
      </x:c>
      <x:c r="J112" s="29" t="str">
        <x:f>IF($A112="","",IF(OR($G112&lt;&gt;"Yes",$H112="Yes"),0,MAX(0,$F112-$I112)))</x:f>
      </x:c>
    </x:row>
    <x:row r="113">
      <x:c r="A113" s="27" t="str">
        <x:f>IF('Team Setup'!$A$17="","",'Team Setup'!$A$17)</x:f>
      </x:c>
      <x:c r="B113" s="27" t="str">
        <x:f>IF($A113="","",'Team Setup'!$B$17)</x:f>
      </x:c>
      <x:c r="C113" s="27" t="str">
        <x:f>IF($A113="","",'Team Setup'!$C$17)</x:f>
      </x:c>
      <x:c r="D113" s="27" t="str">
        <x:f>IF($A113="","",'Team Setup'!$D$17)</x:f>
      </x:c>
      <x:c r="E113" s="28" t="str">
        <x:f>IF(OR('Team Setup'!$D$4="",NOT(ISNUMBER('Team Setup'!$D$4))),"",'Team Setup'!$D$4+10)</x:f>
      </x:c>
      <x:c r="F113" s="29" t="str">
        <x:f>IF($A113="","",'Team Setup'!$E$17)</x:f>
      </x:c>
      <x:c r="G113" s="29" t="str">
        <x:f>IF($A113="","",IF(OR($E113="",$E113&lt;'Team Setup'!$D$4,$E113&gt;'Team Setup'!$F$4),"No",IF(WEEKDAY($E113,2)&gt;5,"No","Yes")))</x:f>
      </x:c>
      <x:c r="H113" s="29" t="str">
        <x:f>IF($A113="","",IF(OR($G113&lt;&gt;"Yes",$E113=""),"No",IF(COUNTIFS('Time Off'!$A$9:$A$508,$E113,'Time Off'!$C$9:$C$508,$D113,'Time Off'!$D$9:$D$508,$C113)+COUNTIFS('Time Off'!$A$9:$A$508,$E113,'Time Off'!$C$9:$C$508,$D113,'Time Off'!$D$9:$D$508,"All")&gt;0,"Yes","No")))</x:f>
      </x:c>
      <x:c r="I113" s="29" t="str">
        <x:f>IF($A113="","",IF(OR($G113&lt;&gt;"Yes",$H113="Yes"),0,MIN($F113,SUMIFS('Time Off'!$I$9:$I$508,'Time Off'!$G$9:$G$508,$A113,'Time Off'!$H$9:$H$508,$E113))))</x:f>
      </x:c>
      <x:c r="J113" s="29" t="str">
        <x:f>IF($A113="","",IF(OR($G113&lt;&gt;"Yes",$H113="Yes"),0,MAX(0,$F113-$I113)))</x:f>
      </x:c>
    </x:row>
    <x:row r="114">
      <x:c r="A114" s="27" t="str">
        <x:f>IF('Team Setup'!$A$17="","",'Team Setup'!$A$17)</x:f>
      </x:c>
      <x:c r="B114" s="27" t="str">
        <x:f>IF($A114="","",'Team Setup'!$B$17)</x:f>
      </x:c>
      <x:c r="C114" s="27" t="str">
        <x:f>IF($A114="","",'Team Setup'!$C$17)</x:f>
      </x:c>
      <x:c r="D114" s="27" t="str">
        <x:f>IF($A114="","",'Team Setup'!$D$17)</x:f>
      </x:c>
      <x:c r="E114" s="28" t="str">
        <x:f>IF(OR('Team Setup'!$D$4="",NOT(ISNUMBER('Team Setup'!$D$4))),"",'Team Setup'!$D$4+11)</x:f>
      </x:c>
      <x:c r="F114" s="29" t="str">
        <x:f>IF($A114="","",'Team Setup'!$E$17)</x:f>
      </x:c>
      <x:c r="G114" s="29" t="str">
        <x:f>IF($A114="","",IF(OR($E114="",$E114&lt;'Team Setup'!$D$4,$E114&gt;'Team Setup'!$F$4),"No",IF(WEEKDAY($E114,2)&gt;5,"No","Yes")))</x:f>
      </x:c>
      <x:c r="H114" s="29" t="str">
        <x:f>IF($A114="","",IF(OR($G114&lt;&gt;"Yes",$E114=""),"No",IF(COUNTIFS('Time Off'!$A$9:$A$508,$E114,'Time Off'!$C$9:$C$508,$D114,'Time Off'!$D$9:$D$508,$C114)+COUNTIFS('Time Off'!$A$9:$A$508,$E114,'Time Off'!$C$9:$C$508,$D114,'Time Off'!$D$9:$D$508,"All")&gt;0,"Yes","No")))</x:f>
      </x:c>
      <x:c r="I114" s="29" t="str">
        <x:f>IF($A114="","",IF(OR($G114&lt;&gt;"Yes",$H114="Yes"),0,MIN($F114,SUMIFS('Time Off'!$I$9:$I$508,'Time Off'!$G$9:$G$508,$A114,'Time Off'!$H$9:$H$508,$E114))))</x:f>
      </x:c>
      <x:c r="J114" s="29" t="str">
        <x:f>IF($A114="","",IF(OR($G114&lt;&gt;"Yes",$H114="Yes"),0,MAX(0,$F114-$I114)))</x:f>
      </x:c>
    </x:row>
    <x:row r="115">
      <x:c r="A115" s="27" t="str">
        <x:f>IF('Team Setup'!$A$17="","",'Team Setup'!$A$17)</x:f>
      </x:c>
      <x:c r="B115" s="27" t="str">
        <x:f>IF($A115="","",'Team Setup'!$B$17)</x:f>
      </x:c>
      <x:c r="C115" s="27" t="str">
        <x:f>IF($A115="","",'Team Setup'!$C$17)</x:f>
      </x:c>
      <x:c r="D115" s="27" t="str">
        <x:f>IF($A115="","",'Team Setup'!$D$17)</x:f>
      </x:c>
      <x:c r="E115" s="28" t="str">
        <x:f>IF(OR('Team Setup'!$D$4="",NOT(ISNUMBER('Team Setup'!$D$4))),"",'Team Setup'!$D$4+12)</x:f>
      </x:c>
      <x:c r="F115" s="29" t="str">
        <x:f>IF($A115="","",'Team Setup'!$E$17)</x:f>
      </x:c>
      <x:c r="G115" s="29" t="str">
        <x:f>IF($A115="","",IF(OR($E115="",$E115&lt;'Team Setup'!$D$4,$E115&gt;'Team Setup'!$F$4),"No",IF(WEEKDAY($E115,2)&gt;5,"No","Yes")))</x:f>
      </x:c>
      <x:c r="H115" s="29" t="str">
        <x:f>IF($A115="","",IF(OR($G115&lt;&gt;"Yes",$E115=""),"No",IF(COUNTIFS('Time Off'!$A$9:$A$508,$E115,'Time Off'!$C$9:$C$508,$D115,'Time Off'!$D$9:$D$508,$C115)+COUNTIFS('Time Off'!$A$9:$A$508,$E115,'Time Off'!$C$9:$C$508,$D115,'Time Off'!$D$9:$D$508,"All")&gt;0,"Yes","No")))</x:f>
      </x:c>
      <x:c r="I115" s="29" t="str">
        <x:f>IF($A115="","",IF(OR($G115&lt;&gt;"Yes",$H115="Yes"),0,MIN($F115,SUMIFS('Time Off'!$I$9:$I$508,'Time Off'!$G$9:$G$508,$A115,'Time Off'!$H$9:$H$508,$E115))))</x:f>
      </x:c>
      <x:c r="J115" s="29" t="str">
        <x:f>IF($A115="","",IF(OR($G115&lt;&gt;"Yes",$H115="Yes"),0,MAX(0,$F115-$I115)))</x:f>
      </x:c>
    </x:row>
    <x:row r="116">
      <x:c r="A116" s="27" t="str">
        <x:f>IF('Team Setup'!$A$17="","",'Team Setup'!$A$17)</x:f>
      </x:c>
      <x:c r="B116" s="27" t="str">
        <x:f>IF($A116="","",'Team Setup'!$B$17)</x:f>
      </x:c>
      <x:c r="C116" s="27" t="str">
        <x:f>IF($A116="","",'Team Setup'!$C$17)</x:f>
      </x:c>
      <x:c r="D116" s="27" t="str">
        <x:f>IF($A116="","",'Team Setup'!$D$17)</x:f>
      </x:c>
      <x:c r="E116" s="28" t="str">
        <x:f>IF(OR('Team Setup'!$D$4="",NOT(ISNUMBER('Team Setup'!$D$4))),"",'Team Setup'!$D$4+13)</x:f>
      </x:c>
      <x:c r="F116" s="29" t="str">
        <x:f>IF($A116="","",'Team Setup'!$E$17)</x:f>
      </x:c>
      <x:c r="G116" s="29" t="str">
        <x:f>IF($A116="","",IF(OR($E116="",$E116&lt;'Team Setup'!$D$4,$E116&gt;'Team Setup'!$F$4),"No",IF(WEEKDAY($E116,2)&gt;5,"No","Yes")))</x:f>
      </x:c>
      <x:c r="H116" s="29" t="str">
        <x:f>IF($A116="","",IF(OR($G116&lt;&gt;"Yes",$E116=""),"No",IF(COUNTIFS('Time Off'!$A$9:$A$508,$E116,'Time Off'!$C$9:$C$508,$D116,'Time Off'!$D$9:$D$508,$C116)+COUNTIFS('Time Off'!$A$9:$A$508,$E116,'Time Off'!$C$9:$C$508,$D116,'Time Off'!$D$9:$D$508,"All")&gt;0,"Yes","No")))</x:f>
      </x:c>
      <x:c r="I116" s="29" t="str">
        <x:f>IF($A116="","",IF(OR($G116&lt;&gt;"Yes",$H116="Yes"),0,MIN($F116,SUMIFS('Time Off'!$I$9:$I$508,'Time Off'!$G$9:$G$508,$A116,'Time Off'!$H$9:$H$508,$E116))))</x:f>
      </x:c>
      <x:c r="J116" s="29" t="str">
        <x:f>IF($A116="","",IF(OR($G116&lt;&gt;"Yes",$H116="Yes"),0,MAX(0,$F116-$I116)))</x:f>
      </x:c>
    </x:row>
    <x:row r="117">
      <x:c r="A117" s="27" t="str">
        <x:f>IF('Team Setup'!$A$18="","",'Team Setup'!$A$18)</x:f>
      </x:c>
      <x:c r="B117" s="27" t="str">
        <x:f>IF($A117="","",'Team Setup'!$B$18)</x:f>
      </x:c>
      <x:c r="C117" s="27" t="str">
        <x:f>IF($A117="","",'Team Setup'!$C$18)</x:f>
      </x:c>
      <x:c r="D117" s="27" t="str">
        <x:f>IF($A117="","",'Team Setup'!$D$18)</x:f>
      </x:c>
      <x:c r="E117" s="28" t="str">
        <x:f>IF(OR('Team Setup'!$D$4="",NOT(ISNUMBER('Team Setup'!$D$4))),"",'Team Setup'!$D$4+0)</x:f>
      </x:c>
      <x:c r="F117" s="29" t="str">
        <x:f>IF($A117="","",'Team Setup'!$E$18)</x:f>
      </x:c>
      <x:c r="G117" s="29" t="str">
        <x:f>IF($A117="","",IF(OR($E117="",$E117&lt;'Team Setup'!$D$4,$E117&gt;'Team Setup'!$F$4),"No",IF(WEEKDAY($E117,2)&gt;5,"No","Yes")))</x:f>
      </x:c>
      <x:c r="H117" s="29" t="str">
        <x:f>IF($A117="","",IF(OR($G117&lt;&gt;"Yes",$E117=""),"No",IF(COUNTIFS('Time Off'!$A$9:$A$508,$E117,'Time Off'!$C$9:$C$508,$D117,'Time Off'!$D$9:$D$508,$C117)+COUNTIFS('Time Off'!$A$9:$A$508,$E117,'Time Off'!$C$9:$C$508,$D117,'Time Off'!$D$9:$D$508,"All")&gt;0,"Yes","No")))</x:f>
      </x:c>
      <x:c r="I117" s="29" t="str">
        <x:f>IF($A117="","",IF(OR($G117&lt;&gt;"Yes",$H117="Yes"),0,MIN($F117,SUMIFS('Time Off'!$I$9:$I$508,'Time Off'!$G$9:$G$508,$A117,'Time Off'!$H$9:$H$508,$E117))))</x:f>
      </x:c>
      <x:c r="J117" s="29" t="str">
        <x:f>IF($A117="","",IF(OR($G117&lt;&gt;"Yes",$H117="Yes"),0,MAX(0,$F117-$I117)))</x:f>
      </x:c>
    </x:row>
    <x:row r="118">
      <x:c r="A118" s="27" t="str">
        <x:f>IF('Team Setup'!$A$18="","",'Team Setup'!$A$18)</x:f>
      </x:c>
      <x:c r="B118" s="27" t="str">
        <x:f>IF($A118="","",'Team Setup'!$B$18)</x:f>
      </x:c>
      <x:c r="C118" s="27" t="str">
        <x:f>IF($A118="","",'Team Setup'!$C$18)</x:f>
      </x:c>
      <x:c r="D118" s="27" t="str">
        <x:f>IF($A118="","",'Team Setup'!$D$18)</x:f>
      </x:c>
      <x:c r="E118" s="28" t="str">
        <x:f>IF(OR('Team Setup'!$D$4="",NOT(ISNUMBER('Team Setup'!$D$4))),"",'Team Setup'!$D$4+1)</x:f>
      </x:c>
      <x:c r="F118" s="29" t="str">
        <x:f>IF($A118="","",'Team Setup'!$E$18)</x:f>
      </x:c>
      <x:c r="G118" s="29" t="str">
        <x:f>IF($A118="","",IF(OR($E118="",$E118&lt;'Team Setup'!$D$4,$E118&gt;'Team Setup'!$F$4),"No",IF(WEEKDAY($E118,2)&gt;5,"No","Yes")))</x:f>
      </x:c>
      <x:c r="H118" s="29" t="str">
        <x:f>IF($A118="","",IF(OR($G118&lt;&gt;"Yes",$E118=""),"No",IF(COUNTIFS('Time Off'!$A$9:$A$508,$E118,'Time Off'!$C$9:$C$508,$D118,'Time Off'!$D$9:$D$508,$C118)+COUNTIFS('Time Off'!$A$9:$A$508,$E118,'Time Off'!$C$9:$C$508,$D118,'Time Off'!$D$9:$D$508,"All")&gt;0,"Yes","No")))</x:f>
      </x:c>
      <x:c r="I118" s="29" t="str">
        <x:f>IF($A118="","",IF(OR($G118&lt;&gt;"Yes",$H118="Yes"),0,MIN($F118,SUMIFS('Time Off'!$I$9:$I$508,'Time Off'!$G$9:$G$508,$A118,'Time Off'!$H$9:$H$508,$E118))))</x:f>
      </x:c>
      <x:c r="J118" s="29" t="str">
        <x:f>IF($A118="","",IF(OR($G118&lt;&gt;"Yes",$H118="Yes"),0,MAX(0,$F118-$I118)))</x:f>
      </x:c>
    </x:row>
    <x:row r="119">
      <x:c r="A119" s="27" t="str">
        <x:f>IF('Team Setup'!$A$18="","",'Team Setup'!$A$18)</x:f>
      </x:c>
      <x:c r="B119" s="27" t="str">
        <x:f>IF($A119="","",'Team Setup'!$B$18)</x:f>
      </x:c>
      <x:c r="C119" s="27" t="str">
        <x:f>IF($A119="","",'Team Setup'!$C$18)</x:f>
      </x:c>
      <x:c r="D119" s="27" t="str">
        <x:f>IF($A119="","",'Team Setup'!$D$18)</x:f>
      </x:c>
      <x:c r="E119" s="28" t="str">
        <x:f>IF(OR('Team Setup'!$D$4="",NOT(ISNUMBER('Team Setup'!$D$4))),"",'Team Setup'!$D$4+2)</x:f>
      </x:c>
      <x:c r="F119" s="29" t="str">
        <x:f>IF($A119="","",'Team Setup'!$E$18)</x:f>
      </x:c>
      <x:c r="G119" s="29" t="str">
        <x:f>IF($A119="","",IF(OR($E119="",$E119&lt;'Team Setup'!$D$4,$E119&gt;'Team Setup'!$F$4),"No",IF(WEEKDAY($E119,2)&gt;5,"No","Yes")))</x:f>
      </x:c>
      <x:c r="H119" s="29" t="str">
        <x:f>IF($A119="","",IF(OR($G119&lt;&gt;"Yes",$E119=""),"No",IF(COUNTIFS('Time Off'!$A$9:$A$508,$E119,'Time Off'!$C$9:$C$508,$D119,'Time Off'!$D$9:$D$508,$C119)+COUNTIFS('Time Off'!$A$9:$A$508,$E119,'Time Off'!$C$9:$C$508,$D119,'Time Off'!$D$9:$D$508,"All")&gt;0,"Yes","No")))</x:f>
      </x:c>
      <x:c r="I119" s="29" t="str">
        <x:f>IF($A119="","",IF(OR($G119&lt;&gt;"Yes",$H119="Yes"),0,MIN($F119,SUMIFS('Time Off'!$I$9:$I$508,'Time Off'!$G$9:$G$508,$A119,'Time Off'!$H$9:$H$508,$E119))))</x:f>
      </x:c>
      <x:c r="J119" s="29" t="str">
        <x:f>IF($A119="","",IF(OR($G119&lt;&gt;"Yes",$H119="Yes"),0,MAX(0,$F119-$I119)))</x:f>
      </x:c>
    </x:row>
    <x:row r="120">
      <x:c r="A120" s="27" t="str">
        <x:f>IF('Team Setup'!$A$18="","",'Team Setup'!$A$18)</x:f>
      </x:c>
      <x:c r="B120" s="27" t="str">
        <x:f>IF($A120="","",'Team Setup'!$B$18)</x:f>
      </x:c>
      <x:c r="C120" s="27" t="str">
        <x:f>IF($A120="","",'Team Setup'!$C$18)</x:f>
      </x:c>
      <x:c r="D120" s="27" t="str">
        <x:f>IF($A120="","",'Team Setup'!$D$18)</x:f>
      </x:c>
      <x:c r="E120" s="28" t="str">
        <x:f>IF(OR('Team Setup'!$D$4="",NOT(ISNUMBER('Team Setup'!$D$4))),"",'Team Setup'!$D$4+3)</x:f>
      </x:c>
      <x:c r="F120" s="29" t="str">
        <x:f>IF($A120="","",'Team Setup'!$E$18)</x:f>
      </x:c>
      <x:c r="G120" s="29" t="str">
        <x:f>IF($A120="","",IF(OR($E120="",$E120&lt;'Team Setup'!$D$4,$E120&gt;'Team Setup'!$F$4),"No",IF(WEEKDAY($E120,2)&gt;5,"No","Yes")))</x:f>
      </x:c>
      <x:c r="H120" s="29" t="str">
        <x:f>IF($A120="","",IF(OR($G120&lt;&gt;"Yes",$E120=""),"No",IF(COUNTIFS('Time Off'!$A$9:$A$508,$E120,'Time Off'!$C$9:$C$508,$D120,'Time Off'!$D$9:$D$508,$C120)+COUNTIFS('Time Off'!$A$9:$A$508,$E120,'Time Off'!$C$9:$C$508,$D120,'Time Off'!$D$9:$D$508,"All")&gt;0,"Yes","No")))</x:f>
      </x:c>
      <x:c r="I120" s="29" t="str">
        <x:f>IF($A120="","",IF(OR($G120&lt;&gt;"Yes",$H120="Yes"),0,MIN($F120,SUMIFS('Time Off'!$I$9:$I$508,'Time Off'!$G$9:$G$508,$A120,'Time Off'!$H$9:$H$508,$E120))))</x:f>
      </x:c>
      <x:c r="J120" s="29" t="str">
        <x:f>IF($A120="","",IF(OR($G120&lt;&gt;"Yes",$H120="Yes"),0,MAX(0,$F120-$I120)))</x:f>
      </x:c>
    </x:row>
    <x:row r="121">
      <x:c r="A121" s="27" t="str">
        <x:f>IF('Team Setup'!$A$18="","",'Team Setup'!$A$18)</x:f>
      </x:c>
      <x:c r="B121" s="27" t="str">
        <x:f>IF($A121="","",'Team Setup'!$B$18)</x:f>
      </x:c>
      <x:c r="C121" s="27" t="str">
        <x:f>IF($A121="","",'Team Setup'!$C$18)</x:f>
      </x:c>
      <x:c r="D121" s="27" t="str">
        <x:f>IF($A121="","",'Team Setup'!$D$18)</x:f>
      </x:c>
      <x:c r="E121" s="28" t="str">
        <x:f>IF(OR('Team Setup'!$D$4="",NOT(ISNUMBER('Team Setup'!$D$4))),"",'Team Setup'!$D$4+4)</x:f>
      </x:c>
      <x:c r="F121" s="29" t="str">
        <x:f>IF($A121="","",'Team Setup'!$E$18)</x:f>
      </x:c>
      <x:c r="G121" s="29" t="str">
        <x:f>IF($A121="","",IF(OR($E121="",$E121&lt;'Team Setup'!$D$4,$E121&gt;'Team Setup'!$F$4),"No",IF(WEEKDAY($E121,2)&gt;5,"No","Yes")))</x:f>
      </x:c>
      <x:c r="H121" s="29" t="str">
        <x:f>IF($A121="","",IF(OR($G121&lt;&gt;"Yes",$E121=""),"No",IF(COUNTIFS('Time Off'!$A$9:$A$508,$E121,'Time Off'!$C$9:$C$508,$D121,'Time Off'!$D$9:$D$508,$C121)+COUNTIFS('Time Off'!$A$9:$A$508,$E121,'Time Off'!$C$9:$C$508,$D121,'Time Off'!$D$9:$D$508,"All")&gt;0,"Yes","No")))</x:f>
      </x:c>
      <x:c r="I121" s="29" t="str">
        <x:f>IF($A121="","",IF(OR($G121&lt;&gt;"Yes",$H121="Yes"),0,MIN($F121,SUMIFS('Time Off'!$I$9:$I$508,'Time Off'!$G$9:$G$508,$A121,'Time Off'!$H$9:$H$508,$E121))))</x:f>
      </x:c>
      <x:c r="J121" s="29" t="str">
        <x:f>IF($A121="","",IF(OR($G121&lt;&gt;"Yes",$H121="Yes"),0,MAX(0,$F121-$I121)))</x:f>
      </x:c>
    </x:row>
    <x:row r="122">
      <x:c r="A122" s="27" t="str">
        <x:f>IF('Team Setup'!$A$18="","",'Team Setup'!$A$18)</x:f>
      </x:c>
      <x:c r="B122" s="27" t="str">
        <x:f>IF($A122="","",'Team Setup'!$B$18)</x:f>
      </x:c>
      <x:c r="C122" s="27" t="str">
        <x:f>IF($A122="","",'Team Setup'!$C$18)</x:f>
      </x:c>
      <x:c r="D122" s="27" t="str">
        <x:f>IF($A122="","",'Team Setup'!$D$18)</x:f>
      </x:c>
      <x:c r="E122" s="28" t="str">
        <x:f>IF(OR('Team Setup'!$D$4="",NOT(ISNUMBER('Team Setup'!$D$4))),"",'Team Setup'!$D$4+5)</x:f>
      </x:c>
      <x:c r="F122" s="29" t="str">
        <x:f>IF($A122="","",'Team Setup'!$E$18)</x:f>
      </x:c>
      <x:c r="G122" s="29" t="str">
        <x:f>IF($A122="","",IF(OR($E122="",$E122&lt;'Team Setup'!$D$4,$E122&gt;'Team Setup'!$F$4),"No",IF(WEEKDAY($E122,2)&gt;5,"No","Yes")))</x:f>
      </x:c>
      <x:c r="H122" s="29" t="str">
        <x:f>IF($A122="","",IF(OR($G122&lt;&gt;"Yes",$E122=""),"No",IF(COUNTIFS('Time Off'!$A$9:$A$508,$E122,'Time Off'!$C$9:$C$508,$D122,'Time Off'!$D$9:$D$508,$C122)+COUNTIFS('Time Off'!$A$9:$A$508,$E122,'Time Off'!$C$9:$C$508,$D122,'Time Off'!$D$9:$D$508,"All")&gt;0,"Yes","No")))</x:f>
      </x:c>
      <x:c r="I122" s="29" t="str">
        <x:f>IF($A122="","",IF(OR($G122&lt;&gt;"Yes",$H122="Yes"),0,MIN($F122,SUMIFS('Time Off'!$I$9:$I$508,'Time Off'!$G$9:$G$508,$A122,'Time Off'!$H$9:$H$508,$E122))))</x:f>
      </x:c>
      <x:c r="J122" s="29" t="str">
        <x:f>IF($A122="","",IF(OR($G122&lt;&gt;"Yes",$H122="Yes"),0,MAX(0,$F122-$I122)))</x:f>
      </x:c>
    </x:row>
    <x:row r="123">
      <x:c r="A123" s="27" t="str">
        <x:f>IF('Team Setup'!$A$18="","",'Team Setup'!$A$18)</x:f>
      </x:c>
      <x:c r="B123" s="27" t="str">
        <x:f>IF($A123="","",'Team Setup'!$B$18)</x:f>
      </x:c>
      <x:c r="C123" s="27" t="str">
        <x:f>IF($A123="","",'Team Setup'!$C$18)</x:f>
      </x:c>
      <x:c r="D123" s="27" t="str">
        <x:f>IF($A123="","",'Team Setup'!$D$18)</x:f>
      </x:c>
      <x:c r="E123" s="28" t="str">
        <x:f>IF(OR('Team Setup'!$D$4="",NOT(ISNUMBER('Team Setup'!$D$4))),"",'Team Setup'!$D$4+6)</x:f>
      </x:c>
      <x:c r="F123" s="29" t="str">
        <x:f>IF($A123="","",'Team Setup'!$E$18)</x:f>
      </x:c>
      <x:c r="G123" s="29" t="str">
        <x:f>IF($A123="","",IF(OR($E123="",$E123&lt;'Team Setup'!$D$4,$E123&gt;'Team Setup'!$F$4),"No",IF(WEEKDAY($E123,2)&gt;5,"No","Yes")))</x:f>
      </x:c>
      <x:c r="H123" s="29" t="str">
        <x:f>IF($A123="","",IF(OR($G123&lt;&gt;"Yes",$E123=""),"No",IF(COUNTIFS('Time Off'!$A$9:$A$508,$E123,'Time Off'!$C$9:$C$508,$D123,'Time Off'!$D$9:$D$508,$C123)+COUNTIFS('Time Off'!$A$9:$A$508,$E123,'Time Off'!$C$9:$C$508,$D123,'Time Off'!$D$9:$D$508,"All")&gt;0,"Yes","No")))</x:f>
      </x:c>
      <x:c r="I123" s="29" t="str">
        <x:f>IF($A123="","",IF(OR($G123&lt;&gt;"Yes",$H123="Yes"),0,MIN($F123,SUMIFS('Time Off'!$I$9:$I$508,'Time Off'!$G$9:$G$508,$A123,'Time Off'!$H$9:$H$508,$E123))))</x:f>
      </x:c>
      <x:c r="J123" s="29" t="str">
        <x:f>IF($A123="","",IF(OR($G123&lt;&gt;"Yes",$H123="Yes"),0,MAX(0,$F123-$I123)))</x:f>
      </x:c>
    </x:row>
    <x:row r="124">
      <x:c r="A124" s="27" t="str">
        <x:f>IF('Team Setup'!$A$18="","",'Team Setup'!$A$18)</x:f>
      </x:c>
      <x:c r="B124" s="27" t="str">
        <x:f>IF($A124="","",'Team Setup'!$B$18)</x:f>
      </x:c>
      <x:c r="C124" s="27" t="str">
        <x:f>IF($A124="","",'Team Setup'!$C$18)</x:f>
      </x:c>
      <x:c r="D124" s="27" t="str">
        <x:f>IF($A124="","",'Team Setup'!$D$18)</x:f>
      </x:c>
      <x:c r="E124" s="28" t="str">
        <x:f>IF(OR('Team Setup'!$D$4="",NOT(ISNUMBER('Team Setup'!$D$4))),"",'Team Setup'!$D$4+7)</x:f>
      </x:c>
      <x:c r="F124" s="29" t="str">
        <x:f>IF($A124="","",'Team Setup'!$E$18)</x:f>
      </x:c>
      <x:c r="G124" s="29" t="str">
        <x:f>IF($A124="","",IF(OR($E124="",$E124&lt;'Team Setup'!$D$4,$E124&gt;'Team Setup'!$F$4),"No",IF(WEEKDAY($E124,2)&gt;5,"No","Yes")))</x:f>
      </x:c>
      <x:c r="H124" s="29" t="str">
        <x:f>IF($A124="","",IF(OR($G124&lt;&gt;"Yes",$E124=""),"No",IF(COUNTIFS('Time Off'!$A$9:$A$508,$E124,'Time Off'!$C$9:$C$508,$D124,'Time Off'!$D$9:$D$508,$C124)+COUNTIFS('Time Off'!$A$9:$A$508,$E124,'Time Off'!$C$9:$C$508,$D124,'Time Off'!$D$9:$D$508,"All")&gt;0,"Yes","No")))</x:f>
      </x:c>
      <x:c r="I124" s="29" t="str">
        <x:f>IF($A124="","",IF(OR($G124&lt;&gt;"Yes",$H124="Yes"),0,MIN($F124,SUMIFS('Time Off'!$I$9:$I$508,'Time Off'!$G$9:$G$508,$A124,'Time Off'!$H$9:$H$508,$E124))))</x:f>
      </x:c>
      <x:c r="J124" s="29" t="str">
        <x:f>IF($A124="","",IF(OR($G124&lt;&gt;"Yes",$H124="Yes"),0,MAX(0,$F124-$I124)))</x:f>
      </x:c>
    </x:row>
    <x:row r="125">
      <x:c r="A125" s="27" t="str">
        <x:f>IF('Team Setup'!$A$18="","",'Team Setup'!$A$18)</x:f>
      </x:c>
      <x:c r="B125" s="27" t="str">
        <x:f>IF($A125="","",'Team Setup'!$B$18)</x:f>
      </x:c>
      <x:c r="C125" s="27" t="str">
        <x:f>IF($A125="","",'Team Setup'!$C$18)</x:f>
      </x:c>
      <x:c r="D125" s="27" t="str">
        <x:f>IF($A125="","",'Team Setup'!$D$18)</x:f>
      </x:c>
      <x:c r="E125" s="28" t="str">
        <x:f>IF(OR('Team Setup'!$D$4="",NOT(ISNUMBER('Team Setup'!$D$4))),"",'Team Setup'!$D$4+8)</x:f>
      </x:c>
      <x:c r="F125" s="29" t="str">
        <x:f>IF($A125="","",'Team Setup'!$E$18)</x:f>
      </x:c>
      <x:c r="G125" s="29" t="str">
        <x:f>IF($A125="","",IF(OR($E125="",$E125&lt;'Team Setup'!$D$4,$E125&gt;'Team Setup'!$F$4),"No",IF(WEEKDAY($E125,2)&gt;5,"No","Yes")))</x:f>
      </x:c>
      <x:c r="H125" s="29" t="str">
        <x:f>IF($A125="","",IF(OR($G125&lt;&gt;"Yes",$E125=""),"No",IF(COUNTIFS('Time Off'!$A$9:$A$508,$E125,'Time Off'!$C$9:$C$508,$D125,'Time Off'!$D$9:$D$508,$C125)+COUNTIFS('Time Off'!$A$9:$A$508,$E125,'Time Off'!$C$9:$C$508,$D125,'Time Off'!$D$9:$D$508,"All")&gt;0,"Yes","No")))</x:f>
      </x:c>
      <x:c r="I125" s="29" t="str">
        <x:f>IF($A125="","",IF(OR($G125&lt;&gt;"Yes",$H125="Yes"),0,MIN($F125,SUMIFS('Time Off'!$I$9:$I$508,'Time Off'!$G$9:$G$508,$A125,'Time Off'!$H$9:$H$508,$E125))))</x:f>
      </x:c>
      <x:c r="J125" s="29" t="str">
        <x:f>IF($A125="","",IF(OR($G125&lt;&gt;"Yes",$H125="Yes"),0,MAX(0,$F125-$I125)))</x:f>
      </x:c>
    </x:row>
    <x:row r="126">
      <x:c r="A126" s="27" t="str">
        <x:f>IF('Team Setup'!$A$18="","",'Team Setup'!$A$18)</x:f>
      </x:c>
      <x:c r="B126" s="27" t="str">
        <x:f>IF($A126="","",'Team Setup'!$B$18)</x:f>
      </x:c>
      <x:c r="C126" s="27" t="str">
        <x:f>IF($A126="","",'Team Setup'!$C$18)</x:f>
      </x:c>
      <x:c r="D126" s="27" t="str">
        <x:f>IF($A126="","",'Team Setup'!$D$18)</x:f>
      </x:c>
      <x:c r="E126" s="28" t="str">
        <x:f>IF(OR('Team Setup'!$D$4="",NOT(ISNUMBER('Team Setup'!$D$4))),"",'Team Setup'!$D$4+9)</x:f>
      </x:c>
      <x:c r="F126" s="29" t="str">
        <x:f>IF($A126="","",'Team Setup'!$E$18)</x:f>
      </x:c>
      <x:c r="G126" s="29" t="str">
        <x:f>IF($A126="","",IF(OR($E126="",$E126&lt;'Team Setup'!$D$4,$E126&gt;'Team Setup'!$F$4),"No",IF(WEEKDAY($E126,2)&gt;5,"No","Yes")))</x:f>
      </x:c>
      <x:c r="H126" s="29" t="str">
        <x:f>IF($A126="","",IF(OR($G126&lt;&gt;"Yes",$E126=""),"No",IF(COUNTIFS('Time Off'!$A$9:$A$508,$E126,'Time Off'!$C$9:$C$508,$D126,'Time Off'!$D$9:$D$508,$C126)+COUNTIFS('Time Off'!$A$9:$A$508,$E126,'Time Off'!$C$9:$C$508,$D126,'Time Off'!$D$9:$D$508,"All")&gt;0,"Yes","No")))</x:f>
      </x:c>
      <x:c r="I126" s="29" t="str">
        <x:f>IF($A126="","",IF(OR($G126&lt;&gt;"Yes",$H126="Yes"),0,MIN($F126,SUMIFS('Time Off'!$I$9:$I$508,'Time Off'!$G$9:$G$508,$A126,'Time Off'!$H$9:$H$508,$E126))))</x:f>
      </x:c>
      <x:c r="J126" s="29" t="str">
        <x:f>IF($A126="","",IF(OR($G126&lt;&gt;"Yes",$H126="Yes"),0,MAX(0,$F126-$I126)))</x:f>
      </x:c>
    </x:row>
    <x:row r="127">
      <x:c r="A127" s="27" t="str">
        <x:f>IF('Team Setup'!$A$18="","",'Team Setup'!$A$18)</x:f>
      </x:c>
      <x:c r="B127" s="27" t="str">
        <x:f>IF($A127="","",'Team Setup'!$B$18)</x:f>
      </x:c>
      <x:c r="C127" s="27" t="str">
        <x:f>IF($A127="","",'Team Setup'!$C$18)</x:f>
      </x:c>
      <x:c r="D127" s="27" t="str">
        <x:f>IF($A127="","",'Team Setup'!$D$18)</x:f>
      </x:c>
      <x:c r="E127" s="28" t="str">
        <x:f>IF(OR('Team Setup'!$D$4="",NOT(ISNUMBER('Team Setup'!$D$4))),"",'Team Setup'!$D$4+10)</x:f>
      </x:c>
      <x:c r="F127" s="29" t="str">
        <x:f>IF($A127="","",'Team Setup'!$E$18)</x:f>
      </x:c>
      <x:c r="G127" s="29" t="str">
        <x:f>IF($A127="","",IF(OR($E127="",$E127&lt;'Team Setup'!$D$4,$E127&gt;'Team Setup'!$F$4),"No",IF(WEEKDAY($E127,2)&gt;5,"No","Yes")))</x:f>
      </x:c>
      <x:c r="H127" s="29" t="str">
        <x:f>IF($A127="","",IF(OR($G127&lt;&gt;"Yes",$E127=""),"No",IF(COUNTIFS('Time Off'!$A$9:$A$508,$E127,'Time Off'!$C$9:$C$508,$D127,'Time Off'!$D$9:$D$508,$C127)+COUNTIFS('Time Off'!$A$9:$A$508,$E127,'Time Off'!$C$9:$C$508,$D127,'Time Off'!$D$9:$D$508,"All")&gt;0,"Yes","No")))</x:f>
      </x:c>
      <x:c r="I127" s="29" t="str">
        <x:f>IF($A127="","",IF(OR($G127&lt;&gt;"Yes",$H127="Yes"),0,MIN($F127,SUMIFS('Time Off'!$I$9:$I$508,'Time Off'!$G$9:$G$508,$A127,'Time Off'!$H$9:$H$508,$E127))))</x:f>
      </x:c>
      <x:c r="J127" s="29" t="str">
        <x:f>IF($A127="","",IF(OR($G127&lt;&gt;"Yes",$H127="Yes"),0,MAX(0,$F127-$I127)))</x:f>
      </x:c>
    </x:row>
    <x:row r="128">
      <x:c r="A128" s="27" t="str">
        <x:f>IF('Team Setup'!$A$18="","",'Team Setup'!$A$18)</x:f>
      </x:c>
      <x:c r="B128" s="27" t="str">
        <x:f>IF($A128="","",'Team Setup'!$B$18)</x:f>
      </x:c>
      <x:c r="C128" s="27" t="str">
        <x:f>IF($A128="","",'Team Setup'!$C$18)</x:f>
      </x:c>
      <x:c r="D128" s="27" t="str">
        <x:f>IF($A128="","",'Team Setup'!$D$18)</x:f>
      </x:c>
      <x:c r="E128" s="28" t="str">
        <x:f>IF(OR('Team Setup'!$D$4="",NOT(ISNUMBER('Team Setup'!$D$4))),"",'Team Setup'!$D$4+11)</x:f>
      </x:c>
      <x:c r="F128" s="29" t="str">
        <x:f>IF($A128="","",'Team Setup'!$E$18)</x:f>
      </x:c>
      <x:c r="G128" s="29" t="str">
        <x:f>IF($A128="","",IF(OR($E128="",$E128&lt;'Team Setup'!$D$4,$E128&gt;'Team Setup'!$F$4),"No",IF(WEEKDAY($E128,2)&gt;5,"No","Yes")))</x:f>
      </x:c>
      <x:c r="H128" s="29" t="str">
        <x:f>IF($A128="","",IF(OR($G128&lt;&gt;"Yes",$E128=""),"No",IF(COUNTIFS('Time Off'!$A$9:$A$508,$E128,'Time Off'!$C$9:$C$508,$D128,'Time Off'!$D$9:$D$508,$C128)+COUNTIFS('Time Off'!$A$9:$A$508,$E128,'Time Off'!$C$9:$C$508,$D128,'Time Off'!$D$9:$D$508,"All")&gt;0,"Yes","No")))</x:f>
      </x:c>
      <x:c r="I128" s="29" t="str">
        <x:f>IF($A128="","",IF(OR($G128&lt;&gt;"Yes",$H128="Yes"),0,MIN($F128,SUMIFS('Time Off'!$I$9:$I$508,'Time Off'!$G$9:$G$508,$A128,'Time Off'!$H$9:$H$508,$E128))))</x:f>
      </x:c>
      <x:c r="J128" s="29" t="str">
        <x:f>IF($A128="","",IF(OR($G128&lt;&gt;"Yes",$H128="Yes"),0,MAX(0,$F128-$I128)))</x:f>
      </x:c>
    </x:row>
    <x:row r="129">
      <x:c r="A129" s="27" t="str">
        <x:f>IF('Team Setup'!$A$18="","",'Team Setup'!$A$18)</x:f>
      </x:c>
      <x:c r="B129" s="27" t="str">
        <x:f>IF($A129="","",'Team Setup'!$B$18)</x:f>
      </x:c>
      <x:c r="C129" s="27" t="str">
        <x:f>IF($A129="","",'Team Setup'!$C$18)</x:f>
      </x:c>
      <x:c r="D129" s="27" t="str">
        <x:f>IF($A129="","",'Team Setup'!$D$18)</x:f>
      </x:c>
      <x:c r="E129" s="28" t="str">
        <x:f>IF(OR('Team Setup'!$D$4="",NOT(ISNUMBER('Team Setup'!$D$4))),"",'Team Setup'!$D$4+12)</x:f>
      </x:c>
      <x:c r="F129" s="29" t="str">
        <x:f>IF($A129="","",'Team Setup'!$E$18)</x:f>
      </x:c>
      <x:c r="G129" s="29" t="str">
        <x:f>IF($A129="","",IF(OR($E129="",$E129&lt;'Team Setup'!$D$4,$E129&gt;'Team Setup'!$F$4),"No",IF(WEEKDAY($E129,2)&gt;5,"No","Yes")))</x:f>
      </x:c>
      <x:c r="H129" s="29" t="str">
        <x:f>IF($A129="","",IF(OR($G129&lt;&gt;"Yes",$E129=""),"No",IF(COUNTIFS('Time Off'!$A$9:$A$508,$E129,'Time Off'!$C$9:$C$508,$D129,'Time Off'!$D$9:$D$508,$C129)+COUNTIFS('Time Off'!$A$9:$A$508,$E129,'Time Off'!$C$9:$C$508,$D129,'Time Off'!$D$9:$D$508,"All")&gt;0,"Yes","No")))</x:f>
      </x:c>
      <x:c r="I129" s="29" t="str">
        <x:f>IF($A129="","",IF(OR($G129&lt;&gt;"Yes",$H129="Yes"),0,MIN($F129,SUMIFS('Time Off'!$I$9:$I$508,'Time Off'!$G$9:$G$508,$A129,'Time Off'!$H$9:$H$508,$E129))))</x:f>
      </x:c>
      <x:c r="J129" s="29" t="str">
        <x:f>IF($A129="","",IF(OR($G129&lt;&gt;"Yes",$H129="Yes"),0,MAX(0,$F129-$I129)))</x:f>
      </x:c>
    </x:row>
    <x:row r="130">
      <x:c r="A130" s="27" t="str">
        <x:f>IF('Team Setup'!$A$18="","",'Team Setup'!$A$18)</x:f>
      </x:c>
      <x:c r="B130" s="27" t="str">
        <x:f>IF($A130="","",'Team Setup'!$B$18)</x:f>
      </x:c>
      <x:c r="C130" s="27" t="str">
        <x:f>IF($A130="","",'Team Setup'!$C$18)</x:f>
      </x:c>
      <x:c r="D130" s="27" t="str">
        <x:f>IF($A130="","",'Team Setup'!$D$18)</x:f>
      </x:c>
      <x:c r="E130" s="28" t="str">
        <x:f>IF(OR('Team Setup'!$D$4="",NOT(ISNUMBER('Team Setup'!$D$4))),"",'Team Setup'!$D$4+13)</x:f>
      </x:c>
      <x:c r="F130" s="29" t="str">
        <x:f>IF($A130="","",'Team Setup'!$E$18)</x:f>
      </x:c>
      <x:c r="G130" s="29" t="str">
        <x:f>IF($A130="","",IF(OR($E130="",$E130&lt;'Team Setup'!$D$4,$E130&gt;'Team Setup'!$F$4),"No",IF(WEEKDAY($E130,2)&gt;5,"No","Yes")))</x:f>
      </x:c>
      <x:c r="H130" s="29" t="str">
        <x:f>IF($A130="","",IF(OR($G130&lt;&gt;"Yes",$E130=""),"No",IF(COUNTIFS('Time Off'!$A$9:$A$508,$E130,'Time Off'!$C$9:$C$508,$D130,'Time Off'!$D$9:$D$508,$C130)+COUNTIFS('Time Off'!$A$9:$A$508,$E130,'Time Off'!$C$9:$C$508,$D130,'Time Off'!$D$9:$D$508,"All")&gt;0,"Yes","No")))</x:f>
      </x:c>
      <x:c r="I130" s="29" t="str">
        <x:f>IF($A130="","",IF(OR($G130&lt;&gt;"Yes",$H130="Yes"),0,MIN($F130,SUMIFS('Time Off'!$I$9:$I$508,'Time Off'!$G$9:$G$508,$A130,'Time Off'!$H$9:$H$508,$E130))))</x:f>
      </x:c>
      <x:c r="J130" s="29" t="str">
        <x:f>IF($A130="","",IF(OR($G130&lt;&gt;"Yes",$H130="Yes"),0,MAX(0,$F130-$I130)))</x:f>
      </x:c>
    </x:row>
    <x:row r="131">
      <x:c r="A131" s="27" t="str">
        <x:f>IF('Team Setup'!$A$19="","",'Team Setup'!$A$19)</x:f>
      </x:c>
      <x:c r="B131" s="27" t="str">
        <x:f>IF($A131="","",'Team Setup'!$B$19)</x:f>
      </x:c>
      <x:c r="C131" s="27" t="str">
        <x:f>IF($A131="","",'Team Setup'!$C$19)</x:f>
      </x:c>
      <x:c r="D131" s="27" t="str">
        <x:f>IF($A131="","",'Team Setup'!$D$19)</x:f>
      </x:c>
      <x:c r="E131" s="28" t="str">
        <x:f>IF(OR('Team Setup'!$D$4="",NOT(ISNUMBER('Team Setup'!$D$4))),"",'Team Setup'!$D$4+0)</x:f>
      </x:c>
      <x:c r="F131" s="29" t="str">
        <x:f>IF($A131="","",'Team Setup'!$E$19)</x:f>
      </x:c>
      <x:c r="G131" s="29" t="str">
        <x:f>IF($A131="","",IF(OR($E131="",$E131&lt;'Team Setup'!$D$4,$E131&gt;'Team Setup'!$F$4),"No",IF(WEEKDAY($E131,2)&gt;5,"No","Yes")))</x:f>
      </x:c>
      <x:c r="H131" s="29" t="str">
        <x:f>IF($A131="","",IF(OR($G131&lt;&gt;"Yes",$E131=""),"No",IF(COUNTIFS('Time Off'!$A$9:$A$508,$E131,'Time Off'!$C$9:$C$508,$D131,'Time Off'!$D$9:$D$508,$C131)+COUNTIFS('Time Off'!$A$9:$A$508,$E131,'Time Off'!$C$9:$C$508,$D131,'Time Off'!$D$9:$D$508,"All")&gt;0,"Yes","No")))</x:f>
      </x:c>
      <x:c r="I131" s="29" t="str">
        <x:f>IF($A131="","",IF(OR($G131&lt;&gt;"Yes",$H131="Yes"),0,MIN($F131,SUMIFS('Time Off'!$I$9:$I$508,'Time Off'!$G$9:$G$508,$A131,'Time Off'!$H$9:$H$508,$E131))))</x:f>
      </x:c>
      <x:c r="J131" s="29" t="str">
        <x:f>IF($A131="","",IF(OR($G131&lt;&gt;"Yes",$H131="Yes"),0,MAX(0,$F131-$I131)))</x:f>
      </x:c>
    </x:row>
    <x:row r="132">
      <x:c r="A132" s="27" t="str">
        <x:f>IF('Team Setup'!$A$19="","",'Team Setup'!$A$19)</x:f>
      </x:c>
      <x:c r="B132" s="27" t="str">
        <x:f>IF($A132="","",'Team Setup'!$B$19)</x:f>
      </x:c>
      <x:c r="C132" s="27" t="str">
        <x:f>IF($A132="","",'Team Setup'!$C$19)</x:f>
      </x:c>
      <x:c r="D132" s="27" t="str">
        <x:f>IF($A132="","",'Team Setup'!$D$19)</x:f>
      </x:c>
      <x:c r="E132" s="28" t="str">
        <x:f>IF(OR('Team Setup'!$D$4="",NOT(ISNUMBER('Team Setup'!$D$4))),"",'Team Setup'!$D$4+1)</x:f>
      </x:c>
      <x:c r="F132" s="29" t="str">
        <x:f>IF($A132="","",'Team Setup'!$E$19)</x:f>
      </x:c>
      <x:c r="G132" s="29" t="str">
        <x:f>IF($A132="","",IF(OR($E132="",$E132&lt;'Team Setup'!$D$4,$E132&gt;'Team Setup'!$F$4),"No",IF(WEEKDAY($E132,2)&gt;5,"No","Yes")))</x:f>
      </x:c>
      <x:c r="H132" s="29" t="str">
        <x:f>IF($A132="","",IF(OR($G132&lt;&gt;"Yes",$E132=""),"No",IF(COUNTIFS('Time Off'!$A$9:$A$508,$E132,'Time Off'!$C$9:$C$508,$D132,'Time Off'!$D$9:$D$508,$C132)+COUNTIFS('Time Off'!$A$9:$A$508,$E132,'Time Off'!$C$9:$C$508,$D132,'Time Off'!$D$9:$D$508,"All")&gt;0,"Yes","No")))</x:f>
      </x:c>
      <x:c r="I132" s="29" t="str">
        <x:f>IF($A132="","",IF(OR($G132&lt;&gt;"Yes",$H132="Yes"),0,MIN($F132,SUMIFS('Time Off'!$I$9:$I$508,'Time Off'!$G$9:$G$508,$A132,'Time Off'!$H$9:$H$508,$E132))))</x:f>
      </x:c>
      <x:c r="J132" s="29" t="str">
        <x:f>IF($A132="","",IF(OR($G132&lt;&gt;"Yes",$H132="Yes"),0,MAX(0,$F132-$I132)))</x:f>
      </x:c>
    </x:row>
    <x:row r="133">
      <x:c r="A133" s="27" t="str">
        <x:f>IF('Team Setup'!$A$19="","",'Team Setup'!$A$19)</x:f>
      </x:c>
      <x:c r="B133" s="27" t="str">
        <x:f>IF($A133="","",'Team Setup'!$B$19)</x:f>
      </x:c>
      <x:c r="C133" s="27" t="str">
        <x:f>IF($A133="","",'Team Setup'!$C$19)</x:f>
      </x:c>
      <x:c r="D133" s="27" t="str">
        <x:f>IF($A133="","",'Team Setup'!$D$19)</x:f>
      </x:c>
      <x:c r="E133" s="28" t="str">
        <x:f>IF(OR('Team Setup'!$D$4="",NOT(ISNUMBER('Team Setup'!$D$4))),"",'Team Setup'!$D$4+2)</x:f>
      </x:c>
      <x:c r="F133" s="29" t="str">
        <x:f>IF($A133="","",'Team Setup'!$E$19)</x:f>
      </x:c>
      <x:c r="G133" s="29" t="str">
        <x:f>IF($A133="","",IF(OR($E133="",$E133&lt;'Team Setup'!$D$4,$E133&gt;'Team Setup'!$F$4),"No",IF(WEEKDAY($E133,2)&gt;5,"No","Yes")))</x:f>
      </x:c>
      <x:c r="H133" s="29" t="str">
        <x:f>IF($A133="","",IF(OR($G133&lt;&gt;"Yes",$E133=""),"No",IF(COUNTIFS('Time Off'!$A$9:$A$508,$E133,'Time Off'!$C$9:$C$508,$D133,'Time Off'!$D$9:$D$508,$C133)+COUNTIFS('Time Off'!$A$9:$A$508,$E133,'Time Off'!$C$9:$C$508,$D133,'Time Off'!$D$9:$D$508,"All")&gt;0,"Yes","No")))</x:f>
      </x:c>
      <x:c r="I133" s="29" t="str">
        <x:f>IF($A133="","",IF(OR($G133&lt;&gt;"Yes",$H133="Yes"),0,MIN($F133,SUMIFS('Time Off'!$I$9:$I$508,'Time Off'!$G$9:$G$508,$A133,'Time Off'!$H$9:$H$508,$E133))))</x:f>
      </x:c>
      <x:c r="J133" s="29" t="str">
        <x:f>IF($A133="","",IF(OR($G133&lt;&gt;"Yes",$H133="Yes"),0,MAX(0,$F133-$I133)))</x:f>
      </x:c>
    </x:row>
    <x:row r="134">
      <x:c r="A134" s="27" t="str">
        <x:f>IF('Team Setup'!$A$19="","",'Team Setup'!$A$19)</x:f>
      </x:c>
      <x:c r="B134" s="27" t="str">
        <x:f>IF($A134="","",'Team Setup'!$B$19)</x:f>
      </x:c>
      <x:c r="C134" s="27" t="str">
        <x:f>IF($A134="","",'Team Setup'!$C$19)</x:f>
      </x:c>
      <x:c r="D134" s="27" t="str">
        <x:f>IF($A134="","",'Team Setup'!$D$19)</x:f>
      </x:c>
      <x:c r="E134" s="28" t="str">
        <x:f>IF(OR('Team Setup'!$D$4="",NOT(ISNUMBER('Team Setup'!$D$4))),"",'Team Setup'!$D$4+3)</x:f>
      </x:c>
      <x:c r="F134" s="29" t="str">
        <x:f>IF($A134="","",'Team Setup'!$E$19)</x:f>
      </x:c>
      <x:c r="G134" s="29" t="str">
        <x:f>IF($A134="","",IF(OR($E134="",$E134&lt;'Team Setup'!$D$4,$E134&gt;'Team Setup'!$F$4),"No",IF(WEEKDAY($E134,2)&gt;5,"No","Yes")))</x:f>
      </x:c>
      <x:c r="H134" s="29" t="str">
        <x:f>IF($A134="","",IF(OR($G134&lt;&gt;"Yes",$E134=""),"No",IF(COUNTIFS('Time Off'!$A$9:$A$508,$E134,'Time Off'!$C$9:$C$508,$D134,'Time Off'!$D$9:$D$508,$C134)+COUNTIFS('Time Off'!$A$9:$A$508,$E134,'Time Off'!$C$9:$C$508,$D134,'Time Off'!$D$9:$D$508,"All")&gt;0,"Yes","No")))</x:f>
      </x:c>
      <x:c r="I134" s="29" t="str">
        <x:f>IF($A134="","",IF(OR($G134&lt;&gt;"Yes",$H134="Yes"),0,MIN($F134,SUMIFS('Time Off'!$I$9:$I$508,'Time Off'!$G$9:$G$508,$A134,'Time Off'!$H$9:$H$508,$E134))))</x:f>
      </x:c>
      <x:c r="J134" s="29" t="str">
        <x:f>IF($A134="","",IF(OR($G134&lt;&gt;"Yes",$H134="Yes"),0,MAX(0,$F134-$I134)))</x:f>
      </x:c>
    </x:row>
    <x:row r="135">
      <x:c r="A135" s="27" t="str">
        <x:f>IF('Team Setup'!$A$19="","",'Team Setup'!$A$19)</x:f>
      </x:c>
      <x:c r="B135" s="27" t="str">
        <x:f>IF($A135="","",'Team Setup'!$B$19)</x:f>
      </x:c>
      <x:c r="C135" s="27" t="str">
        <x:f>IF($A135="","",'Team Setup'!$C$19)</x:f>
      </x:c>
      <x:c r="D135" s="27" t="str">
        <x:f>IF($A135="","",'Team Setup'!$D$19)</x:f>
      </x:c>
      <x:c r="E135" s="28" t="str">
        <x:f>IF(OR('Team Setup'!$D$4="",NOT(ISNUMBER('Team Setup'!$D$4))),"",'Team Setup'!$D$4+4)</x:f>
      </x:c>
      <x:c r="F135" s="29" t="str">
        <x:f>IF($A135="","",'Team Setup'!$E$19)</x:f>
      </x:c>
      <x:c r="G135" s="29" t="str">
        <x:f>IF($A135="","",IF(OR($E135="",$E135&lt;'Team Setup'!$D$4,$E135&gt;'Team Setup'!$F$4),"No",IF(WEEKDAY($E135,2)&gt;5,"No","Yes")))</x:f>
      </x:c>
      <x:c r="H135" s="29" t="str">
        <x:f>IF($A135="","",IF(OR($G135&lt;&gt;"Yes",$E135=""),"No",IF(COUNTIFS('Time Off'!$A$9:$A$508,$E135,'Time Off'!$C$9:$C$508,$D135,'Time Off'!$D$9:$D$508,$C135)+COUNTIFS('Time Off'!$A$9:$A$508,$E135,'Time Off'!$C$9:$C$508,$D135,'Time Off'!$D$9:$D$508,"All")&gt;0,"Yes","No")))</x:f>
      </x:c>
      <x:c r="I135" s="29" t="str">
        <x:f>IF($A135="","",IF(OR($G135&lt;&gt;"Yes",$H135="Yes"),0,MIN($F135,SUMIFS('Time Off'!$I$9:$I$508,'Time Off'!$G$9:$G$508,$A135,'Time Off'!$H$9:$H$508,$E135))))</x:f>
      </x:c>
      <x:c r="J135" s="29" t="str">
        <x:f>IF($A135="","",IF(OR($G135&lt;&gt;"Yes",$H135="Yes"),0,MAX(0,$F135-$I135)))</x:f>
      </x:c>
    </x:row>
    <x:row r="136">
      <x:c r="A136" s="27" t="str">
        <x:f>IF('Team Setup'!$A$19="","",'Team Setup'!$A$19)</x:f>
      </x:c>
      <x:c r="B136" s="27" t="str">
        <x:f>IF($A136="","",'Team Setup'!$B$19)</x:f>
      </x:c>
      <x:c r="C136" s="27" t="str">
        <x:f>IF($A136="","",'Team Setup'!$C$19)</x:f>
      </x:c>
      <x:c r="D136" s="27" t="str">
        <x:f>IF($A136="","",'Team Setup'!$D$19)</x:f>
      </x:c>
      <x:c r="E136" s="28" t="str">
        <x:f>IF(OR('Team Setup'!$D$4="",NOT(ISNUMBER('Team Setup'!$D$4))),"",'Team Setup'!$D$4+5)</x:f>
      </x:c>
      <x:c r="F136" s="29" t="str">
        <x:f>IF($A136="","",'Team Setup'!$E$19)</x:f>
      </x:c>
      <x:c r="G136" s="29" t="str">
        <x:f>IF($A136="","",IF(OR($E136="",$E136&lt;'Team Setup'!$D$4,$E136&gt;'Team Setup'!$F$4),"No",IF(WEEKDAY($E136,2)&gt;5,"No","Yes")))</x:f>
      </x:c>
      <x:c r="H136" s="29" t="str">
        <x:f>IF($A136="","",IF(OR($G136&lt;&gt;"Yes",$E136=""),"No",IF(COUNTIFS('Time Off'!$A$9:$A$508,$E136,'Time Off'!$C$9:$C$508,$D136,'Time Off'!$D$9:$D$508,$C136)+COUNTIFS('Time Off'!$A$9:$A$508,$E136,'Time Off'!$C$9:$C$508,$D136,'Time Off'!$D$9:$D$508,"All")&gt;0,"Yes","No")))</x:f>
      </x:c>
      <x:c r="I136" s="29" t="str">
        <x:f>IF($A136="","",IF(OR($G136&lt;&gt;"Yes",$H136="Yes"),0,MIN($F136,SUMIFS('Time Off'!$I$9:$I$508,'Time Off'!$G$9:$G$508,$A136,'Time Off'!$H$9:$H$508,$E136))))</x:f>
      </x:c>
      <x:c r="J136" s="29" t="str">
        <x:f>IF($A136="","",IF(OR($G136&lt;&gt;"Yes",$H136="Yes"),0,MAX(0,$F136-$I136)))</x:f>
      </x:c>
    </x:row>
    <x:row r="137">
      <x:c r="A137" s="27" t="str">
        <x:f>IF('Team Setup'!$A$19="","",'Team Setup'!$A$19)</x:f>
      </x:c>
      <x:c r="B137" s="27" t="str">
        <x:f>IF($A137="","",'Team Setup'!$B$19)</x:f>
      </x:c>
      <x:c r="C137" s="27" t="str">
        <x:f>IF($A137="","",'Team Setup'!$C$19)</x:f>
      </x:c>
      <x:c r="D137" s="27" t="str">
        <x:f>IF($A137="","",'Team Setup'!$D$19)</x:f>
      </x:c>
      <x:c r="E137" s="28" t="str">
        <x:f>IF(OR('Team Setup'!$D$4="",NOT(ISNUMBER('Team Setup'!$D$4))),"",'Team Setup'!$D$4+6)</x:f>
      </x:c>
      <x:c r="F137" s="29" t="str">
        <x:f>IF($A137="","",'Team Setup'!$E$19)</x:f>
      </x:c>
      <x:c r="G137" s="29" t="str">
        <x:f>IF($A137="","",IF(OR($E137="",$E137&lt;'Team Setup'!$D$4,$E137&gt;'Team Setup'!$F$4),"No",IF(WEEKDAY($E137,2)&gt;5,"No","Yes")))</x:f>
      </x:c>
      <x:c r="H137" s="29" t="str">
        <x:f>IF($A137="","",IF(OR($G137&lt;&gt;"Yes",$E137=""),"No",IF(COUNTIFS('Time Off'!$A$9:$A$508,$E137,'Time Off'!$C$9:$C$508,$D137,'Time Off'!$D$9:$D$508,$C137)+COUNTIFS('Time Off'!$A$9:$A$508,$E137,'Time Off'!$C$9:$C$508,$D137,'Time Off'!$D$9:$D$508,"All")&gt;0,"Yes","No")))</x:f>
      </x:c>
      <x:c r="I137" s="29" t="str">
        <x:f>IF($A137="","",IF(OR($G137&lt;&gt;"Yes",$H137="Yes"),0,MIN($F137,SUMIFS('Time Off'!$I$9:$I$508,'Time Off'!$G$9:$G$508,$A137,'Time Off'!$H$9:$H$508,$E137))))</x:f>
      </x:c>
      <x:c r="J137" s="29" t="str">
        <x:f>IF($A137="","",IF(OR($G137&lt;&gt;"Yes",$H137="Yes"),0,MAX(0,$F137-$I137)))</x:f>
      </x:c>
    </x:row>
    <x:row r="138">
      <x:c r="A138" s="27" t="str">
        <x:f>IF('Team Setup'!$A$19="","",'Team Setup'!$A$19)</x:f>
      </x:c>
      <x:c r="B138" s="27" t="str">
        <x:f>IF($A138="","",'Team Setup'!$B$19)</x:f>
      </x:c>
      <x:c r="C138" s="27" t="str">
        <x:f>IF($A138="","",'Team Setup'!$C$19)</x:f>
      </x:c>
      <x:c r="D138" s="27" t="str">
        <x:f>IF($A138="","",'Team Setup'!$D$19)</x:f>
      </x:c>
      <x:c r="E138" s="28" t="str">
        <x:f>IF(OR('Team Setup'!$D$4="",NOT(ISNUMBER('Team Setup'!$D$4))),"",'Team Setup'!$D$4+7)</x:f>
      </x:c>
      <x:c r="F138" s="29" t="str">
        <x:f>IF($A138="","",'Team Setup'!$E$19)</x:f>
      </x:c>
      <x:c r="G138" s="29" t="str">
        <x:f>IF($A138="","",IF(OR($E138="",$E138&lt;'Team Setup'!$D$4,$E138&gt;'Team Setup'!$F$4),"No",IF(WEEKDAY($E138,2)&gt;5,"No","Yes")))</x:f>
      </x:c>
      <x:c r="H138" s="29" t="str">
        <x:f>IF($A138="","",IF(OR($G138&lt;&gt;"Yes",$E138=""),"No",IF(COUNTIFS('Time Off'!$A$9:$A$508,$E138,'Time Off'!$C$9:$C$508,$D138,'Time Off'!$D$9:$D$508,$C138)+COUNTIFS('Time Off'!$A$9:$A$508,$E138,'Time Off'!$C$9:$C$508,$D138,'Time Off'!$D$9:$D$508,"All")&gt;0,"Yes","No")))</x:f>
      </x:c>
      <x:c r="I138" s="29" t="str">
        <x:f>IF($A138="","",IF(OR($G138&lt;&gt;"Yes",$H138="Yes"),0,MIN($F138,SUMIFS('Time Off'!$I$9:$I$508,'Time Off'!$G$9:$G$508,$A138,'Time Off'!$H$9:$H$508,$E138))))</x:f>
      </x:c>
      <x:c r="J138" s="29" t="str">
        <x:f>IF($A138="","",IF(OR($G138&lt;&gt;"Yes",$H138="Yes"),0,MAX(0,$F138-$I138)))</x:f>
      </x:c>
    </x:row>
    <x:row r="139">
      <x:c r="A139" s="27" t="str">
        <x:f>IF('Team Setup'!$A$19="","",'Team Setup'!$A$19)</x:f>
      </x:c>
      <x:c r="B139" s="27" t="str">
        <x:f>IF($A139="","",'Team Setup'!$B$19)</x:f>
      </x:c>
      <x:c r="C139" s="27" t="str">
        <x:f>IF($A139="","",'Team Setup'!$C$19)</x:f>
      </x:c>
      <x:c r="D139" s="27" t="str">
        <x:f>IF($A139="","",'Team Setup'!$D$19)</x:f>
      </x:c>
      <x:c r="E139" s="28" t="str">
        <x:f>IF(OR('Team Setup'!$D$4="",NOT(ISNUMBER('Team Setup'!$D$4))),"",'Team Setup'!$D$4+8)</x:f>
      </x:c>
      <x:c r="F139" s="29" t="str">
        <x:f>IF($A139="","",'Team Setup'!$E$19)</x:f>
      </x:c>
      <x:c r="G139" s="29" t="str">
        <x:f>IF($A139="","",IF(OR($E139="",$E139&lt;'Team Setup'!$D$4,$E139&gt;'Team Setup'!$F$4),"No",IF(WEEKDAY($E139,2)&gt;5,"No","Yes")))</x:f>
      </x:c>
      <x:c r="H139" s="29" t="str">
        <x:f>IF($A139="","",IF(OR($G139&lt;&gt;"Yes",$E139=""),"No",IF(COUNTIFS('Time Off'!$A$9:$A$508,$E139,'Time Off'!$C$9:$C$508,$D139,'Time Off'!$D$9:$D$508,$C139)+COUNTIFS('Time Off'!$A$9:$A$508,$E139,'Time Off'!$C$9:$C$508,$D139,'Time Off'!$D$9:$D$508,"All")&gt;0,"Yes","No")))</x:f>
      </x:c>
      <x:c r="I139" s="29" t="str">
        <x:f>IF($A139="","",IF(OR($G139&lt;&gt;"Yes",$H139="Yes"),0,MIN($F139,SUMIFS('Time Off'!$I$9:$I$508,'Time Off'!$G$9:$G$508,$A139,'Time Off'!$H$9:$H$508,$E139))))</x:f>
      </x:c>
      <x:c r="J139" s="29" t="str">
        <x:f>IF($A139="","",IF(OR($G139&lt;&gt;"Yes",$H139="Yes"),0,MAX(0,$F139-$I139)))</x:f>
      </x:c>
    </x:row>
    <x:row r="140">
      <x:c r="A140" s="27" t="str">
        <x:f>IF('Team Setup'!$A$19="","",'Team Setup'!$A$19)</x:f>
      </x:c>
      <x:c r="B140" s="27" t="str">
        <x:f>IF($A140="","",'Team Setup'!$B$19)</x:f>
      </x:c>
      <x:c r="C140" s="27" t="str">
        <x:f>IF($A140="","",'Team Setup'!$C$19)</x:f>
      </x:c>
      <x:c r="D140" s="27" t="str">
        <x:f>IF($A140="","",'Team Setup'!$D$19)</x:f>
      </x:c>
      <x:c r="E140" s="28" t="str">
        <x:f>IF(OR('Team Setup'!$D$4="",NOT(ISNUMBER('Team Setup'!$D$4))),"",'Team Setup'!$D$4+9)</x:f>
      </x:c>
      <x:c r="F140" s="29" t="str">
        <x:f>IF($A140="","",'Team Setup'!$E$19)</x:f>
      </x:c>
      <x:c r="G140" s="29" t="str">
        <x:f>IF($A140="","",IF(OR($E140="",$E140&lt;'Team Setup'!$D$4,$E140&gt;'Team Setup'!$F$4),"No",IF(WEEKDAY($E140,2)&gt;5,"No","Yes")))</x:f>
      </x:c>
      <x:c r="H140" s="29" t="str">
        <x:f>IF($A140="","",IF(OR($G140&lt;&gt;"Yes",$E140=""),"No",IF(COUNTIFS('Time Off'!$A$9:$A$508,$E140,'Time Off'!$C$9:$C$508,$D140,'Time Off'!$D$9:$D$508,$C140)+COUNTIFS('Time Off'!$A$9:$A$508,$E140,'Time Off'!$C$9:$C$508,$D140,'Time Off'!$D$9:$D$508,"All")&gt;0,"Yes","No")))</x:f>
      </x:c>
      <x:c r="I140" s="29" t="str">
        <x:f>IF($A140="","",IF(OR($G140&lt;&gt;"Yes",$H140="Yes"),0,MIN($F140,SUMIFS('Time Off'!$I$9:$I$508,'Time Off'!$G$9:$G$508,$A140,'Time Off'!$H$9:$H$508,$E140))))</x:f>
      </x:c>
      <x:c r="J140" s="29" t="str">
        <x:f>IF($A140="","",IF(OR($G140&lt;&gt;"Yes",$H140="Yes"),0,MAX(0,$F140-$I140)))</x:f>
      </x:c>
    </x:row>
    <x:row r="141">
      <x:c r="A141" s="27" t="str">
        <x:f>IF('Team Setup'!$A$19="","",'Team Setup'!$A$19)</x:f>
      </x:c>
      <x:c r="B141" s="27" t="str">
        <x:f>IF($A141="","",'Team Setup'!$B$19)</x:f>
      </x:c>
      <x:c r="C141" s="27" t="str">
        <x:f>IF($A141="","",'Team Setup'!$C$19)</x:f>
      </x:c>
      <x:c r="D141" s="27" t="str">
        <x:f>IF($A141="","",'Team Setup'!$D$19)</x:f>
      </x:c>
      <x:c r="E141" s="28" t="str">
        <x:f>IF(OR('Team Setup'!$D$4="",NOT(ISNUMBER('Team Setup'!$D$4))),"",'Team Setup'!$D$4+10)</x:f>
      </x:c>
      <x:c r="F141" s="29" t="str">
        <x:f>IF($A141="","",'Team Setup'!$E$19)</x:f>
      </x:c>
      <x:c r="G141" s="29" t="str">
        <x:f>IF($A141="","",IF(OR($E141="",$E141&lt;'Team Setup'!$D$4,$E141&gt;'Team Setup'!$F$4),"No",IF(WEEKDAY($E141,2)&gt;5,"No","Yes")))</x:f>
      </x:c>
      <x:c r="H141" s="29" t="str">
        <x:f>IF($A141="","",IF(OR($G141&lt;&gt;"Yes",$E141=""),"No",IF(COUNTIFS('Time Off'!$A$9:$A$508,$E141,'Time Off'!$C$9:$C$508,$D141,'Time Off'!$D$9:$D$508,$C141)+COUNTIFS('Time Off'!$A$9:$A$508,$E141,'Time Off'!$C$9:$C$508,$D141,'Time Off'!$D$9:$D$508,"All")&gt;0,"Yes","No")))</x:f>
      </x:c>
      <x:c r="I141" s="29" t="str">
        <x:f>IF($A141="","",IF(OR($G141&lt;&gt;"Yes",$H141="Yes"),0,MIN($F141,SUMIFS('Time Off'!$I$9:$I$508,'Time Off'!$G$9:$G$508,$A141,'Time Off'!$H$9:$H$508,$E141))))</x:f>
      </x:c>
      <x:c r="J141" s="29" t="str">
        <x:f>IF($A141="","",IF(OR($G141&lt;&gt;"Yes",$H141="Yes"),0,MAX(0,$F141-$I141)))</x:f>
      </x:c>
    </x:row>
    <x:row r="142">
      <x:c r="A142" s="27" t="str">
        <x:f>IF('Team Setup'!$A$19="","",'Team Setup'!$A$19)</x:f>
      </x:c>
      <x:c r="B142" s="27" t="str">
        <x:f>IF($A142="","",'Team Setup'!$B$19)</x:f>
      </x:c>
      <x:c r="C142" s="27" t="str">
        <x:f>IF($A142="","",'Team Setup'!$C$19)</x:f>
      </x:c>
      <x:c r="D142" s="27" t="str">
        <x:f>IF($A142="","",'Team Setup'!$D$19)</x:f>
      </x:c>
      <x:c r="E142" s="28" t="str">
        <x:f>IF(OR('Team Setup'!$D$4="",NOT(ISNUMBER('Team Setup'!$D$4))),"",'Team Setup'!$D$4+11)</x:f>
      </x:c>
      <x:c r="F142" s="29" t="str">
        <x:f>IF($A142="","",'Team Setup'!$E$19)</x:f>
      </x:c>
      <x:c r="G142" s="29" t="str">
        <x:f>IF($A142="","",IF(OR($E142="",$E142&lt;'Team Setup'!$D$4,$E142&gt;'Team Setup'!$F$4),"No",IF(WEEKDAY($E142,2)&gt;5,"No","Yes")))</x:f>
      </x:c>
      <x:c r="H142" s="29" t="str">
        <x:f>IF($A142="","",IF(OR($G142&lt;&gt;"Yes",$E142=""),"No",IF(COUNTIFS('Time Off'!$A$9:$A$508,$E142,'Time Off'!$C$9:$C$508,$D142,'Time Off'!$D$9:$D$508,$C142)+COUNTIFS('Time Off'!$A$9:$A$508,$E142,'Time Off'!$C$9:$C$508,$D142,'Time Off'!$D$9:$D$508,"All")&gt;0,"Yes","No")))</x:f>
      </x:c>
      <x:c r="I142" s="29" t="str">
        <x:f>IF($A142="","",IF(OR($G142&lt;&gt;"Yes",$H142="Yes"),0,MIN($F142,SUMIFS('Time Off'!$I$9:$I$508,'Time Off'!$G$9:$G$508,$A142,'Time Off'!$H$9:$H$508,$E142))))</x:f>
      </x:c>
      <x:c r="J142" s="29" t="str">
        <x:f>IF($A142="","",IF(OR($G142&lt;&gt;"Yes",$H142="Yes"),0,MAX(0,$F142-$I142)))</x:f>
      </x:c>
    </x:row>
    <x:row r="143">
      <x:c r="A143" s="27" t="str">
        <x:f>IF('Team Setup'!$A$19="","",'Team Setup'!$A$19)</x:f>
      </x:c>
      <x:c r="B143" s="27" t="str">
        <x:f>IF($A143="","",'Team Setup'!$B$19)</x:f>
      </x:c>
      <x:c r="C143" s="27" t="str">
        <x:f>IF($A143="","",'Team Setup'!$C$19)</x:f>
      </x:c>
      <x:c r="D143" s="27" t="str">
        <x:f>IF($A143="","",'Team Setup'!$D$19)</x:f>
      </x:c>
      <x:c r="E143" s="28" t="str">
        <x:f>IF(OR('Team Setup'!$D$4="",NOT(ISNUMBER('Team Setup'!$D$4))),"",'Team Setup'!$D$4+12)</x:f>
      </x:c>
      <x:c r="F143" s="29" t="str">
        <x:f>IF($A143="","",'Team Setup'!$E$19)</x:f>
      </x:c>
      <x:c r="G143" s="29" t="str">
        <x:f>IF($A143="","",IF(OR($E143="",$E143&lt;'Team Setup'!$D$4,$E143&gt;'Team Setup'!$F$4),"No",IF(WEEKDAY($E143,2)&gt;5,"No","Yes")))</x:f>
      </x:c>
      <x:c r="H143" s="29" t="str">
        <x:f>IF($A143="","",IF(OR($G143&lt;&gt;"Yes",$E143=""),"No",IF(COUNTIFS('Time Off'!$A$9:$A$508,$E143,'Time Off'!$C$9:$C$508,$D143,'Time Off'!$D$9:$D$508,$C143)+COUNTIFS('Time Off'!$A$9:$A$508,$E143,'Time Off'!$C$9:$C$508,$D143,'Time Off'!$D$9:$D$508,"All")&gt;0,"Yes","No")))</x:f>
      </x:c>
      <x:c r="I143" s="29" t="str">
        <x:f>IF($A143="","",IF(OR($G143&lt;&gt;"Yes",$H143="Yes"),0,MIN($F143,SUMIFS('Time Off'!$I$9:$I$508,'Time Off'!$G$9:$G$508,$A143,'Time Off'!$H$9:$H$508,$E143))))</x:f>
      </x:c>
      <x:c r="J143" s="29" t="str">
        <x:f>IF($A143="","",IF(OR($G143&lt;&gt;"Yes",$H143="Yes"),0,MAX(0,$F143-$I143)))</x:f>
      </x:c>
    </x:row>
    <x:row r="144">
      <x:c r="A144" s="27" t="str">
        <x:f>IF('Team Setup'!$A$19="","",'Team Setup'!$A$19)</x:f>
      </x:c>
      <x:c r="B144" s="27" t="str">
        <x:f>IF($A144="","",'Team Setup'!$B$19)</x:f>
      </x:c>
      <x:c r="C144" s="27" t="str">
        <x:f>IF($A144="","",'Team Setup'!$C$19)</x:f>
      </x:c>
      <x:c r="D144" s="27" t="str">
        <x:f>IF($A144="","",'Team Setup'!$D$19)</x:f>
      </x:c>
      <x:c r="E144" s="28" t="str">
        <x:f>IF(OR('Team Setup'!$D$4="",NOT(ISNUMBER('Team Setup'!$D$4))),"",'Team Setup'!$D$4+13)</x:f>
      </x:c>
      <x:c r="F144" s="29" t="str">
        <x:f>IF($A144="","",'Team Setup'!$E$19)</x:f>
      </x:c>
      <x:c r="G144" s="29" t="str">
        <x:f>IF($A144="","",IF(OR($E144="",$E144&lt;'Team Setup'!$D$4,$E144&gt;'Team Setup'!$F$4),"No",IF(WEEKDAY($E144,2)&gt;5,"No","Yes")))</x:f>
      </x:c>
      <x:c r="H144" s="29" t="str">
        <x:f>IF($A144="","",IF(OR($G144&lt;&gt;"Yes",$E144=""),"No",IF(COUNTIFS('Time Off'!$A$9:$A$508,$E144,'Time Off'!$C$9:$C$508,$D144,'Time Off'!$D$9:$D$508,$C144)+COUNTIFS('Time Off'!$A$9:$A$508,$E144,'Time Off'!$C$9:$C$508,$D144,'Time Off'!$D$9:$D$508,"All")&gt;0,"Yes","No")))</x:f>
      </x:c>
      <x:c r="I144" s="29" t="str">
        <x:f>IF($A144="","",IF(OR($G144&lt;&gt;"Yes",$H144="Yes"),0,MIN($F144,SUMIFS('Time Off'!$I$9:$I$508,'Time Off'!$G$9:$G$508,$A144,'Time Off'!$H$9:$H$508,$E144))))</x:f>
      </x:c>
      <x:c r="J144" s="29" t="str">
        <x:f>IF($A144="","",IF(OR($G144&lt;&gt;"Yes",$H144="Yes"),0,MAX(0,$F144-$I144)))</x:f>
      </x:c>
    </x:row>
    <x:row r="145">
      <x:c r="A145" s="27" t="str">
        <x:f>IF('Team Setup'!$A$20="","",'Team Setup'!$A$20)</x:f>
      </x:c>
      <x:c r="B145" s="27" t="str">
        <x:f>IF($A145="","",'Team Setup'!$B$20)</x:f>
      </x:c>
      <x:c r="C145" s="27" t="str">
        <x:f>IF($A145="","",'Team Setup'!$C$20)</x:f>
      </x:c>
      <x:c r="D145" s="27" t="str">
        <x:f>IF($A145="","",'Team Setup'!$D$20)</x:f>
      </x:c>
      <x:c r="E145" s="28" t="str">
        <x:f>IF(OR('Team Setup'!$D$4="",NOT(ISNUMBER('Team Setup'!$D$4))),"",'Team Setup'!$D$4+0)</x:f>
      </x:c>
      <x:c r="F145" s="29" t="str">
        <x:f>IF($A145="","",'Team Setup'!$E$20)</x:f>
      </x:c>
      <x:c r="G145" s="29" t="str">
        <x:f>IF($A145="","",IF(OR($E145="",$E145&lt;'Team Setup'!$D$4,$E145&gt;'Team Setup'!$F$4),"No",IF(WEEKDAY($E145,2)&gt;5,"No","Yes")))</x:f>
      </x:c>
      <x:c r="H145" s="29" t="str">
        <x:f>IF($A145="","",IF(OR($G145&lt;&gt;"Yes",$E145=""),"No",IF(COUNTIFS('Time Off'!$A$9:$A$508,$E145,'Time Off'!$C$9:$C$508,$D145,'Time Off'!$D$9:$D$508,$C145)+COUNTIFS('Time Off'!$A$9:$A$508,$E145,'Time Off'!$C$9:$C$508,$D145,'Time Off'!$D$9:$D$508,"All")&gt;0,"Yes","No")))</x:f>
      </x:c>
      <x:c r="I145" s="29" t="str">
        <x:f>IF($A145="","",IF(OR($G145&lt;&gt;"Yes",$H145="Yes"),0,MIN($F145,SUMIFS('Time Off'!$I$9:$I$508,'Time Off'!$G$9:$G$508,$A145,'Time Off'!$H$9:$H$508,$E145))))</x:f>
      </x:c>
      <x:c r="J145" s="29" t="str">
        <x:f>IF($A145="","",IF(OR($G145&lt;&gt;"Yes",$H145="Yes"),0,MAX(0,$F145-$I145)))</x:f>
      </x:c>
    </x:row>
    <x:row r="146">
      <x:c r="A146" s="27" t="str">
        <x:f>IF('Team Setup'!$A$20="","",'Team Setup'!$A$20)</x:f>
      </x:c>
      <x:c r="B146" s="27" t="str">
        <x:f>IF($A146="","",'Team Setup'!$B$20)</x:f>
      </x:c>
      <x:c r="C146" s="27" t="str">
        <x:f>IF($A146="","",'Team Setup'!$C$20)</x:f>
      </x:c>
      <x:c r="D146" s="27" t="str">
        <x:f>IF($A146="","",'Team Setup'!$D$20)</x:f>
      </x:c>
      <x:c r="E146" s="28" t="str">
        <x:f>IF(OR('Team Setup'!$D$4="",NOT(ISNUMBER('Team Setup'!$D$4))),"",'Team Setup'!$D$4+1)</x:f>
      </x:c>
      <x:c r="F146" s="29" t="str">
        <x:f>IF($A146="","",'Team Setup'!$E$20)</x:f>
      </x:c>
      <x:c r="G146" s="29" t="str">
        <x:f>IF($A146="","",IF(OR($E146="",$E146&lt;'Team Setup'!$D$4,$E146&gt;'Team Setup'!$F$4),"No",IF(WEEKDAY($E146,2)&gt;5,"No","Yes")))</x:f>
      </x:c>
      <x:c r="H146" s="29" t="str">
        <x:f>IF($A146="","",IF(OR($G146&lt;&gt;"Yes",$E146=""),"No",IF(COUNTIFS('Time Off'!$A$9:$A$508,$E146,'Time Off'!$C$9:$C$508,$D146,'Time Off'!$D$9:$D$508,$C146)+COUNTIFS('Time Off'!$A$9:$A$508,$E146,'Time Off'!$C$9:$C$508,$D146,'Time Off'!$D$9:$D$508,"All")&gt;0,"Yes","No")))</x:f>
      </x:c>
      <x:c r="I146" s="29" t="str">
        <x:f>IF($A146="","",IF(OR($G146&lt;&gt;"Yes",$H146="Yes"),0,MIN($F146,SUMIFS('Time Off'!$I$9:$I$508,'Time Off'!$G$9:$G$508,$A146,'Time Off'!$H$9:$H$508,$E146))))</x:f>
      </x:c>
      <x:c r="J146" s="29" t="str">
        <x:f>IF($A146="","",IF(OR($G146&lt;&gt;"Yes",$H146="Yes"),0,MAX(0,$F146-$I146)))</x:f>
      </x:c>
    </x:row>
    <x:row r="147">
      <x:c r="A147" s="27" t="str">
        <x:f>IF('Team Setup'!$A$20="","",'Team Setup'!$A$20)</x:f>
      </x:c>
      <x:c r="B147" s="27" t="str">
        <x:f>IF($A147="","",'Team Setup'!$B$20)</x:f>
      </x:c>
      <x:c r="C147" s="27" t="str">
        <x:f>IF($A147="","",'Team Setup'!$C$20)</x:f>
      </x:c>
      <x:c r="D147" s="27" t="str">
        <x:f>IF($A147="","",'Team Setup'!$D$20)</x:f>
      </x:c>
      <x:c r="E147" s="28" t="str">
        <x:f>IF(OR('Team Setup'!$D$4="",NOT(ISNUMBER('Team Setup'!$D$4))),"",'Team Setup'!$D$4+2)</x:f>
      </x:c>
      <x:c r="F147" s="29" t="str">
        <x:f>IF($A147="","",'Team Setup'!$E$20)</x:f>
      </x:c>
      <x:c r="G147" s="29" t="str">
        <x:f>IF($A147="","",IF(OR($E147="",$E147&lt;'Team Setup'!$D$4,$E147&gt;'Team Setup'!$F$4),"No",IF(WEEKDAY($E147,2)&gt;5,"No","Yes")))</x:f>
      </x:c>
      <x:c r="H147" s="29" t="str">
        <x:f>IF($A147="","",IF(OR($G147&lt;&gt;"Yes",$E147=""),"No",IF(COUNTIFS('Time Off'!$A$9:$A$508,$E147,'Time Off'!$C$9:$C$508,$D147,'Time Off'!$D$9:$D$508,$C147)+COUNTIFS('Time Off'!$A$9:$A$508,$E147,'Time Off'!$C$9:$C$508,$D147,'Time Off'!$D$9:$D$508,"All")&gt;0,"Yes","No")))</x:f>
      </x:c>
      <x:c r="I147" s="29" t="str">
        <x:f>IF($A147="","",IF(OR($G147&lt;&gt;"Yes",$H147="Yes"),0,MIN($F147,SUMIFS('Time Off'!$I$9:$I$508,'Time Off'!$G$9:$G$508,$A147,'Time Off'!$H$9:$H$508,$E147))))</x:f>
      </x:c>
      <x:c r="J147" s="29" t="str">
        <x:f>IF($A147="","",IF(OR($G147&lt;&gt;"Yes",$H147="Yes"),0,MAX(0,$F147-$I147)))</x:f>
      </x:c>
    </x:row>
    <x:row r="148">
      <x:c r="A148" s="27" t="str">
        <x:f>IF('Team Setup'!$A$20="","",'Team Setup'!$A$20)</x:f>
      </x:c>
      <x:c r="B148" s="27" t="str">
        <x:f>IF($A148="","",'Team Setup'!$B$20)</x:f>
      </x:c>
      <x:c r="C148" s="27" t="str">
        <x:f>IF($A148="","",'Team Setup'!$C$20)</x:f>
      </x:c>
      <x:c r="D148" s="27" t="str">
        <x:f>IF($A148="","",'Team Setup'!$D$20)</x:f>
      </x:c>
      <x:c r="E148" s="28" t="str">
        <x:f>IF(OR('Team Setup'!$D$4="",NOT(ISNUMBER('Team Setup'!$D$4))),"",'Team Setup'!$D$4+3)</x:f>
      </x:c>
      <x:c r="F148" s="29" t="str">
        <x:f>IF($A148="","",'Team Setup'!$E$20)</x:f>
      </x:c>
      <x:c r="G148" s="29" t="str">
        <x:f>IF($A148="","",IF(OR($E148="",$E148&lt;'Team Setup'!$D$4,$E148&gt;'Team Setup'!$F$4),"No",IF(WEEKDAY($E148,2)&gt;5,"No","Yes")))</x:f>
      </x:c>
      <x:c r="H148" s="29" t="str">
        <x:f>IF($A148="","",IF(OR($G148&lt;&gt;"Yes",$E148=""),"No",IF(COUNTIFS('Time Off'!$A$9:$A$508,$E148,'Time Off'!$C$9:$C$508,$D148,'Time Off'!$D$9:$D$508,$C148)+COUNTIFS('Time Off'!$A$9:$A$508,$E148,'Time Off'!$C$9:$C$508,$D148,'Time Off'!$D$9:$D$508,"All")&gt;0,"Yes","No")))</x:f>
      </x:c>
      <x:c r="I148" s="29" t="str">
        <x:f>IF($A148="","",IF(OR($G148&lt;&gt;"Yes",$H148="Yes"),0,MIN($F148,SUMIFS('Time Off'!$I$9:$I$508,'Time Off'!$G$9:$G$508,$A148,'Time Off'!$H$9:$H$508,$E148))))</x:f>
      </x:c>
      <x:c r="J148" s="29" t="str">
        <x:f>IF($A148="","",IF(OR($G148&lt;&gt;"Yes",$H148="Yes"),0,MAX(0,$F148-$I148)))</x:f>
      </x:c>
    </x:row>
    <x:row r="149">
      <x:c r="A149" s="27" t="str">
        <x:f>IF('Team Setup'!$A$20="","",'Team Setup'!$A$20)</x:f>
      </x:c>
      <x:c r="B149" s="27" t="str">
        <x:f>IF($A149="","",'Team Setup'!$B$20)</x:f>
      </x:c>
      <x:c r="C149" s="27" t="str">
        <x:f>IF($A149="","",'Team Setup'!$C$20)</x:f>
      </x:c>
      <x:c r="D149" s="27" t="str">
        <x:f>IF($A149="","",'Team Setup'!$D$20)</x:f>
      </x:c>
      <x:c r="E149" s="28" t="str">
        <x:f>IF(OR('Team Setup'!$D$4="",NOT(ISNUMBER('Team Setup'!$D$4))),"",'Team Setup'!$D$4+4)</x:f>
      </x:c>
      <x:c r="F149" s="29" t="str">
        <x:f>IF($A149="","",'Team Setup'!$E$20)</x:f>
      </x:c>
      <x:c r="G149" s="29" t="str">
        <x:f>IF($A149="","",IF(OR($E149="",$E149&lt;'Team Setup'!$D$4,$E149&gt;'Team Setup'!$F$4),"No",IF(WEEKDAY($E149,2)&gt;5,"No","Yes")))</x:f>
      </x:c>
      <x:c r="H149" s="29" t="str">
        <x:f>IF($A149="","",IF(OR($G149&lt;&gt;"Yes",$E149=""),"No",IF(COUNTIFS('Time Off'!$A$9:$A$508,$E149,'Time Off'!$C$9:$C$508,$D149,'Time Off'!$D$9:$D$508,$C149)+COUNTIFS('Time Off'!$A$9:$A$508,$E149,'Time Off'!$C$9:$C$508,$D149,'Time Off'!$D$9:$D$508,"All")&gt;0,"Yes","No")))</x:f>
      </x:c>
      <x:c r="I149" s="29" t="str">
        <x:f>IF($A149="","",IF(OR($G149&lt;&gt;"Yes",$H149="Yes"),0,MIN($F149,SUMIFS('Time Off'!$I$9:$I$508,'Time Off'!$G$9:$G$508,$A149,'Time Off'!$H$9:$H$508,$E149))))</x:f>
      </x:c>
      <x:c r="J149" s="29" t="str">
        <x:f>IF($A149="","",IF(OR($G149&lt;&gt;"Yes",$H149="Yes"),0,MAX(0,$F149-$I149)))</x:f>
      </x:c>
    </x:row>
    <x:row r="150">
      <x:c r="A150" s="27" t="str">
        <x:f>IF('Team Setup'!$A$20="","",'Team Setup'!$A$20)</x:f>
      </x:c>
      <x:c r="B150" s="27" t="str">
        <x:f>IF($A150="","",'Team Setup'!$B$20)</x:f>
      </x:c>
      <x:c r="C150" s="27" t="str">
        <x:f>IF($A150="","",'Team Setup'!$C$20)</x:f>
      </x:c>
      <x:c r="D150" s="27" t="str">
        <x:f>IF($A150="","",'Team Setup'!$D$20)</x:f>
      </x:c>
      <x:c r="E150" s="28" t="str">
        <x:f>IF(OR('Team Setup'!$D$4="",NOT(ISNUMBER('Team Setup'!$D$4))),"",'Team Setup'!$D$4+5)</x:f>
      </x:c>
      <x:c r="F150" s="29" t="str">
        <x:f>IF($A150="","",'Team Setup'!$E$20)</x:f>
      </x:c>
      <x:c r="G150" s="29" t="str">
        <x:f>IF($A150="","",IF(OR($E150="",$E150&lt;'Team Setup'!$D$4,$E150&gt;'Team Setup'!$F$4),"No",IF(WEEKDAY($E150,2)&gt;5,"No","Yes")))</x:f>
      </x:c>
      <x:c r="H150" s="29" t="str">
        <x:f>IF($A150="","",IF(OR($G150&lt;&gt;"Yes",$E150=""),"No",IF(COUNTIFS('Time Off'!$A$9:$A$508,$E150,'Time Off'!$C$9:$C$508,$D150,'Time Off'!$D$9:$D$508,$C150)+COUNTIFS('Time Off'!$A$9:$A$508,$E150,'Time Off'!$C$9:$C$508,$D150,'Time Off'!$D$9:$D$508,"All")&gt;0,"Yes","No")))</x:f>
      </x:c>
      <x:c r="I150" s="29" t="str">
        <x:f>IF($A150="","",IF(OR($G150&lt;&gt;"Yes",$H150="Yes"),0,MIN($F150,SUMIFS('Time Off'!$I$9:$I$508,'Time Off'!$G$9:$G$508,$A150,'Time Off'!$H$9:$H$508,$E150))))</x:f>
      </x:c>
      <x:c r="J150" s="29" t="str">
        <x:f>IF($A150="","",IF(OR($G150&lt;&gt;"Yes",$H150="Yes"),0,MAX(0,$F150-$I150)))</x:f>
      </x:c>
    </x:row>
    <x:row r="151">
      <x:c r="A151" s="27" t="str">
        <x:f>IF('Team Setup'!$A$20="","",'Team Setup'!$A$20)</x:f>
      </x:c>
      <x:c r="B151" s="27" t="str">
        <x:f>IF($A151="","",'Team Setup'!$B$20)</x:f>
      </x:c>
      <x:c r="C151" s="27" t="str">
        <x:f>IF($A151="","",'Team Setup'!$C$20)</x:f>
      </x:c>
      <x:c r="D151" s="27" t="str">
        <x:f>IF($A151="","",'Team Setup'!$D$20)</x:f>
      </x:c>
      <x:c r="E151" s="28" t="str">
        <x:f>IF(OR('Team Setup'!$D$4="",NOT(ISNUMBER('Team Setup'!$D$4))),"",'Team Setup'!$D$4+6)</x:f>
      </x:c>
      <x:c r="F151" s="29" t="str">
        <x:f>IF($A151="","",'Team Setup'!$E$20)</x:f>
      </x:c>
      <x:c r="G151" s="29" t="str">
        <x:f>IF($A151="","",IF(OR($E151="",$E151&lt;'Team Setup'!$D$4,$E151&gt;'Team Setup'!$F$4),"No",IF(WEEKDAY($E151,2)&gt;5,"No","Yes")))</x:f>
      </x:c>
      <x:c r="H151" s="29" t="str">
        <x:f>IF($A151="","",IF(OR($G151&lt;&gt;"Yes",$E151=""),"No",IF(COUNTIFS('Time Off'!$A$9:$A$508,$E151,'Time Off'!$C$9:$C$508,$D151,'Time Off'!$D$9:$D$508,$C151)+COUNTIFS('Time Off'!$A$9:$A$508,$E151,'Time Off'!$C$9:$C$508,$D151,'Time Off'!$D$9:$D$508,"All")&gt;0,"Yes","No")))</x:f>
      </x:c>
      <x:c r="I151" s="29" t="str">
        <x:f>IF($A151="","",IF(OR($G151&lt;&gt;"Yes",$H151="Yes"),0,MIN($F151,SUMIFS('Time Off'!$I$9:$I$508,'Time Off'!$G$9:$G$508,$A151,'Time Off'!$H$9:$H$508,$E151))))</x:f>
      </x:c>
      <x:c r="J151" s="29" t="str">
        <x:f>IF($A151="","",IF(OR($G151&lt;&gt;"Yes",$H151="Yes"),0,MAX(0,$F151-$I151)))</x:f>
      </x:c>
    </x:row>
    <x:row r="152">
      <x:c r="A152" s="27" t="str">
        <x:f>IF('Team Setup'!$A$20="","",'Team Setup'!$A$20)</x:f>
      </x:c>
      <x:c r="B152" s="27" t="str">
        <x:f>IF($A152="","",'Team Setup'!$B$20)</x:f>
      </x:c>
      <x:c r="C152" s="27" t="str">
        <x:f>IF($A152="","",'Team Setup'!$C$20)</x:f>
      </x:c>
      <x:c r="D152" s="27" t="str">
        <x:f>IF($A152="","",'Team Setup'!$D$20)</x:f>
      </x:c>
      <x:c r="E152" s="28" t="str">
        <x:f>IF(OR('Team Setup'!$D$4="",NOT(ISNUMBER('Team Setup'!$D$4))),"",'Team Setup'!$D$4+7)</x:f>
      </x:c>
      <x:c r="F152" s="29" t="str">
        <x:f>IF($A152="","",'Team Setup'!$E$20)</x:f>
      </x:c>
      <x:c r="G152" s="29" t="str">
        <x:f>IF($A152="","",IF(OR($E152="",$E152&lt;'Team Setup'!$D$4,$E152&gt;'Team Setup'!$F$4),"No",IF(WEEKDAY($E152,2)&gt;5,"No","Yes")))</x:f>
      </x:c>
      <x:c r="H152" s="29" t="str">
        <x:f>IF($A152="","",IF(OR($G152&lt;&gt;"Yes",$E152=""),"No",IF(COUNTIFS('Time Off'!$A$9:$A$508,$E152,'Time Off'!$C$9:$C$508,$D152,'Time Off'!$D$9:$D$508,$C152)+COUNTIFS('Time Off'!$A$9:$A$508,$E152,'Time Off'!$C$9:$C$508,$D152,'Time Off'!$D$9:$D$508,"All")&gt;0,"Yes","No")))</x:f>
      </x:c>
      <x:c r="I152" s="29" t="str">
        <x:f>IF($A152="","",IF(OR($G152&lt;&gt;"Yes",$H152="Yes"),0,MIN($F152,SUMIFS('Time Off'!$I$9:$I$508,'Time Off'!$G$9:$G$508,$A152,'Time Off'!$H$9:$H$508,$E152))))</x:f>
      </x:c>
      <x:c r="J152" s="29" t="str">
        <x:f>IF($A152="","",IF(OR($G152&lt;&gt;"Yes",$H152="Yes"),0,MAX(0,$F152-$I152)))</x:f>
      </x:c>
    </x:row>
    <x:row r="153">
      <x:c r="A153" s="27" t="str">
        <x:f>IF('Team Setup'!$A$20="","",'Team Setup'!$A$20)</x:f>
      </x:c>
      <x:c r="B153" s="27" t="str">
        <x:f>IF($A153="","",'Team Setup'!$B$20)</x:f>
      </x:c>
      <x:c r="C153" s="27" t="str">
        <x:f>IF($A153="","",'Team Setup'!$C$20)</x:f>
      </x:c>
      <x:c r="D153" s="27" t="str">
        <x:f>IF($A153="","",'Team Setup'!$D$20)</x:f>
      </x:c>
      <x:c r="E153" s="28" t="str">
        <x:f>IF(OR('Team Setup'!$D$4="",NOT(ISNUMBER('Team Setup'!$D$4))),"",'Team Setup'!$D$4+8)</x:f>
      </x:c>
      <x:c r="F153" s="29" t="str">
        <x:f>IF($A153="","",'Team Setup'!$E$20)</x:f>
      </x:c>
      <x:c r="G153" s="29" t="str">
        <x:f>IF($A153="","",IF(OR($E153="",$E153&lt;'Team Setup'!$D$4,$E153&gt;'Team Setup'!$F$4),"No",IF(WEEKDAY($E153,2)&gt;5,"No","Yes")))</x:f>
      </x:c>
      <x:c r="H153" s="29" t="str">
        <x:f>IF($A153="","",IF(OR($G153&lt;&gt;"Yes",$E153=""),"No",IF(COUNTIFS('Time Off'!$A$9:$A$508,$E153,'Time Off'!$C$9:$C$508,$D153,'Time Off'!$D$9:$D$508,$C153)+COUNTIFS('Time Off'!$A$9:$A$508,$E153,'Time Off'!$C$9:$C$508,$D153,'Time Off'!$D$9:$D$508,"All")&gt;0,"Yes","No")))</x:f>
      </x:c>
      <x:c r="I153" s="29" t="str">
        <x:f>IF($A153="","",IF(OR($G153&lt;&gt;"Yes",$H153="Yes"),0,MIN($F153,SUMIFS('Time Off'!$I$9:$I$508,'Time Off'!$G$9:$G$508,$A153,'Time Off'!$H$9:$H$508,$E153))))</x:f>
      </x:c>
      <x:c r="J153" s="29" t="str">
        <x:f>IF($A153="","",IF(OR($G153&lt;&gt;"Yes",$H153="Yes"),0,MAX(0,$F153-$I153)))</x:f>
      </x:c>
    </x:row>
    <x:row r="154">
      <x:c r="A154" s="27" t="str">
        <x:f>IF('Team Setup'!$A$20="","",'Team Setup'!$A$20)</x:f>
      </x:c>
      <x:c r="B154" s="27" t="str">
        <x:f>IF($A154="","",'Team Setup'!$B$20)</x:f>
      </x:c>
      <x:c r="C154" s="27" t="str">
        <x:f>IF($A154="","",'Team Setup'!$C$20)</x:f>
      </x:c>
      <x:c r="D154" s="27" t="str">
        <x:f>IF($A154="","",'Team Setup'!$D$20)</x:f>
      </x:c>
      <x:c r="E154" s="28" t="str">
        <x:f>IF(OR('Team Setup'!$D$4="",NOT(ISNUMBER('Team Setup'!$D$4))),"",'Team Setup'!$D$4+9)</x:f>
      </x:c>
      <x:c r="F154" s="29" t="str">
        <x:f>IF($A154="","",'Team Setup'!$E$20)</x:f>
      </x:c>
      <x:c r="G154" s="29" t="str">
        <x:f>IF($A154="","",IF(OR($E154="",$E154&lt;'Team Setup'!$D$4,$E154&gt;'Team Setup'!$F$4),"No",IF(WEEKDAY($E154,2)&gt;5,"No","Yes")))</x:f>
      </x:c>
      <x:c r="H154" s="29" t="str">
        <x:f>IF($A154="","",IF(OR($G154&lt;&gt;"Yes",$E154=""),"No",IF(COUNTIFS('Time Off'!$A$9:$A$508,$E154,'Time Off'!$C$9:$C$508,$D154,'Time Off'!$D$9:$D$508,$C154)+COUNTIFS('Time Off'!$A$9:$A$508,$E154,'Time Off'!$C$9:$C$508,$D154,'Time Off'!$D$9:$D$508,"All")&gt;0,"Yes","No")))</x:f>
      </x:c>
      <x:c r="I154" s="29" t="str">
        <x:f>IF($A154="","",IF(OR($G154&lt;&gt;"Yes",$H154="Yes"),0,MIN($F154,SUMIFS('Time Off'!$I$9:$I$508,'Time Off'!$G$9:$G$508,$A154,'Time Off'!$H$9:$H$508,$E154))))</x:f>
      </x:c>
      <x:c r="J154" s="29" t="str">
        <x:f>IF($A154="","",IF(OR($G154&lt;&gt;"Yes",$H154="Yes"),0,MAX(0,$F154-$I154)))</x:f>
      </x:c>
    </x:row>
    <x:row r="155">
      <x:c r="A155" s="27" t="str">
        <x:f>IF('Team Setup'!$A$20="","",'Team Setup'!$A$20)</x:f>
      </x:c>
      <x:c r="B155" s="27" t="str">
        <x:f>IF($A155="","",'Team Setup'!$B$20)</x:f>
      </x:c>
      <x:c r="C155" s="27" t="str">
        <x:f>IF($A155="","",'Team Setup'!$C$20)</x:f>
      </x:c>
      <x:c r="D155" s="27" t="str">
        <x:f>IF($A155="","",'Team Setup'!$D$20)</x:f>
      </x:c>
      <x:c r="E155" s="28" t="str">
        <x:f>IF(OR('Team Setup'!$D$4="",NOT(ISNUMBER('Team Setup'!$D$4))),"",'Team Setup'!$D$4+10)</x:f>
      </x:c>
      <x:c r="F155" s="29" t="str">
        <x:f>IF($A155="","",'Team Setup'!$E$20)</x:f>
      </x:c>
      <x:c r="G155" s="29" t="str">
        <x:f>IF($A155="","",IF(OR($E155="",$E155&lt;'Team Setup'!$D$4,$E155&gt;'Team Setup'!$F$4),"No",IF(WEEKDAY($E155,2)&gt;5,"No","Yes")))</x:f>
      </x:c>
      <x:c r="H155" s="29" t="str">
        <x:f>IF($A155="","",IF(OR($G155&lt;&gt;"Yes",$E155=""),"No",IF(COUNTIFS('Time Off'!$A$9:$A$508,$E155,'Time Off'!$C$9:$C$508,$D155,'Time Off'!$D$9:$D$508,$C155)+COUNTIFS('Time Off'!$A$9:$A$508,$E155,'Time Off'!$C$9:$C$508,$D155,'Time Off'!$D$9:$D$508,"All")&gt;0,"Yes","No")))</x:f>
      </x:c>
      <x:c r="I155" s="29" t="str">
        <x:f>IF($A155="","",IF(OR($G155&lt;&gt;"Yes",$H155="Yes"),0,MIN($F155,SUMIFS('Time Off'!$I$9:$I$508,'Time Off'!$G$9:$G$508,$A155,'Time Off'!$H$9:$H$508,$E155))))</x:f>
      </x:c>
      <x:c r="J155" s="29" t="str">
        <x:f>IF($A155="","",IF(OR($G155&lt;&gt;"Yes",$H155="Yes"),0,MAX(0,$F155-$I155)))</x:f>
      </x:c>
    </x:row>
    <x:row r="156">
      <x:c r="A156" s="27" t="str">
        <x:f>IF('Team Setup'!$A$20="","",'Team Setup'!$A$20)</x:f>
      </x:c>
      <x:c r="B156" s="27" t="str">
        <x:f>IF($A156="","",'Team Setup'!$B$20)</x:f>
      </x:c>
      <x:c r="C156" s="27" t="str">
        <x:f>IF($A156="","",'Team Setup'!$C$20)</x:f>
      </x:c>
      <x:c r="D156" s="27" t="str">
        <x:f>IF($A156="","",'Team Setup'!$D$20)</x:f>
      </x:c>
      <x:c r="E156" s="28" t="str">
        <x:f>IF(OR('Team Setup'!$D$4="",NOT(ISNUMBER('Team Setup'!$D$4))),"",'Team Setup'!$D$4+11)</x:f>
      </x:c>
      <x:c r="F156" s="29" t="str">
        <x:f>IF($A156="","",'Team Setup'!$E$20)</x:f>
      </x:c>
      <x:c r="G156" s="29" t="str">
        <x:f>IF($A156="","",IF(OR($E156="",$E156&lt;'Team Setup'!$D$4,$E156&gt;'Team Setup'!$F$4),"No",IF(WEEKDAY($E156,2)&gt;5,"No","Yes")))</x:f>
      </x:c>
      <x:c r="H156" s="29" t="str">
        <x:f>IF($A156="","",IF(OR($G156&lt;&gt;"Yes",$E156=""),"No",IF(COUNTIFS('Time Off'!$A$9:$A$508,$E156,'Time Off'!$C$9:$C$508,$D156,'Time Off'!$D$9:$D$508,$C156)+COUNTIFS('Time Off'!$A$9:$A$508,$E156,'Time Off'!$C$9:$C$508,$D156,'Time Off'!$D$9:$D$508,"All")&gt;0,"Yes","No")))</x:f>
      </x:c>
      <x:c r="I156" s="29" t="str">
        <x:f>IF($A156="","",IF(OR($G156&lt;&gt;"Yes",$H156="Yes"),0,MIN($F156,SUMIFS('Time Off'!$I$9:$I$508,'Time Off'!$G$9:$G$508,$A156,'Time Off'!$H$9:$H$508,$E156))))</x:f>
      </x:c>
      <x:c r="J156" s="29" t="str">
        <x:f>IF($A156="","",IF(OR($G156&lt;&gt;"Yes",$H156="Yes"),0,MAX(0,$F156-$I156)))</x:f>
      </x:c>
    </x:row>
    <x:row r="157">
      <x:c r="A157" s="27" t="str">
        <x:f>IF('Team Setup'!$A$20="","",'Team Setup'!$A$20)</x:f>
      </x:c>
      <x:c r="B157" s="27" t="str">
        <x:f>IF($A157="","",'Team Setup'!$B$20)</x:f>
      </x:c>
      <x:c r="C157" s="27" t="str">
        <x:f>IF($A157="","",'Team Setup'!$C$20)</x:f>
      </x:c>
      <x:c r="D157" s="27" t="str">
        <x:f>IF($A157="","",'Team Setup'!$D$20)</x:f>
      </x:c>
      <x:c r="E157" s="28" t="str">
        <x:f>IF(OR('Team Setup'!$D$4="",NOT(ISNUMBER('Team Setup'!$D$4))),"",'Team Setup'!$D$4+12)</x:f>
      </x:c>
      <x:c r="F157" s="29" t="str">
        <x:f>IF($A157="","",'Team Setup'!$E$20)</x:f>
      </x:c>
      <x:c r="G157" s="29" t="str">
        <x:f>IF($A157="","",IF(OR($E157="",$E157&lt;'Team Setup'!$D$4,$E157&gt;'Team Setup'!$F$4),"No",IF(WEEKDAY($E157,2)&gt;5,"No","Yes")))</x:f>
      </x:c>
      <x:c r="H157" s="29" t="str">
        <x:f>IF($A157="","",IF(OR($G157&lt;&gt;"Yes",$E157=""),"No",IF(COUNTIFS('Time Off'!$A$9:$A$508,$E157,'Time Off'!$C$9:$C$508,$D157,'Time Off'!$D$9:$D$508,$C157)+COUNTIFS('Time Off'!$A$9:$A$508,$E157,'Time Off'!$C$9:$C$508,$D157,'Time Off'!$D$9:$D$508,"All")&gt;0,"Yes","No")))</x:f>
      </x:c>
      <x:c r="I157" s="29" t="str">
        <x:f>IF($A157="","",IF(OR($G157&lt;&gt;"Yes",$H157="Yes"),0,MIN($F157,SUMIFS('Time Off'!$I$9:$I$508,'Time Off'!$G$9:$G$508,$A157,'Time Off'!$H$9:$H$508,$E157))))</x:f>
      </x:c>
      <x:c r="J157" s="29" t="str">
        <x:f>IF($A157="","",IF(OR($G157&lt;&gt;"Yes",$H157="Yes"),0,MAX(0,$F157-$I157)))</x:f>
      </x:c>
    </x:row>
    <x:row r="158">
      <x:c r="A158" s="27" t="str">
        <x:f>IF('Team Setup'!$A$20="","",'Team Setup'!$A$20)</x:f>
      </x:c>
      <x:c r="B158" s="27" t="str">
        <x:f>IF($A158="","",'Team Setup'!$B$20)</x:f>
      </x:c>
      <x:c r="C158" s="27" t="str">
        <x:f>IF($A158="","",'Team Setup'!$C$20)</x:f>
      </x:c>
      <x:c r="D158" s="27" t="str">
        <x:f>IF($A158="","",'Team Setup'!$D$20)</x:f>
      </x:c>
      <x:c r="E158" s="28" t="str">
        <x:f>IF(OR('Team Setup'!$D$4="",NOT(ISNUMBER('Team Setup'!$D$4))),"",'Team Setup'!$D$4+13)</x:f>
      </x:c>
      <x:c r="F158" s="29" t="str">
        <x:f>IF($A158="","",'Team Setup'!$E$20)</x:f>
      </x:c>
      <x:c r="G158" s="29" t="str">
        <x:f>IF($A158="","",IF(OR($E158="",$E158&lt;'Team Setup'!$D$4,$E158&gt;'Team Setup'!$F$4),"No",IF(WEEKDAY($E158,2)&gt;5,"No","Yes")))</x:f>
      </x:c>
      <x:c r="H158" s="29" t="str">
        <x:f>IF($A158="","",IF(OR($G158&lt;&gt;"Yes",$E158=""),"No",IF(COUNTIFS('Time Off'!$A$9:$A$508,$E158,'Time Off'!$C$9:$C$508,$D158,'Time Off'!$D$9:$D$508,$C158)+COUNTIFS('Time Off'!$A$9:$A$508,$E158,'Time Off'!$C$9:$C$508,$D158,'Time Off'!$D$9:$D$508,"All")&gt;0,"Yes","No")))</x:f>
      </x:c>
      <x:c r="I158" s="29" t="str">
        <x:f>IF($A158="","",IF(OR($G158&lt;&gt;"Yes",$H158="Yes"),0,MIN($F158,SUMIFS('Time Off'!$I$9:$I$508,'Time Off'!$G$9:$G$508,$A158,'Time Off'!$H$9:$H$508,$E158))))</x:f>
      </x:c>
      <x:c r="J158" s="29" t="str">
        <x:f>IF($A158="","",IF(OR($G158&lt;&gt;"Yes",$H158="Yes"),0,MAX(0,$F158-$I158)))</x:f>
      </x:c>
    </x:row>
    <x:row r="159">
      <x:c r="A159" s="27" t="str">
        <x:f>IF('Team Setup'!$A$21="","",'Team Setup'!$A$21)</x:f>
      </x:c>
      <x:c r="B159" s="27" t="str">
        <x:f>IF($A159="","",'Team Setup'!$B$21)</x:f>
      </x:c>
      <x:c r="C159" s="27" t="str">
        <x:f>IF($A159="","",'Team Setup'!$C$21)</x:f>
      </x:c>
      <x:c r="D159" s="27" t="str">
        <x:f>IF($A159="","",'Team Setup'!$D$21)</x:f>
      </x:c>
      <x:c r="E159" s="28" t="str">
        <x:f>IF(OR('Team Setup'!$D$4="",NOT(ISNUMBER('Team Setup'!$D$4))),"",'Team Setup'!$D$4+0)</x:f>
      </x:c>
      <x:c r="F159" s="29" t="str">
        <x:f>IF($A159="","",'Team Setup'!$E$21)</x:f>
      </x:c>
      <x:c r="G159" s="29" t="str">
        <x:f>IF($A159="","",IF(OR($E159="",$E159&lt;'Team Setup'!$D$4,$E159&gt;'Team Setup'!$F$4),"No",IF(WEEKDAY($E159,2)&gt;5,"No","Yes")))</x:f>
      </x:c>
      <x:c r="H159" s="29" t="str">
        <x:f>IF($A159="","",IF(OR($G159&lt;&gt;"Yes",$E159=""),"No",IF(COUNTIFS('Time Off'!$A$9:$A$508,$E159,'Time Off'!$C$9:$C$508,$D159,'Time Off'!$D$9:$D$508,$C159)+COUNTIFS('Time Off'!$A$9:$A$508,$E159,'Time Off'!$C$9:$C$508,$D159,'Time Off'!$D$9:$D$508,"All")&gt;0,"Yes","No")))</x:f>
      </x:c>
      <x:c r="I159" s="29" t="str">
        <x:f>IF($A159="","",IF(OR($G159&lt;&gt;"Yes",$H159="Yes"),0,MIN($F159,SUMIFS('Time Off'!$I$9:$I$508,'Time Off'!$G$9:$G$508,$A159,'Time Off'!$H$9:$H$508,$E159))))</x:f>
      </x:c>
      <x:c r="J159" s="29" t="str">
        <x:f>IF($A159="","",IF(OR($G159&lt;&gt;"Yes",$H159="Yes"),0,MAX(0,$F159-$I159)))</x:f>
      </x:c>
    </x:row>
    <x:row r="160">
      <x:c r="A160" s="27" t="str">
        <x:f>IF('Team Setup'!$A$21="","",'Team Setup'!$A$21)</x:f>
      </x:c>
      <x:c r="B160" s="27" t="str">
        <x:f>IF($A160="","",'Team Setup'!$B$21)</x:f>
      </x:c>
      <x:c r="C160" s="27" t="str">
        <x:f>IF($A160="","",'Team Setup'!$C$21)</x:f>
      </x:c>
      <x:c r="D160" s="27" t="str">
        <x:f>IF($A160="","",'Team Setup'!$D$21)</x:f>
      </x:c>
      <x:c r="E160" s="28" t="str">
        <x:f>IF(OR('Team Setup'!$D$4="",NOT(ISNUMBER('Team Setup'!$D$4))),"",'Team Setup'!$D$4+1)</x:f>
      </x:c>
      <x:c r="F160" s="29" t="str">
        <x:f>IF($A160="","",'Team Setup'!$E$21)</x:f>
      </x:c>
      <x:c r="G160" s="29" t="str">
        <x:f>IF($A160="","",IF(OR($E160="",$E160&lt;'Team Setup'!$D$4,$E160&gt;'Team Setup'!$F$4),"No",IF(WEEKDAY($E160,2)&gt;5,"No","Yes")))</x:f>
      </x:c>
      <x:c r="H160" s="29" t="str">
        <x:f>IF($A160="","",IF(OR($G160&lt;&gt;"Yes",$E160=""),"No",IF(COUNTIFS('Time Off'!$A$9:$A$508,$E160,'Time Off'!$C$9:$C$508,$D160,'Time Off'!$D$9:$D$508,$C160)+COUNTIFS('Time Off'!$A$9:$A$508,$E160,'Time Off'!$C$9:$C$508,$D160,'Time Off'!$D$9:$D$508,"All")&gt;0,"Yes","No")))</x:f>
      </x:c>
      <x:c r="I160" s="29" t="str">
        <x:f>IF($A160="","",IF(OR($G160&lt;&gt;"Yes",$H160="Yes"),0,MIN($F160,SUMIFS('Time Off'!$I$9:$I$508,'Time Off'!$G$9:$G$508,$A160,'Time Off'!$H$9:$H$508,$E160))))</x:f>
      </x:c>
      <x:c r="J160" s="29" t="str">
        <x:f>IF($A160="","",IF(OR($G160&lt;&gt;"Yes",$H160="Yes"),0,MAX(0,$F160-$I160)))</x:f>
      </x:c>
    </x:row>
    <x:row r="161">
      <x:c r="A161" s="27" t="str">
        <x:f>IF('Team Setup'!$A$21="","",'Team Setup'!$A$21)</x:f>
      </x:c>
      <x:c r="B161" s="27" t="str">
        <x:f>IF($A161="","",'Team Setup'!$B$21)</x:f>
      </x:c>
      <x:c r="C161" s="27" t="str">
        <x:f>IF($A161="","",'Team Setup'!$C$21)</x:f>
      </x:c>
      <x:c r="D161" s="27" t="str">
        <x:f>IF($A161="","",'Team Setup'!$D$21)</x:f>
      </x:c>
      <x:c r="E161" s="28" t="str">
        <x:f>IF(OR('Team Setup'!$D$4="",NOT(ISNUMBER('Team Setup'!$D$4))),"",'Team Setup'!$D$4+2)</x:f>
      </x:c>
      <x:c r="F161" s="29" t="str">
        <x:f>IF($A161="","",'Team Setup'!$E$21)</x:f>
      </x:c>
      <x:c r="G161" s="29" t="str">
        <x:f>IF($A161="","",IF(OR($E161="",$E161&lt;'Team Setup'!$D$4,$E161&gt;'Team Setup'!$F$4),"No",IF(WEEKDAY($E161,2)&gt;5,"No","Yes")))</x:f>
      </x:c>
      <x:c r="H161" s="29" t="str">
        <x:f>IF($A161="","",IF(OR($G161&lt;&gt;"Yes",$E161=""),"No",IF(COUNTIFS('Time Off'!$A$9:$A$508,$E161,'Time Off'!$C$9:$C$508,$D161,'Time Off'!$D$9:$D$508,$C161)+COUNTIFS('Time Off'!$A$9:$A$508,$E161,'Time Off'!$C$9:$C$508,$D161,'Time Off'!$D$9:$D$508,"All")&gt;0,"Yes","No")))</x:f>
      </x:c>
      <x:c r="I161" s="29" t="str">
        <x:f>IF($A161="","",IF(OR($G161&lt;&gt;"Yes",$H161="Yes"),0,MIN($F161,SUMIFS('Time Off'!$I$9:$I$508,'Time Off'!$G$9:$G$508,$A161,'Time Off'!$H$9:$H$508,$E161))))</x:f>
      </x:c>
      <x:c r="J161" s="29" t="str">
        <x:f>IF($A161="","",IF(OR($G161&lt;&gt;"Yes",$H161="Yes"),0,MAX(0,$F161-$I161)))</x:f>
      </x:c>
    </x:row>
    <x:row r="162">
      <x:c r="A162" s="27" t="str">
        <x:f>IF('Team Setup'!$A$21="","",'Team Setup'!$A$21)</x:f>
      </x:c>
      <x:c r="B162" s="27" t="str">
        <x:f>IF($A162="","",'Team Setup'!$B$21)</x:f>
      </x:c>
      <x:c r="C162" s="27" t="str">
        <x:f>IF($A162="","",'Team Setup'!$C$21)</x:f>
      </x:c>
      <x:c r="D162" s="27" t="str">
        <x:f>IF($A162="","",'Team Setup'!$D$21)</x:f>
      </x:c>
      <x:c r="E162" s="28" t="str">
        <x:f>IF(OR('Team Setup'!$D$4="",NOT(ISNUMBER('Team Setup'!$D$4))),"",'Team Setup'!$D$4+3)</x:f>
      </x:c>
      <x:c r="F162" s="29" t="str">
        <x:f>IF($A162="","",'Team Setup'!$E$21)</x:f>
      </x:c>
      <x:c r="G162" s="29" t="str">
        <x:f>IF($A162="","",IF(OR($E162="",$E162&lt;'Team Setup'!$D$4,$E162&gt;'Team Setup'!$F$4),"No",IF(WEEKDAY($E162,2)&gt;5,"No","Yes")))</x:f>
      </x:c>
      <x:c r="H162" s="29" t="str">
        <x:f>IF($A162="","",IF(OR($G162&lt;&gt;"Yes",$E162=""),"No",IF(COUNTIFS('Time Off'!$A$9:$A$508,$E162,'Time Off'!$C$9:$C$508,$D162,'Time Off'!$D$9:$D$508,$C162)+COUNTIFS('Time Off'!$A$9:$A$508,$E162,'Time Off'!$C$9:$C$508,$D162,'Time Off'!$D$9:$D$508,"All")&gt;0,"Yes","No")))</x:f>
      </x:c>
      <x:c r="I162" s="29" t="str">
        <x:f>IF($A162="","",IF(OR($G162&lt;&gt;"Yes",$H162="Yes"),0,MIN($F162,SUMIFS('Time Off'!$I$9:$I$508,'Time Off'!$G$9:$G$508,$A162,'Time Off'!$H$9:$H$508,$E162))))</x:f>
      </x:c>
      <x:c r="J162" s="29" t="str">
        <x:f>IF($A162="","",IF(OR($G162&lt;&gt;"Yes",$H162="Yes"),0,MAX(0,$F162-$I162)))</x:f>
      </x:c>
    </x:row>
    <x:row r="163">
      <x:c r="A163" s="27" t="str">
        <x:f>IF('Team Setup'!$A$21="","",'Team Setup'!$A$21)</x:f>
      </x:c>
      <x:c r="B163" s="27" t="str">
        <x:f>IF($A163="","",'Team Setup'!$B$21)</x:f>
      </x:c>
      <x:c r="C163" s="27" t="str">
        <x:f>IF($A163="","",'Team Setup'!$C$21)</x:f>
      </x:c>
      <x:c r="D163" s="27" t="str">
        <x:f>IF($A163="","",'Team Setup'!$D$21)</x:f>
      </x:c>
      <x:c r="E163" s="28" t="str">
        <x:f>IF(OR('Team Setup'!$D$4="",NOT(ISNUMBER('Team Setup'!$D$4))),"",'Team Setup'!$D$4+4)</x:f>
      </x:c>
      <x:c r="F163" s="29" t="str">
        <x:f>IF($A163="","",'Team Setup'!$E$21)</x:f>
      </x:c>
      <x:c r="G163" s="29" t="str">
        <x:f>IF($A163="","",IF(OR($E163="",$E163&lt;'Team Setup'!$D$4,$E163&gt;'Team Setup'!$F$4),"No",IF(WEEKDAY($E163,2)&gt;5,"No","Yes")))</x:f>
      </x:c>
      <x:c r="H163" s="29" t="str">
        <x:f>IF($A163="","",IF(OR($G163&lt;&gt;"Yes",$E163=""),"No",IF(COUNTIFS('Time Off'!$A$9:$A$508,$E163,'Time Off'!$C$9:$C$508,$D163,'Time Off'!$D$9:$D$508,$C163)+COUNTIFS('Time Off'!$A$9:$A$508,$E163,'Time Off'!$C$9:$C$508,$D163,'Time Off'!$D$9:$D$508,"All")&gt;0,"Yes","No")))</x:f>
      </x:c>
      <x:c r="I163" s="29" t="str">
        <x:f>IF($A163="","",IF(OR($G163&lt;&gt;"Yes",$H163="Yes"),0,MIN($F163,SUMIFS('Time Off'!$I$9:$I$508,'Time Off'!$G$9:$G$508,$A163,'Time Off'!$H$9:$H$508,$E163))))</x:f>
      </x:c>
      <x:c r="J163" s="29" t="str">
        <x:f>IF($A163="","",IF(OR($G163&lt;&gt;"Yes",$H163="Yes"),0,MAX(0,$F163-$I163)))</x:f>
      </x:c>
    </x:row>
    <x:row r="164">
      <x:c r="A164" s="27" t="str">
        <x:f>IF('Team Setup'!$A$21="","",'Team Setup'!$A$21)</x:f>
      </x:c>
      <x:c r="B164" s="27" t="str">
        <x:f>IF($A164="","",'Team Setup'!$B$21)</x:f>
      </x:c>
      <x:c r="C164" s="27" t="str">
        <x:f>IF($A164="","",'Team Setup'!$C$21)</x:f>
      </x:c>
      <x:c r="D164" s="27" t="str">
        <x:f>IF($A164="","",'Team Setup'!$D$21)</x:f>
      </x:c>
      <x:c r="E164" s="28" t="str">
        <x:f>IF(OR('Team Setup'!$D$4="",NOT(ISNUMBER('Team Setup'!$D$4))),"",'Team Setup'!$D$4+5)</x:f>
      </x:c>
      <x:c r="F164" s="29" t="str">
        <x:f>IF($A164="","",'Team Setup'!$E$21)</x:f>
      </x:c>
      <x:c r="G164" s="29" t="str">
        <x:f>IF($A164="","",IF(OR($E164="",$E164&lt;'Team Setup'!$D$4,$E164&gt;'Team Setup'!$F$4),"No",IF(WEEKDAY($E164,2)&gt;5,"No","Yes")))</x:f>
      </x:c>
      <x:c r="H164" s="29" t="str">
        <x:f>IF($A164="","",IF(OR($G164&lt;&gt;"Yes",$E164=""),"No",IF(COUNTIFS('Time Off'!$A$9:$A$508,$E164,'Time Off'!$C$9:$C$508,$D164,'Time Off'!$D$9:$D$508,$C164)+COUNTIFS('Time Off'!$A$9:$A$508,$E164,'Time Off'!$C$9:$C$508,$D164,'Time Off'!$D$9:$D$508,"All")&gt;0,"Yes","No")))</x:f>
      </x:c>
      <x:c r="I164" s="29" t="str">
        <x:f>IF($A164="","",IF(OR($G164&lt;&gt;"Yes",$H164="Yes"),0,MIN($F164,SUMIFS('Time Off'!$I$9:$I$508,'Time Off'!$G$9:$G$508,$A164,'Time Off'!$H$9:$H$508,$E164))))</x:f>
      </x:c>
      <x:c r="J164" s="29" t="str">
        <x:f>IF($A164="","",IF(OR($G164&lt;&gt;"Yes",$H164="Yes"),0,MAX(0,$F164-$I164)))</x:f>
      </x:c>
    </x:row>
    <x:row r="165">
      <x:c r="A165" s="27" t="str">
        <x:f>IF('Team Setup'!$A$21="","",'Team Setup'!$A$21)</x:f>
      </x:c>
      <x:c r="B165" s="27" t="str">
        <x:f>IF($A165="","",'Team Setup'!$B$21)</x:f>
      </x:c>
      <x:c r="C165" s="27" t="str">
        <x:f>IF($A165="","",'Team Setup'!$C$21)</x:f>
      </x:c>
      <x:c r="D165" s="27" t="str">
        <x:f>IF($A165="","",'Team Setup'!$D$21)</x:f>
      </x:c>
      <x:c r="E165" s="28" t="str">
        <x:f>IF(OR('Team Setup'!$D$4="",NOT(ISNUMBER('Team Setup'!$D$4))),"",'Team Setup'!$D$4+6)</x:f>
      </x:c>
      <x:c r="F165" s="29" t="str">
        <x:f>IF($A165="","",'Team Setup'!$E$21)</x:f>
      </x:c>
      <x:c r="G165" s="29" t="str">
        <x:f>IF($A165="","",IF(OR($E165="",$E165&lt;'Team Setup'!$D$4,$E165&gt;'Team Setup'!$F$4),"No",IF(WEEKDAY($E165,2)&gt;5,"No","Yes")))</x:f>
      </x:c>
      <x:c r="H165" s="29" t="str">
        <x:f>IF($A165="","",IF(OR($G165&lt;&gt;"Yes",$E165=""),"No",IF(COUNTIFS('Time Off'!$A$9:$A$508,$E165,'Time Off'!$C$9:$C$508,$D165,'Time Off'!$D$9:$D$508,$C165)+COUNTIFS('Time Off'!$A$9:$A$508,$E165,'Time Off'!$C$9:$C$508,$D165,'Time Off'!$D$9:$D$508,"All")&gt;0,"Yes","No")))</x:f>
      </x:c>
      <x:c r="I165" s="29" t="str">
        <x:f>IF($A165="","",IF(OR($G165&lt;&gt;"Yes",$H165="Yes"),0,MIN($F165,SUMIFS('Time Off'!$I$9:$I$508,'Time Off'!$G$9:$G$508,$A165,'Time Off'!$H$9:$H$508,$E165))))</x:f>
      </x:c>
      <x:c r="J165" s="29" t="str">
        <x:f>IF($A165="","",IF(OR($G165&lt;&gt;"Yes",$H165="Yes"),0,MAX(0,$F165-$I165)))</x:f>
      </x:c>
    </x:row>
    <x:row r="166">
      <x:c r="A166" s="27" t="str">
        <x:f>IF('Team Setup'!$A$21="","",'Team Setup'!$A$21)</x:f>
      </x:c>
      <x:c r="B166" s="27" t="str">
        <x:f>IF($A166="","",'Team Setup'!$B$21)</x:f>
      </x:c>
      <x:c r="C166" s="27" t="str">
        <x:f>IF($A166="","",'Team Setup'!$C$21)</x:f>
      </x:c>
      <x:c r="D166" s="27" t="str">
        <x:f>IF($A166="","",'Team Setup'!$D$21)</x:f>
      </x:c>
      <x:c r="E166" s="28" t="str">
        <x:f>IF(OR('Team Setup'!$D$4="",NOT(ISNUMBER('Team Setup'!$D$4))),"",'Team Setup'!$D$4+7)</x:f>
      </x:c>
      <x:c r="F166" s="29" t="str">
        <x:f>IF($A166="","",'Team Setup'!$E$21)</x:f>
      </x:c>
      <x:c r="G166" s="29" t="str">
        <x:f>IF($A166="","",IF(OR($E166="",$E166&lt;'Team Setup'!$D$4,$E166&gt;'Team Setup'!$F$4),"No",IF(WEEKDAY($E166,2)&gt;5,"No","Yes")))</x:f>
      </x:c>
      <x:c r="H166" s="29" t="str">
        <x:f>IF($A166="","",IF(OR($G166&lt;&gt;"Yes",$E166=""),"No",IF(COUNTIFS('Time Off'!$A$9:$A$508,$E166,'Time Off'!$C$9:$C$508,$D166,'Time Off'!$D$9:$D$508,$C166)+COUNTIFS('Time Off'!$A$9:$A$508,$E166,'Time Off'!$C$9:$C$508,$D166,'Time Off'!$D$9:$D$508,"All")&gt;0,"Yes","No")))</x:f>
      </x:c>
      <x:c r="I166" s="29" t="str">
        <x:f>IF($A166="","",IF(OR($G166&lt;&gt;"Yes",$H166="Yes"),0,MIN($F166,SUMIFS('Time Off'!$I$9:$I$508,'Time Off'!$G$9:$G$508,$A166,'Time Off'!$H$9:$H$508,$E166))))</x:f>
      </x:c>
      <x:c r="J166" s="29" t="str">
        <x:f>IF($A166="","",IF(OR($G166&lt;&gt;"Yes",$H166="Yes"),0,MAX(0,$F166-$I166)))</x:f>
      </x:c>
    </x:row>
    <x:row r="167">
      <x:c r="A167" s="27" t="str">
        <x:f>IF('Team Setup'!$A$21="","",'Team Setup'!$A$21)</x:f>
      </x:c>
      <x:c r="B167" s="27" t="str">
        <x:f>IF($A167="","",'Team Setup'!$B$21)</x:f>
      </x:c>
      <x:c r="C167" s="27" t="str">
        <x:f>IF($A167="","",'Team Setup'!$C$21)</x:f>
      </x:c>
      <x:c r="D167" s="27" t="str">
        <x:f>IF($A167="","",'Team Setup'!$D$21)</x:f>
      </x:c>
      <x:c r="E167" s="28" t="str">
        <x:f>IF(OR('Team Setup'!$D$4="",NOT(ISNUMBER('Team Setup'!$D$4))),"",'Team Setup'!$D$4+8)</x:f>
      </x:c>
      <x:c r="F167" s="29" t="str">
        <x:f>IF($A167="","",'Team Setup'!$E$21)</x:f>
      </x:c>
      <x:c r="G167" s="29" t="str">
        <x:f>IF($A167="","",IF(OR($E167="",$E167&lt;'Team Setup'!$D$4,$E167&gt;'Team Setup'!$F$4),"No",IF(WEEKDAY($E167,2)&gt;5,"No","Yes")))</x:f>
      </x:c>
      <x:c r="H167" s="29" t="str">
        <x:f>IF($A167="","",IF(OR($G167&lt;&gt;"Yes",$E167=""),"No",IF(COUNTIFS('Time Off'!$A$9:$A$508,$E167,'Time Off'!$C$9:$C$508,$D167,'Time Off'!$D$9:$D$508,$C167)+COUNTIFS('Time Off'!$A$9:$A$508,$E167,'Time Off'!$C$9:$C$508,$D167,'Time Off'!$D$9:$D$508,"All")&gt;0,"Yes","No")))</x:f>
      </x:c>
      <x:c r="I167" s="29" t="str">
        <x:f>IF($A167="","",IF(OR($G167&lt;&gt;"Yes",$H167="Yes"),0,MIN($F167,SUMIFS('Time Off'!$I$9:$I$508,'Time Off'!$G$9:$G$508,$A167,'Time Off'!$H$9:$H$508,$E167))))</x:f>
      </x:c>
      <x:c r="J167" s="29" t="str">
        <x:f>IF($A167="","",IF(OR($G167&lt;&gt;"Yes",$H167="Yes"),0,MAX(0,$F167-$I167)))</x:f>
      </x:c>
    </x:row>
    <x:row r="168">
      <x:c r="A168" s="27" t="str">
        <x:f>IF('Team Setup'!$A$21="","",'Team Setup'!$A$21)</x:f>
      </x:c>
      <x:c r="B168" s="27" t="str">
        <x:f>IF($A168="","",'Team Setup'!$B$21)</x:f>
      </x:c>
      <x:c r="C168" s="27" t="str">
        <x:f>IF($A168="","",'Team Setup'!$C$21)</x:f>
      </x:c>
      <x:c r="D168" s="27" t="str">
        <x:f>IF($A168="","",'Team Setup'!$D$21)</x:f>
      </x:c>
      <x:c r="E168" s="28" t="str">
        <x:f>IF(OR('Team Setup'!$D$4="",NOT(ISNUMBER('Team Setup'!$D$4))),"",'Team Setup'!$D$4+9)</x:f>
      </x:c>
      <x:c r="F168" s="29" t="str">
        <x:f>IF($A168="","",'Team Setup'!$E$21)</x:f>
      </x:c>
      <x:c r="G168" s="29" t="str">
        <x:f>IF($A168="","",IF(OR($E168="",$E168&lt;'Team Setup'!$D$4,$E168&gt;'Team Setup'!$F$4),"No",IF(WEEKDAY($E168,2)&gt;5,"No","Yes")))</x:f>
      </x:c>
      <x:c r="H168" s="29" t="str">
        <x:f>IF($A168="","",IF(OR($G168&lt;&gt;"Yes",$E168=""),"No",IF(COUNTIFS('Time Off'!$A$9:$A$508,$E168,'Time Off'!$C$9:$C$508,$D168,'Time Off'!$D$9:$D$508,$C168)+COUNTIFS('Time Off'!$A$9:$A$508,$E168,'Time Off'!$C$9:$C$508,$D168,'Time Off'!$D$9:$D$508,"All")&gt;0,"Yes","No")))</x:f>
      </x:c>
      <x:c r="I168" s="29" t="str">
        <x:f>IF($A168="","",IF(OR($G168&lt;&gt;"Yes",$H168="Yes"),0,MIN($F168,SUMIFS('Time Off'!$I$9:$I$508,'Time Off'!$G$9:$G$508,$A168,'Time Off'!$H$9:$H$508,$E168))))</x:f>
      </x:c>
      <x:c r="J168" s="29" t="str">
        <x:f>IF($A168="","",IF(OR($G168&lt;&gt;"Yes",$H168="Yes"),0,MAX(0,$F168-$I168)))</x:f>
      </x:c>
    </x:row>
    <x:row r="169">
      <x:c r="A169" s="27" t="str">
        <x:f>IF('Team Setup'!$A$21="","",'Team Setup'!$A$21)</x:f>
      </x:c>
      <x:c r="B169" s="27" t="str">
        <x:f>IF($A169="","",'Team Setup'!$B$21)</x:f>
      </x:c>
      <x:c r="C169" s="27" t="str">
        <x:f>IF($A169="","",'Team Setup'!$C$21)</x:f>
      </x:c>
      <x:c r="D169" s="27" t="str">
        <x:f>IF($A169="","",'Team Setup'!$D$21)</x:f>
      </x:c>
      <x:c r="E169" s="28" t="str">
        <x:f>IF(OR('Team Setup'!$D$4="",NOT(ISNUMBER('Team Setup'!$D$4))),"",'Team Setup'!$D$4+10)</x:f>
      </x:c>
      <x:c r="F169" s="29" t="str">
        <x:f>IF($A169="","",'Team Setup'!$E$21)</x:f>
      </x:c>
      <x:c r="G169" s="29" t="str">
        <x:f>IF($A169="","",IF(OR($E169="",$E169&lt;'Team Setup'!$D$4,$E169&gt;'Team Setup'!$F$4),"No",IF(WEEKDAY($E169,2)&gt;5,"No","Yes")))</x:f>
      </x:c>
      <x:c r="H169" s="29" t="str">
        <x:f>IF($A169="","",IF(OR($G169&lt;&gt;"Yes",$E169=""),"No",IF(COUNTIFS('Time Off'!$A$9:$A$508,$E169,'Time Off'!$C$9:$C$508,$D169,'Time Off'!$D$9:$D$508,$C169)+COUNTIFS('Time Off'!$A$9:$A$508,$E169,'Time Off'!$C$9:$C$508,$D169,'Time Off'!$D$9:$D$508,"All")&gt;0,"Yes","No")))</x:f>
      </x:c>
      <x:c r="I169" s="29" t="str">
        <x:f>IF($A169="","",IF(OR($G169&lt;&gt;"Yes",$H169="Yes"),0,MIN($F169,SUMIFS('Time Off'!$I$9:$I$508,'Time Off'!$G$9:$G$508,$A169,'Time Off'!$H$9:$H$508,$E169))))</x:f>
      </x:c>
      <x:c r="J169" s="29" t="str">
        <x:f>IF($A169="","",IF(OR($G169&lt;&gt;"Yes",$H169="Yes"),0,MAX(0,$F169-$I169)))</x:f>
      </x:c>
    </x:row>
    <x:row r="170">
      <x:c r="A170" s="27" t="str">
        <x:f>IF('Team Setup'!$A$21="","",'Team Setup'!$A$21)</x:f>
      </x:c>
      <x:c r="B170" s="27" t="str">
        <x:f>IF($A170="","",'Team Setup'!$B$21)</x:f>
      </x:c>
      <x:c r="C170" s="27" t="str">
        <x:f>IF($A170="","",'Team Setup'!$C$21)</x:f>
      </x:c>
      <x:c r="D170" s="27" t="str">
        <x:f>IF($A170="","",'Team Setup'!$D$21)</x:f>
      </x:c>
      <x:c r="E170" s="28" t="str">
        <x:f>IF(OR('Team Setup'!$D$4="",NOT(ISNUMBER('Team Setup'!$D$4))),"",'Team Setup'!$D$4+11)</x:f>
      </x:c>
      <x:c r="F170" s="29" t="str">
        <x:f>IF($A170="","",'Team Setup'!$E$21)</x:f>
      </x:c>
      <x:c r="G170" s="29" t="str">
        <x:f>IF($A170="","",IF(OR($E170="",$E170&lt;'Team Setup'!$D$4,$E170&gt;'Team Setup'!$F$4),"No",IF(WEEKDAY($E170,2)&gt;5,"No","Yes")))</x:f>
      </x:c>
      <x:c r="H170" s="29" t="str">
        <x:f>IF($A170="","",IF(OR($G170&lt;&gt;"Yes",$E170=""),"No",IF(COUNTIFS('Time Off'!$A$9:$A$508,$E170,'Time Off'!$C$9:$C$508,$D170,'Time Off'!$D$9:$D$508,$C170)+COUNTIFS('Time Off'!$A$9:$A$508,$E170,'Time Off'!$C$9:$C$508,$D170,'Time Off'!$D$9:$D$508,"All")&gt;0,"Yes","No")))</x:f>
      </x:c>
      <x:c r="I170" s="29" t="str">
        <x:f>IF($A170="","",IF(OR($G170&lt;&gt;"Yes",$H170="Yes"),0,MIN($F170,SUMIFS('Time Off'!$I$9:$I$508,'Time Off'!$G$9:$G$508,$A170,'Time Off'!$H$9:$H$508,$E170))))</x:f>
      </x:c>
      <x:c r="J170" s="29" t="str">
        <x:f>IF($A170="","",IF(OR($G170&lt;&gt;"Yes",$H170="Yes"),0,MAX(0,$F170-$I170)))</x:f>
      </x:c>
    </x:row>
    <x:row r="171">
      <x:c r="A171" s="27" t="str">
        <x:f>IF('Team Setup'!$A$21="","",'Team Setup'!$A$21)</x:f>
      </x:c>
      <x:c r="B171" s="27" t="str">
        <x:f>IF($A171="","",'Team Setup'!$B$21)</x:f>
      </x:c>
      <x:c r="C171" s="27" t="str">
        <x:f>IF($A171="","",'Team Setup'!$C$21)</x:f>
      </x:c>
      <x:c r="D171" s="27" t="str">
        <x:f>IF($A171="","",'Team Setup'!$D$21)</x:f>
      </x:c>
      <x:c r="E171" s="28" t="str">
        <x:f>IF(OR('Team Setup'!$D$4="",NOT(ISNUMBER('Team Setup'!$D$4))),"",'Team Setup'!$D$4+12)</x:f>
      </x:c>
      <x:c r="F171" s="29" t="str">
        <x:f>IF($A171="","",'Team Setup'!$E$21)</x:f>
      </x:c>
      <x:c r="G171" s="29" t="str">
        <x:f>IF($A171="","",IF(OR($E171="",$E171&lt;'Team Setup'!$D$4,$E171&gt;'Team Setup'!$F$4),"No",IF(WEEKDAY($E171,2)&gt;5,"No","Yes")))</x:f>
      </x:c>
      <x:c r="H171" s="29" t="str">
        <x:f>IF($A171="","",IF(OR($G171&lt;&gt;"Yes",$E171=""),"No",IF(COUNTIFS('Time Off'!$A$9:$A$508,$E171,'Time Off'!$C$9:$C$508,$D171,'Time Off'!$D$9:$D$508,$C171)+COUNTIFS('Time Off'!$A$9:$A$508,$E171,'Time Off'!$C$9:$C$508,$D171,'Time Off'!$D$9:$D$508,"All")&gt;0,"Yes","No")))</x:f>
      </x:c>
      <x:c r="I171" s="29" t="str">
        <x:f>IF($A171="","",IF(OR($G171&lt;&gt;"Yes",$H171="Yes"),0,MIN($F171,SUMIFS('Time Off'!$I$9:$I$508,'Time Off'!$G$9:$G$508,$A171,'Time Off'!$H$9:$H$508,$E171))))</x:f>
      </x:c>
      <x:c r="J171" s="29" t="str">
        <x:f>IF($A171="","",IF(OR($G171&lt;&gt;"Yes",$H171="Yes"),0,MAX(0,$F171-$I171)))</x:f>
      </x:c>
    </x:row>
    <x:row r="172">
      <x:c r="A172" s="27" t="str">
        <x:f>IF('Team Setup'!$A$21="","",'Team Setup'!$A$21)</x:f>
      </x:c>
      <x:c r="B172" s="27" t="str">
        <x:f>IF($A172="","",'Team Setup'!$B$21)</x:f>
      </x:c>
      <x:c r="C172" s="27" t="str">
        <x:f>IF($A172="","",'Team Setup'!$C$21)</x:f>
      </x:c>
      <x:c r="D172" s="27" t="str">
        <x:f>IF($A172="","",'Team Setup'!$D$21)</x:f>
      </x:c>
      <x:c r="E172" s="28" t="str">
        <x:f>IF(OR('Team Setup'!$D$4="",NOT(ISNUMBER('Team Setup'!$D$4))),"",'Team Setup'!$D$4+13)</x:f>
      </x:c>
      <x:c r="F172" s="29" t="str">
        <x:f>IF($A172="","",'Team Setup'!$E$21)</x:f>
      </x:c>
      <x:c r="G172" s="29" t="str">
        <x:f>IF($A172="","",IF(OR($E172="",$E172&lt;'Team Setup'!$D$4,$E172&gt;'Team Setup'!$F$4),"No",IF(WEEKDAY($E172,2)&gt;5,"No","Yes")))</x:f>
      </x:c>
      <x:c r="H172" s="29" t="str">
        <x:f>IF($A172="","",IF(OR($G172&lt;&gt;"Yes",$E172=""),"No",IF(COUNTIFS('Time Off'!$A$9:$A$508,$E172,'Time Off'!$C$9:$C$508,$D172,'Time Off'!$D$9:$D$508,$C172)+COUNTIFS('Time Off'!$A$9:$A$508,$E172,'Time Off'!$C$9:$C$508,$D172,'Time Off'!$D$9:$D$508,"All")&gt;0,"Yes","No")))</x:f>
      </x:c>
      <x:c r="I172" s="29" t="str">
        <x:f>IF($A172="","",IF(OR($G172&lt;&gt;"Yes",$H172="Yes"),0,MIN($F172,SUMIFS('Time Off'!$I$9:$I$508,'Time Off'!$G$9:$G$508,$A172,'Time Off'!$H$9:$H$508,$E172))))</x:f>
      </x:c>
      <x:c r="J172" s="29" t="str">
        <x:f>IF($A172="","",IF(OR($G172&lt;&gt;"Yes",$H172="Yes"),0,MAX(0,$F172-$I172)))</x:f>
      </x:c>
    </x:row>
    <x:row r="173">
      <x:c r="A173" s="27" t="str">
        <x:f>IF('Team Setup'!$A$22="","",'Team Setup'!$A$22)</x:f>
      </x:c>
      <x:c r="B173" s="27" t="str">
        <x:f>IF($A173="","",'Team Setup'!$B$22)</x:f>
      </x:c>
      <x:c r="C173" s="27" t="str">
        <x:f>IF($A173="","",'Team Setup'!$C$22)</x:f>
      </x:c>
      <x:c r="D173" s="27" t="str">
        <x:f>IF($A173="","",'Team Setup'!$D$22)</x:f>
      </x:c>
      <x:c r="E173" s="28" t="str">
        <x:f>IF(OR('Team Setup'!$D$4="",NOT(ISNUMBER('Team Setup'!$D$4))),"",'Team Setup'!$D$4+0)</x:f>
      </x:c>
      <x:c r="F173" s="29" t="str">
        <x:f>IF($A173="","",'Team Setup'!$E$22)</x:f>
      </x:c>
      <x:c r="G173" s="29" t="str">
        <x:f>IF($A173="","",IF(OR($E173="",$E173&lt;'Team Setup'!$D$4,$E173&gt;'Team Setup'!$F$4),"No",IF(WEEKDAY($E173,2)&gt;5,"No","Yes")))</x:f>
      </x:c>
      <x:c r="H173" s="29" t="str">
        <x:f>IF($A173="","",IF(OR($G173&lt;&gt;"Yes",$E173=""),"No",IF(COUNTIFS('Time Off'!$A$9:$A$508,$E173,'Time Off'!$C$9:$C$508,$D173,'Time Off'!$D$9:$D$508,$C173)+COUNTIFS('Time Off'!$A$9:$A$508,$E173,'Time Off'!$C$9:$C$508,$D173,'Time Off'!$D$9:$D$508,"All")&gt;0,"Yes","No")))</x:f>
      </x:c>
      <x:c r="I173" s="29" t="str">
        <x:f>IF($A173="","",IF(OR($G173&lt;&gt;"Yes",$H173="Yes"),0,MIN($F173,SUMIFS('Time Off'!$I$9:$I$508,'Time Off'!$G$9:$G$508,$A173,'Time Off'!$H$9:$H$508,$E173))))</x:f>
      </x:c>
      <x:c r="J173" s="29" t="str">
        <x:f>IF($A173="","",IF(OR($G173&lt;&gt;"Yes",$H173="Yes"),0,MAX(0,$F173-$I173)))</x:f>
      </x:c>
    </x:row>
    <x:row r="174">
      <x:c r="A174" s="27" t="str">
        <x:f>IF('Team Setup'!$A$22="","",'Team Setup'!$A$22)</x:f>
      </x:c>
      <x:c r="B174" s="27" t="str">
        <x:f>IF($A174="","",'Team Setup'!$B$22)</x:f>
      </x:c>
      <x:c r="C174" s="27" t="str">
        <x:f>IF($A174="","",'Team Setup'!$C$22)</x:f>
      </x:c>
      <x:c r="D174" s="27" t="str">
        <x:f>IF($A174="","",'Team Setup'!$D$22)</x:f>
      </x:c>
      <x:c r="E174" s="28" t="str">
        <x:f>IF(OR('Team Setup'!$D$4="",NOT(ISNUMBER('Team Setup'!$D$4))),"",'Team Setup'!$D$4+1)</x:f>
      </x:c>
      <x:c r="F174" s="29" t="str">
        <x:f>IF($A174="","",'Team Setup'!$E$22)</x:f>
      </x:c>
      <x:c r="G174" s="29" t="str">
        <x:f>IF($A174="","",IF(OR($E174="",$E174&lt;'Team Setup'!$D$4,$E174&gt;'Team Setup'!$F$4),"No",IF(WEEKDAY($E174,2)&gt;5,"No","Yes")))</x:f>
      </x:c>
      <x:c r="H174" s="29" t="str">
        <x:f>IF($A174="","",IF(OR($G174&lt;&gt;"Yes",$E174=""),"No",IF(COUNTIFS('Time Off'!$A$9:$A$508,$E174,'Time Off'!$C$9:$C$508,$D174,'Time Off'!$D$9:$D$508,$C174)+COUNTIFS('Time Off'!$A$9:$A$508,$E174,'Time Off'!$C$9:$C$508,$D174,'Time Off'!$D$9:$D$508,"All")&gt;0,"Yes","No")))</x:f>
      </x:c>
      <x:c r="I174" s="29" t="str">
        <x:f>IF($A174="","",IF(OR($G174&lt;&gt;"Yes",$H174="Yes"),0,MIN($F174,SUMIFS('Time Off'!$I$9:$I$508,'Time Off'!$G$9:$G$508,$A174,'Time Off'!$H$9:$H$508,$E174))))</x:f>
      </x:c>
      <x:c r="J174" s="29" t="str">
        <x:f>IF($A174="","",IF(OR($G174&lt;&gt;"Yes",$H174="Yes"),0,MAX(0,$F174-$I174)))</x:f>
      </x:c>
    </x:row>
    <x:row r="175">
      <x:c r="A175" s="27" t="str">
        <x:f>IF('Team Setup'!$A$22="","",'Team Setup'!$A$22)</x:f>
      </x:c>
      <x:c r="B175" s="27" t="str">
        <x:f>IF($A175="","",'Team Setup'!$B$22)</x:f>
      </x:c>
      <x:c r="C175" s="27" t="str">
        <x:f>IF($A175="","",'Team Setup'!$C$22)</x:f>
      </x:c>
      <x:c r="D175" s="27" t="str">
        <x:f>IF($A175="","",'Team Setup'!$D$22)</x:f>
      </x:c>
      <x:c r="E175" s="28" t="str">
        <x:f>IF(OR('Team Setup'!$D$4="",NOT(ISNUMBER('Team Setup'!$D$4))),"",'Team Setup'!$D$4+2)</x:f>
      </x:c>
      <x:c r="F175" s="29" t="str">
        <x:f>IF($A175="","",'Team Setup'!$E$22)</x:f>
      </x:c>
      <x:c r="G175" s="29" t="str">
        <x:f>IF($A175="","",IF(OR($E175="",$E175&lt;'Team Setup'!$D$4,$E175&gt;'Team Setup'!$F$4),"No",IF(WEEKDAY($E175,2)&gt;5,"No","Yes")))</x:f>
      </x:c>
      <x:c r="H175" s="29" t="str">
        <x:f>IF($A175="","",IF(OR($G175&lt;&gt;"Yes",$E175=""),"No",IF(COUNTIFS('Time Off'!$A$9:$A$508,$E175,'Time Off'!$C$9:$C$508,$D175,'Time Off'!$D$9:$D$508,$C175)+COUNTIFS('Time Off'!$A$9:$A$508,$E175,'Time Off'!$C$9:$C$508,$D175,'Time Off'!$D$9:$D$508,"All")&gt;0,"Yes","No")))</x:f>
      </x:c>
      <x:c r="I175" s="29" t="str">
        <x:f>IF($A175="","",IF(OR($G175&lt;&gt;"Yes",$H175="Yes"),0,MIN($F175,SUMIFS('Time Off'!$I$9:$I$508,'Time Off'!$G$9:$G$508,$A175,'Time Off'!$H$9:$H$508,$E175))))</x:f>
      </x:c>
      <x:c r="J175" s="29" t="str">
        <x:f>IF($A175="","",IF(OR($G175&lt;&gt;"Yes",$H175="Yes"),0,MAX(0,$F175-$I175)))</x:f>
      </x:c>
    </x:row>
    <x:row r="176">
      <x:c r="A176" s="27" t="str">
        <x:f>IF('Team Setup'!$A$22="","",'Team Setup'!$A$22)</x:f>
      </x:c>
      <x:c r="B176" s="27" t="str">
        <x:f>IF($A176="","",'Team Setup'!$B$22)</x:f>
      </x:c>
      <x:c r="C176" s="27" t="str">
        <x:f>IF($A176="","",'Team Setup'!$C$22)</x:f>
      </x:c>
      <x:c r="D176" s="27" t="str">
        <x:f>IF($A176="","",'Team Setup'!$D$22)</x:f>
      </x:c>
      <x:c r="E176" s="28" t="str">
        <x:f>IF(OR('Team Setup'!$D$4="",NOT(ISNUMBER('Team Setup'!$D$4))),"",'Team Setup'!$D$4+3)</x:f>
      </x:c>
      <x:c r="F176" s="29" t="str">
        <x:f>IF($A176="","",'Team Setup'!$E$22)</x:f>
      </x:c>
      <x:c r="G176" s="29" t="str">
        <x:f>IF($A176="","",IF(OR($E176="",$E176&lt;'Team Setup'!$D$4,$E176&gt;'Team Setup'!$F$4),"No",IF(WEEKDAY($E176,2)&gt;5,"No","Yes")))</x:f>
      </x:c>
      <x:c r="H176" s="29" t="str">
        <x:f>IF($A176="","",IF(OR($G176&lt;&gt;"Yes",$E176=""),"No",IF(COUNTIFS('Time Off'!$A$9:$A$508,$E176,'Time Off'!$C$9:$C$508,$D176,'Time Off'!$D$9:$D$508,$C176)+COUNTIFS('Time Off'!$A$9:$A$508,$E176,'Time Off'!$C$9:$C$508,$D176,'Time Off'!$D$9:$D$508,"All")&gt;0,"Yes","No")))</x:f>
      </x:c>
      <x:c r="I176" s="29" t="str">
        <x:f>IF($A176="","",IF(OR($G176&lt;&gt;"Yes",$H176="Yes"),0,MIN($F176,SUMIFS('Time Off'!$I$9:$I$508,'Time Off'!$G$9:$G$508,$A176,'Time Off'!$H$9:$H$508,$E176))))</x:f>
      </x:c>
      <x:c r="J176" s="29" t="str">
        <x:f>IF($A176="","",IF(OR($G176&lt;&gt;"Yes",$H176="Yes"),0,MAX(0,$F176-$I176)))</x:f>
      </x:c>
    </x:row>
    <x:row r="177">
      <x:c r="A177" s="27" t="str">
        <x:f>IF('Team Setup'!$A$22="","",'Team Setup'!$A$22)</x:f>
      </x:c>
      <x:c r="B177" s="27" t="str">
        <x:f>IF($A177="","",'Team Setup'!$B$22)</x:f>
      </x:c>
      <x:c r="C177" s="27" t="str">
        <x:f>IF($A177="","",'Team Setup'!$C$22)</x:f>
      </x:c>
      <x:c r="D177" s="27" t="str">
        <x:f>IF($A177="","",'Team Setup'!$D$22)</x:f>
      </x:c>
      <x:c r="E177" s="28" t="str">
        <x:f>IF(OR('Team Setup'!$D$4="",NOT(ISNUMBER('Team Setup'!$D$4))),"",'Team Setup'!$D$4+4)</x:f>
      </x:c>
      <x:c r="F177" s="29" t="str">
        <x:f>IF($A177="","",'Team Setup'!$E$22)</x:f>
      </x:c>
      <x:c r="G177" s="29" t="str">
        <x:f>IF($A177="","",IF(OR($E177="",$E177&lt;'Team Setup'!$D$4,$E177&gt;'Team Setup'!$F$4),"No",IF(WEEKDAY($E177,2)&gt;5,"No","Yes")))</x:f>
      </x:c>
      <x:c r="H177" s="29" t="str">
        <x:f>IF($A177="","",IF(OR($G177&lt;&gt;"Yes",$E177=""),"No",IF(COUNTIFS('Time Off'!$A$9:$A$508,$E177,'Time Off'!$C$9:$C$508,$D177,'Time Off'!$D$9:$D$508,$C177)+COUNTIFS('Time Off'!$A$9:$A$508,$E177,'Time Off'!$C$9:$C$508,$D177,'Time Off'!$D$9:$D$508,"All")&gt;0,"Yes","No")))</x:f>
      </x:c>
      <x:c r="I177" s="29" t="str">
        <x:f>IF($A177="","",IF(OR($G177&lt;&gt;"Yes",$H177="Yes"),0,MIN($F177,SUMIFS('Time Off'!$I$9:$I$508,'Time Off'!$G$9:$G$508,$A177,'Time Off'!$H$9:$H$508,$E177))))</x:f>
      </x:c>
      <x:c r="J177" s="29" t="str">
        <x:f>IF($A177="","",IF(OR($G177&lt;&gt;"Yes",$H177="Yes"),0,MAX(0,$F177-$I177)))</x:f>
      </x:c>
    </x:row>
    <x:row r="178">
      <x:c r="A178" s="27" t="str">
        <x:f>IF('Team Setup'!$A$22="","",'Team Setup'!$A$22)</x:f>
      </x:c>
      <x:c r="B178" s="27" t="str">
        <x:f>IF($A178="","",'Team Setup'!$B$22)</x:f>
      </x:c>
      <x:c r="C178" s="27" t="str">
        <x:f>IF($A178="","",'Team Setup'!$C$22)</x:f>
      </x:c>
      <x:c r="D178" s="27" t="str">
        <x:f>IF($A178="","",'Team Setup'!$D$22)</x:f>
      </x:c>
      <x:c r="E178" s="28" t="str">
        <x:f>IF(OR('Team Setup'!$D$4="",NOT(ISNUMBER('Team Setup'!$D$4))),"",'Team Setup'!$D$4+5)</x:f>
      </x:c>
      <x:c r="F178" s="29" t="str">
        <x:f>IF($A178="","",'Team Setup'!$E$22)</x:f>
      </x:c>
      <x:c r="G178" s="29" t="str">
        <x:f>IF($A178="","",IF(OR($E178="",$E178&lt;'Team Setup'!$D$4,$E178&gt;'Team Setup'!$F$4),"No",IF(WEEKDAY($E178,2)&gt;5,"No","Yes")))</x:f>
      </x:c>
      <x:c r="H178" s="29" t="str">
        <x:f>IF($A178="","",IF(OR($G178&lt;&gt;"Yes",$E178=""),"No",IF(COUNTIFS('Time Off'!$A$9:$A$508,$E178,'Time Off'!$C$9:$C$508,$D178,'Time Off'!$D$9:$D$508,$C178)+COUNTIFS('Time Off'!$A$9:$A$508,$E178,'Time Off'!$C$9:$C$508,$D178,'Time Off'!$D$9:$D$508,"All")&gt;0,"Yes","No")))</x:f>
      </x:c>
      <x:c r="I178" s="29" t="str">
        <x:f>IF($A178="","",IF(OR($G178&lt;&gt;"Yes",$H178="Yes"),0,MIN($F178,SUMIFS('Time Off'!$I$9:$I$508,'Time Off'!$G$9:$G$508,$A178,'Time Off'!$H$9:$H$508,$E178))))</x:f>
      </x:c>
      <x:c r="J178" s="29" t="str">
        <x:f>IF($A178="","",IF(OR($G178&lt;&gt;"Yes",$H178="Yes"),0,MAX(0,$F178-$I178)))</x:f>
      </x:c>
    </x:row>
    <x:row r="179">
      <x:c r="A179" s="27" t="str">
        <x:f>IF('Team Setup'!$A$22="","",'Team Setup'!$A$22)</x:f>
      </x:c>
      <x:c r="B179" s="27" t="str">
        <x:f>IF($A179="","",'Team Setup'!$B$22)</x:f>
      </x:c>
      <x:c r="C179" s="27" t="str">
        <x:f>IF($A179="","",'Team Setup'!$C$22)</x:f>
      </x:c>
      <x:c r="D179" s="27" t="str">
        <x:f>IF($A179="","",'Team Setup'!$D$22)</x:f>
      </x:c>
      <x:c r="E179" s="28" t="str">
        <x:f>IF(OR('Team Setup'!$D$4="",NOT(ISNUMBER('Team Setup'!$D$4))),"",'Team Setup'!$D$4+6)</x:f>
      </x:c>
      <x:c r="F179" s="29" t="str">
        <x:f>IF($A179="","",'Team Setup'!$E$22)</x:f>
      </x:c>
      <x:c r="G179" s="29" t="str">
        <x:f>IF($A179="","",IF(OR($E179="",$E179&lt;'Team Setup'!$D$4,$E179&gt;'Team Setup'!$F$4),"No",IF(WEEKDAY($E179,2)&gt;5,"No","Yes")))</x:f>
      </x:c>
      <x:c r="H179" s="29" t="str">
        <x:f>IF($A179="","",IF(OR($G179&lt;&gt;"Yes",$E179=""),"No",IF(COUNTIFS('Time Off'!$A$9:$A$508,$E179,'Time Off'!$C$9:$C$508,$D179,'Time Off'!$D$9:$D$508,$C179)+COUNTIFS('Time Off'!$A$9:$A$508,$E179,'Time Off'!$C$9:$C$508,$D179,'Time Off'!$D$9:$D$508,"All")&gt;0,"Yes","No")))</x:f>
      </x:c>
      <x:c r="I179" s="29" t="str">
        <x:f>IF($A179="","",IF(OR($G179&lt;&gt;"Yes",$H179="Yes"),0,MIN($F179,SUMIFS('Time Off'!$I$9:$I$508,'Time Off'!$G$9:$G$508,$A179,'Time Off'!$H$9:$H$508,$E179))))</x:f>
      </x:c>
      <x:c r="J179" s="29" t="str">
        <x:f>IF($A179="","",IF(OR($G179&lt;&gt;"Yes",$H179="Yes"),0,MAX(0,$F179-$I179)))</x:f>
      </x:c>
    </x:row>
    <x:row r="180">
      <x:c r="A180" s="27" t="str">
        <x:f>IF('Team Setup'!$A$22="","",'Team Setup'!$A$22)</x:f>
      </x:c>
      <x:c r="B180" s="27" t="str">
        <x:f>IF($A180="","",'Team Setup'!$B$22)</x:f>
      </x:c>
      <x:c r="C180" s="27" t="str">
        <x:f>IF($A180="","",'Team Setup'!$C$22)</x:f>
      </x:c>
      <x:c r="D180" s="27" t="str">
        <x:f>IF($A180="","",'Team Setup'!$D$22)</x:f>
      </x:c>
      <x:c r="E180" s="28" t="str">
        <x:f>IF(OR('Team Setup'!$D$4="",NOT(ISNUMBER('Team Setup'!$D$4))),"",'Team Setup'!$D$4+7)</x:f>
      </x:c>
      <x:c r="F180" s="29" t="str">
        <x:f>IF($A180="","",'Team Setup'!$E$22)</x:f>
      </x:c>
      <x:c r="G180" s="29" t="str">
        <x:f>IF($A180="","",IF(OR($E180="",$E180&lt;'Team Setup'!$D$4,$E180&gt;'Team Setup'!$F$4),"No",IF(WEEKDAY($E180,2)&gt;5,"No","Yes")))</x:f>
      </x:c>
      <x:c r="H180" s="29" t="str">
        <x:f>IF($A180="","",IF(OR($G180&lt;&gt;"Yes",$E180=""),"No",IF(COUNTIFS('Time Off'!$A$9:$A$508,$E180,'Time Off'!$C$9:$C$508,$D180,'Time Off'!$D$9:$D$508,$C180)+COUNTIFS('Time Off'!$A$9:$A$508,$E180,'Time Off'!$C$9:$C$508,$D180,'Time Off'!$D$9:$D$508,"All")&gt;0,"Yes","No")))</x:f>
      </x:c>
      <x:c r="I180" s="29" t="str">
        <x:f>IF($A180="","",IF(OR($G180&lt;&gt;"Yes",$H180="Yes"),0,MIN($F180,SUMIFS('Time Off'!$I$9:$I$508,'Time Off'!$G$9:$G$508,$A180,'Time Off'!$H$9:$H$508,$E180))))</x:f>
      </x:c>
      <x:c r="J180" s="29" t="str">
        <x:f>IF($A180="","",IF(OR($G180&lt;&gt;"Yes",$H180="Yes"),0,MAX(0,$F180-$I180)))</x:f>
      </x:c>
    </x:row>
    <x:row r="181">
      <x:c r="A181" s="27" t="str">
        <x:f>IF('Team Setup'!$A$22="","",'Team Setup'!$A$22)</x:f>
      </x:c>
      <x:c r="B181" s="27" t="str">
        <x:f>IF($A181="","",'Team Setup'!$B$22)</x:f>
      </x:c>
      <x:c r="C181" s="27" t="str">
        <x:f>IF($A181="","",'Team Setup'!$C$22)</x:f>
      </x:c>
      <x:c r="D181" s="27" t="str">
        <x:f>IF($A181="","",'Team Setup'!$D$22)</x:f>
      </x:c>
      <x:c r="E181" s="28" t="str">
        <x:f>IF(OR('Team Setup'!$D$4="",NOT(ISNUMBER('Team Setup'!$D$4))),"",'Team Setup'!$D$4+8)</x:f>
      </x:c>
      <x:c r="F181" s="29" t="str">
        <x:f>IF($A181="","",'Team Setup'!$E$22)</x:f>
      </x:c>
      <x:c r="G181" s="29" t="str">
        <x:f>IF($A181="","",IF(OR($E181="",$E181&lt;'Team Setup'!$D$4,$E181&gt;'Team Setup'!$F$4),"No",IF(WEEKDAY($E181,2)&gt;5,"No","Yes")))</x:f>
      </x:c>
      <x:c r="H181" s="29" t="str">
        <x:f>IF($A181="","",IF(OR($G181&lt;&gt;"Yes",$E181=""),"No",IF(COUNTIFS('Time Off'!$A$9:$A$508,$E181,'Time Off'!$C$9:$C$508,$D181,'Time Off'!$D$9:$D$508,$C181)+COUNTIFS('Time Off'!$A$9:$A$508,$E181,'Time Off'!$C$9:$C$508,$D181,'Time Off'!$D$9:$D$508,"All")&gt;0,"Yes","No")))</x:f>
      </x:c>
      <x:c r="I181" s="29" t="str">
        <x:f>IF($A181="","",IF(OR($G181&lt;&gt;"Yes",$H181="Yes"),0,MIN($F181,SUMIFS('Time Off'!$I$9:$I$508,'Time Off'!$G$9:$G$508,$A181,'Time Off'!$H$9:$H$508,$E181))))</x:f>
      </x:c>
      <x:c r="J181" s="29" t="str">
        <x:f>IF($A181="","",IF(OR($G181&lt;&gt;"Yes",$H181="Yes"),0,MAX(0,$F181-$I181)))</x:f>
      </x:c>
    </x:row>
    <x:row r="182">
      <x:c r="A182" s="27" t="str">
        <x:f>IF('Team Setup'!$A$22="","",'Team Setup'!$A$22)</x:f>
      </x:c>
      <x:c r="B182" s="27" t="str">
        <x:f>IF($A182="","",'Team Setup'!$B$22)</x:f>
      </x:c>
      <x:c r="C182" s="27" t="str">
        <x:f>IF($A182="","",'Team Setup'!$C$22)</x:f>
      </x:c>
      <x:c r="D182" s="27" t="str">
        <x:f>IF($A182="","",'Team Setup'!$D$22)</x:f>
      </x:c>
      <x:c r="E182" s="28" t="str">
        <x:f>IF(OR('Team Setup'!$D$4="",NOT(ISNUMBER('Team Setup'!$D$4))),"",'Team Setup'!$D$4+9)</x:f>
      </x:c>
      <x:c r="F182" s="29" t="str">
        <x:f>IF($A182="","",'Team Setup'!$E$22)</x:f>
      </x:c>
      <x:c r="G182" s="29" t="str">
        <x:f>IF($A182="","",IF(OR($E182="",$E182&lt;'Team Setup'!$D$4,$E182&gt;'Team Setup'!$F$4),"No",IF(WEEKDAY($E182,2)&gt;5,"No","Yes")))</x:f>
      </x:c>
      <x:c r="H182" s="29" t="str">
        <x:f>IF($A182="","",IF(OR($G182&lt;&gt;"Yes",$E182=""),"No",IF(COUNTIFS('Time Off'!$A$9:$A$508,$E182,'Time Off'!$C$9:$C$508,$D182,'Time Off'!$D$9:$D$508,$C182)+COUNTIFS('Time Off'!$A$9:$A$508,$E182,'Time Off'!$C$9:$C$508,$D182,'Time Off'!$D$9:$D$508,"All")&gt;0,"Yes","No")))</x:f>
      </x:c>
      <x:c r="I182" s="29" t="str">
        <x:f>IF($A182="","",IF(OR($G182&lt;&gt;"Yes",$H182="Yes"),0,MIN($F182,SUMIFS('Time Off'!$I$9:$I$508,'Time Off'!$G$9:$G$508,$A182,'Time Off'!$H$9:$H$508,$E182))))</x:f>
      </x:c>
      <x:c r="J182" s="29" t="str">
        <x:f>IF($A182="","",IF(OR($G182&lt;&gt;"Yes",$H182="Yes"),0,MAX(0,$F182-$I182)))</x:f>
      </x:c>
    </x:row>
    <x:row r="183">
      <x:c r="A183" s="27" t="str">
        <x:f>IF('Team Setup'!$A$22="","",'Team Setup'!$A$22)</x:f>
      </x:c>
      <x:c r="B183" s="27" t="str">
        <x:f>IF($A183="","",'Team Setup'!$B$22)</x:f>
      </x:c>
      <x:c r="C183" s="27" t="str">
        <x:f>IF($A183="","",'Team Setup'!$C$22)</x:f>
      </x:c>
      <x:c r="D183" s="27" t="str">
        <x:f>IF($A183="","",'Team Setup'!$D$22)</x:f>
      </x:c>
      <x:c r="E183" s="28" t="str">
        <x:f>IF(OR('Team Setup'!$D$4="",NOT(ISNUMBER('Team Setup'!$D$4))),"",'Team Setup'!$D$4+10)</x:f>
      </x:c>
      <x:c r="F183" s="29" t="str">
        <x:f>IF($A183="","",'Team Setup'!$E$22)</x:f>
      </x:c>
      <x:c r="G183" s="29" t="str">
        <x:f>IF($A183="","",IF(OR($E183="",$E183&lt;'Team Setup'!$D$4,$E183&gt;'Team Setup'!$F$4),"No",IF(WEEKDAY($E183,2)&gt;5,"No","Yes")))</x:f>
      </x:c>
      <x:c r="H183" s="29" t="str">
        <x:f>IF($A183="","",IF(OR($G183&lt;&gt;"Yes",$E183=""),"No",IF(COUNTIFS('Time Off'!$A$9:$A$508,$E183,'Time Off'!$C$9:$C$508,$D183,'Time Off'!$D$9:$D$508,$C183)+COUNTIFS('Time Off'!$A$9:$A$508,$E183,'Time Off'!$C$9:$C$508,$D183,'Time Off'!$D$9:$D$508,"All")&gt;0,"Yes","No")))</x:f>
      </x:c>
      <x:c r="I183" s="29" t="str">
        <x:f>IF($A183="","",IF(OR($G183&lt;&gt;"Yes",$H183="Yes"),0,MIN($F183,SUMIFS('Time Off'!$I$9:$I$508,'Time Off'!$G$9:$G$508,$A183,'Time Off'!$H$9:$H$508,$E183))))</x:f>
      </x:c>
      <x:c r="J183" s="29" t="str">
        <x:f>IF($A183="","",IF(OR($G183&lt;&gt;"Yes",$H183="Yes"),0,MAX(0,$F183-$I183)))</x:f>
      </x:c>
    </x:row>
    <x:row r="184">
      <x:c r="A184" s="27" t="str">
        <x:f>IF('Team Setup'!$A$22="","",'Team Setup'!$A$22)</x:f>
      </x:c>
      <x:c r="B184" s="27" t="str">
        <x:f>IF($A184="","",'Team Setup'!$B$22)</x:f>
      </x:c>
      <x:c r="C184" s="27" t="str">
        <x:f>IF($A184="","",'Team Setup'!$C$22)</x:f>
      </x:c>
      <x:c r="D184" s="27" t="str">
        <x:f>IF($A184="","",'Team Setup'!$D$22)</x:f>
      </x:c>
      <x:c r="E184" s="28" t="str">
        <x:f>IF(OR('Team Setup'!$D$4="",NOT(ISNUMBER('Team Setup'!$D$4))),"",'Team Setup'!$D$4+11)</x:f>
      </x:c>
      <x:c r="F184" s="29" t="str">
        <x:f>IF($A184="","",'Team Setup'!$E$22)</x:f>
      </x:c>
      <x:c r="G184" s="29" t="str">
        <x:f>IF($A184="","",IF(OR($E184="",$E184&lt;'Team Setup'!$D$4,$E184&gt;'Team Setup'!$F$4),"No",IF(WEEKDAY($E184,2)&gt;5,"No","Yes")))</x:f>
      </x:c>
      <x:c r="H184" s="29" t="str">
        <x:f>IF($A184="","",IF(OR($G184&lt;&gt;"Yes",$E184=""),"No",IF(COUNTIFS('Time Off'!$A$9:$A$508,$E184,'Time Off'!$C$9:$C$508,$D184,'Time Off'!$D$9:$D$508,$C184)+COUNTIFS('Time Off'!$A$9:$A$508,$E184,'Time Off'!$C$9:$C$508,$D184,'Time Off'!$D$9:$D$508,"All")&gt;0,"Yes","No")))</x:f>
      </x:c>
      <x:c r="I184" s="29" t="str">
        <x:f>IF($A184="","",IF(OR($G184&lt;&gt;"Yes",$H184="Yes"),0,MIN($F184,SUMIFS('Time Off'!$I$9:$I$508,'Time Off'!$G$9:$G$508,$A184,'Time Off'!$H$9:$H$508,$E184))))</x:f>
      </x:c>
      <x:c r="J184" s="29" t="str">
        <x:f>IF($A184="","",IF(OR($G184&lt;&gt;"Yes",$H184="Yes"),0,MAX(0,$F184-$I184)))</x:f>
      </x:c>
    </x:row>
    <x:row r="185">
      <x:c r="A185" s="27" t="str">
        <x:f>IF('Team Setup'!$A$22="","",'Team Setup'!$A$22)</x:f>
      </x:c>
      <x:c r="B185" s="27" t="str">
        <x:f>IF($A185="","",'Team Setup'!$B$22)</x:f>
      </x:c>
      <x:c r="C185" s="27" t="str">
        <x:f>IF($A185="","",'Team Setup'!$C$22)</x:f>
      </x:c>
      <x:c r="D185" s="27" t="str">
        <x:f>IF($A185="","",'Team Setup'!$D$22)</x:f>
      </x:c>
      <x:c r="E185" s="28" t="str">
        <x:f>IF(OR('Team Setup'!$D$4="",NOT(ISNUMBER('Team Setup'!$D$4))),"",'Team Setup'!$D$4+12)</x:f>
      </x:c>
      <x:c r="F185" s="29" t="str">
        <x:f>IF($A185="","",'Team Setup'!$E$22)</x:f>
      </x:c>
      <x:c r="G185" s="29" t="str">
        <x:f>IF($A185="","",IF(OR($E185="",$E185&lt;'Team Setup'!$D$4,$E185&gt;'Team Setup'!$F$4),"No",IF(WEEKDAY($E185,2)&gt;5,"No","Yes")))</x:f>
      </x:c>
      <x:c r="H185" s="29" t="str">
        <x:f>IF($A185="","",IF(OR($G185&lt;&gt;"Yes",$E185=""),"No",IF(COUNTIFS('Time Off'!$A$9:$A$508,$E185,'Time Off'!$C$9:$C$508,$D185,'Time Off'!$D$9:$D$508,$C185)+COUNTIFS('Time Off'!$A$9:$A$508,$E185,'Time Off'!$C$9:$C$508,$D185,'Time Off'!$D$9:$D$508,"All")&gt;0,"Yes","No")))</x:f>
      </x:c>
      <x:c r="I185" s="29" t="str">
        <x:f>IF($A185="","",IF(OR($G185&lt;&gt;"Yes",$H185="Yes"),0,MIN($F185,SUMIFS('Time Off'!$I$9:$I$508,'Time Off'!$G$9:$G$508,$A185,'Time Off'!$H$9:$H$508,$E185))))</x:f>
      </x:c>
      <x:c r="J185" s="29" t="str">
        <x:f>IF($A185="","",IF(OR($G185&lt;&gt;"Yes",$H185="Yes"),0,MAX(0,$F185-$I185)))</x:f>
      </x:c>
    </x:row>
    <x:row r="186">
      <x:c r="A186" s="27" t="str">
        <x:f>IF('Team Setup'!$A$22="","",'Team Setup'!$A$22)</x:f>
      </x:c>
      <x:c r="B186" s="27" t="str">
        <x:f>IF($A186="","",'Team Setup'!$B$22)</x:f>
      </x:c>
      <x:c r="C186" s="27" t="str">
        <x:f>IF($A186="","",'Team Setup'!$C$22)</x:f>
      </x:c>
      <x:c r="D186" s="27" t="str">
        <x:f>IF($A186="","",'Team Setup'!$D$22)</x:f>
      </x:c>
      <x:c r="E186" s="28" t="str">
        <x:f>IF(OR('Team Setup'!$D$4="",NOT(ISNUMBER('Team Setup'!$D$4))),"",'Team Setup'!$D$4+13)</x:f>
      </x:c>
      <x:c r="F186" s="29" t="str">
        <x:f>IF($A186="","",'Team Setup'!$E$22)</x:f>
      </x:c>
      <x:c r="G186" s="29" t="str">
        <x:f>IF($A186="","",IF(OR($E186="",$E186&lt;'Team Setup'!$D$4,$E186&gt;'Team Setup'!$F$4),"No",IF(WEEKDAY($E186,2)&gt;5,"No","Yes")))</x:f>
      </x:c>
      <x:c r="H186" s="29" t="str">
        <x:f>IF($A186="","",IF(OR($G186&lt;&gt;"Yes",$E186=""),"No",IF(COUNTIFS('Time Off'!$A$9:$A$508,$E186,'Time Off'!$C$9:$C$508,$D186,'Time Off'!$D$9:$D$508,$C186)+COUNTIFS('Time Off'!$A$9:$A$508,$E186,'Time Off'!$C$9:$C$508,$D186,'Time Off'!$D$9:$D$508,"All")&gt;0,"Yes","No")))</x:f>
      </x:c>
      <x:c r="I186" s="29" t="str">
        <x:f>IF($A186="","",IF(OR($G186&lt;&gt;"Yes",$H186="Yes"),0,MIN($F186,SUMIFS('Time Off'!$I$9:$I$508,'Time Off'!$G$9:$G$508,$A186,'Time Off'!$H$9:$H$508,$E186))))</x:f>
      </x:c>
      <x:c r="J186" s="29" t="str">
        <x:f>IF($A186="","",IF(OR($G186&lt;&gt;"Yes",$H186="Yes"),0,MAX(0,$F186-$I186)))</x:f>
      </x:c>
    </x:row>
    <x:row r="187">
      <x:c r="A187" s="27" t="str">
        <x:f>IF('Team Setup'!$A$23="","",'Team Setup'!$A$23)</x:f>
      </x:c>
      <x:c r="B187" s="27" t="str">
        <x:f>IF($A187="","",'Team Setup'!$B$23)</x:f>
      </x:c>
      <x:c r="C187" s="27" t="str">
        <x:f>IF($A187="","",'Team Setup'!$C$23)</x:f>
      </x:c>
      <x:c r="D187" s="27" t="str">
        <x:f>IF($A187="","",'Team Setup'!$D$23)</x:f>
      </x:c>
      <x:c r="E187" s="28" t="str">
        <x:f>IF(OR('Team Setup'!$D$4="",NOT(ISNUMBER('Team Setup'!$D$4))),"",'Team Setup'!$D$4+0)</x:f>
      </x:c>
      <x:c r="F187" s="29" t="str">
        <x:f>IF($A187="","",'Team Setup'!$E$23)</x:f>
      </x:c>
      <x:c r="G187" s="29" t="str">
        <x:f>IF($A187="","",IF(OR($E187="",$E187&lt;'Team Setup'!$D$4,$E187&gt;'Team Setup'!$F$4),"No",IF(WEEKDAY($E187,2)&gt;5,"No","Yes")))</x:f>
      </x:c>
      <x:c r="H187" s="29" t="str">
        <x:f>IF($A187="","",IF(OR($G187&lt;&gt;"Yes",$E187=""),"No",IF(COUNTIFS('Time Off'!$A$9:$A$508,$E187,'Time Off'!$C$9:$C$508,$D187,'Time Off'!$D$9:$D$508,$C187)+COUNTIFS('Time Off'!$A$9:$A$508,$E187,'Time Off'!$C$9:$C$508,$D187,'Time Off'!$D$9:$D$508,"All")&gt;0,"Yes","No")))</x:f>
      </x:c>
      <x:c r="I187" s="29" t="str">
        <x:f>IF($A187="","",IF(OR($G187&lt;&gt;"Yes",$H187="Yes"),0,MIN($F187,SUMIFS('Time Off'!$I$9:$I$508,'Time Off'!$G$9:$G$508,$A187,'Time Off'!$H$9:$H$508,$E187))))</x:f>
      </x:c>
      <x:c r="J187" s="29" t="str">
        <x:f>IF($A187="","",IF(OR($G187&lt;&gt;"Yes",$H187="Yes"),0,MAX(0,$F187-$I187)))</x:f>
      </x:c>
    </x:row>
    <x:row r="188">
      <x:c r="A188" s="27" t="str">
        <x:f>IF('Team Setup'!$A$23="","",'Team Setup'!$A$23)</x:f>
      </x:c>
      <x:c r="B188" s="27" t="str">
        <x:f>IF($A188="","",'Team Setup'!$B$23)</x:f>
      </x:c>
      <x:c r="C188" s="27" t="str">
        <x:f>IF($A188="","",'Team Setup'!$C$23)</x:f>
      </x:c>
      <x:c r="D188" s="27" t="str">
        <x:f>IF($A188="","",'Team Setup'!$D$23)</x:f>
      </x:c>
      <x:c r="E188" s="28" t="str">
        <x:f>IF(OR('Team Setup'!$D$4="",NOT(ISNUMBER('Team Setup'!$D$4))),"",'Team Setup'!$D$4+1)</x:f>
      </x:c>
      <x:c r="F188" s="29" t="str">
        <x:f>IF($A188="","",'Team Setup'!$E$23)</x:f>
      </x:c>
      <x:c r="G188" s="29" t="str">
        <x:f>IF($A188="","",IF(OR($E188="",$E188&lt;'Team Setup'!$D$4,$E188&gt;'Team Setup'!$F$4),"No",IF(WEEKDAY($E188,2)&gt;5,"No","Yes")))</x:f>
      </x:c>
      <x:c r="H188" s="29" t="str">
        <x:f>IF($A188="","",IF(OR($G188&lt;&gt;"Yes",$E188=""),"No",IF(COUNTIFS('Time Off'!$A$9:$A$508,$E188,'Time Off'!$C$9:$C$508,$D188,'Time Off'!$D$9:$D$508,$C188)+COUNTIFS('Time Off'!$A$9:$A$508,$E188,'Time Off'!$C$9:$C$508,$D188,'Time Off'!$D$9:$D$508,"All")&gt;0,"Yes","No")))</x:f>
      </x:c>
      <x:c r="I188" s="29" t="str">
        <x:f>IF($A188="","",IF(OR($G188&lt;&gt;"Yes",$H188="Yes"),0,MIN($F188,SUMIFS('Time Off'!$I$9:$I$508,'Time Off'!$G$9:$G$508,$A188,'Time Off'!$H$9:$H$508,$E188))))</x:f>
      </x:c>
      <x:c r="J188" s="29" t="str">
        <x:f>IF($A188="","",IF(OR($G188&lt;&gt;"Yes",$H188="Yes"),0,MAX(0,$F188-$I188)))</x:f>
      </x:c>
    </x:row>
    <x:row r="189">
      <x:c r="A189" s="27" t="str">
        <x:f>IF('Team Setup'!$A$23="","",'Team Setup'!$A$23)</x:f>
      </x:c>
      <x:c r="B189" s="27" t="str">
        <x:f>IF($A189="","",'Team Setup'!$B$23)</x:f>
      </x:c>
      <x:c r="C189" s="27" t="str">
        <x:f>IF($A189="","",'Team Setup'!$C$23)</x:f>
      </x:c>
      <x:c r="D189" s="27" t="str">
        <x:f>IF($A189="","",'Team Setup'!$D$23)</x:f>
      </x:c>
      <x:c r="E189" s="28" t="str">
        <x:f>IF(OR('Team Setup'!$D$4="",NOT(ISNUMBER('Team Setup'!$D$4))),"",'Team Setup'!$D$4+2)</x:f>
      </x:c>
      <x:c r="F189" s="29" t="str">
        <x:f>IF($A189="","",'Team Setup'!$E$23)</x:f>
      </x:c>
      <x:c r="G189" s="29" t="str">
        <x:f>IF($A189="","",IF(OR($E189="",$E189&lt;'Team Setup'!$D$4,$E189&gt;'Team Setup'!$F$4),"No",IF(WEEKDAY($E189,2)&gt;5,"No","Yes")))</x:f>
      </x:c>
      <x:c r="H189" s="29" t="str">
        <x:f>IF($A189="","",IF(OR($G189&lt;&gt;"Yes",$E189=""),"No",IF(COUNTIFS('Time Off'!$A$9:$A$508,$E189,'Time Off'!$C$9:$C$508,$D189,'Time Off'!$D$9:$D$508,$C189)+COUNTIFS('Time Off'!$A$9:$A$508,$E189,'Time Off'!$C$9:$C$508,$D189,'Time Off'!$D$9:$D$508,"All")&gt;0,"Yes","No")))</x:f>
      </x:c>
      <x:c r="I189" s="29" t="str">
        <x:f>IF($A189="","",IF(OR($G189&lt;&gt;"Yes",$H189="Yes"),0,MIN($F189,SUMIFS('Time Off'!$I$9:$I$508,'Time Off'!$G$9:$G$508,$A189,'Time Off'!$H$9:$H$508,$E189))))</x:f>
      </x:c>
      <x:c r="J189" s="29" t="str">
        <x:f>IF($A189="","",IF(OR($G189&lt;&gt;"Yes",$H189="Yes"),0,MAX(0,$F189-$I189)))</x:f>
      </x:c>
    </x:row>
    <x:row r="190">
      <x:c r="A190" s="27" t="str">
        <x:f>IF('Team Setup'!$A$23="","",'Team Setup'!$A$23)</x:f>
      </x:c>
      <x:c r="B190" s="27" t="str">
        <x:f>IF($A190="","",'Team Setup'!$B$23)</x:f>
      </x:c>
      <x:c r="C190" s="27" t="str">
        <x:f>IF($A190="","",'Team Setup'!$C$23)</x:f>
      </x:c>
      <x:c r="D190" s="27" t="str">
        <x:f>IF($A190="","",'Team Setup'!$D$23)</x:f>
      </x:c>
      <x:c r="E190" s="28" t="str">
        <x:f>IF(OR('Team Setup'!$D$4="",NOT(ISNUMBER('Team Setup'!$D$4))),"",'Team Setup'!$D$4+3)</x:f>
      </x:c>
      <x:c r="F190" s="29" t="str">
        <x:f>IF($A190="","",'Team Setup'!$E$23)</x:f>
      </x:c>
      <x:c r="G190" s="29" t="str">
        <x:f>IF($A190="","",IF(OR($E190="",$E190&lt;'Team Setup'!$D$4,$E190&gt;'Team Setup'!$F$4),"No",IF(WEEKDAY($E190,2)&gt;5,"No","Yes")))</x:f>
      </x:c>
      <x:c r="H190" s="29" t="str">
        <x:f>IF($A190="","",IF(OR($G190&lt;&gt;"Yes",$E190=""),"No",IF(COUNTIFS('Time Off'!$A$9:$A$508,$E190,'Time Off'!$C$9:$C$508,$D190,'Time Off'!$D$9:$D$508,$C190)+COUNTIFS('Time Off'!$A$9:$A$508,$E190,'Time Off'!$C$9:$C$508,$D190,'Time Off'!$D$9:$D$508,"All")&gt;0,"Yes","No")))</x:f>
      </x:c>
      <x:c r="I190" s="29" t="str">
        <x:f>IF($A190="","",IF(OR($G190&lt;&gt;"Yes",$H190="Yes"),0,MIN($F190,SUMIFS('Time Off'!$I$9:$I$508,'Time Off'!$G$9:$G$508,$A190,'Time Off'!$H$9:$H$508,$E190))))</x:f>
      </x:c>
      <x:c r="J190" s="29" t="str">
        <x:f>IF($A190="","",IF(OR($G190&lt;&gt;"Yes",$H190="Yes"),0,MAX(0,$F190-$I190)))</x:f>
      </x:c>
    </x:row>
    <x:row r="191">
      <x:c r="A191" s="27" t="str">
        <x:f>IF('Team Setup'!$A$23="","",'Team Setup'!$A$23)</x:f>
      </x:c>
      <x:c r="B191" s="27" t="str">
        <x:f>IF($A191="","",'Team Setup'!$B$23)</x:f>
      </x:c>
      <x:c r="C191" s="27" t="str">
        <x:f>IF($A191="","",'Team Setup'!$C$23)</x:f>
      </x:c>
      <x:c r="D191" s="27" t="str">
        <x:f>IF($A191="","",'Team Setup'!$D$23)</x:f>
      </x:c>
      <x:c r="E191" s="28" t="str">
        <x:f>IF(OR('Team Setup'!$D$4="",NOT(ISNUMBER('Team Setup'!$D$4))),"",'Team Setup'!$D$4+4)</x:f>
      </x:c>
      <x:c r="F191" s="29" t="str">
        <x:f>IF($A191="","",'Team Setup'!$E$23)</x:f>
      </x:c>
      <x:c r="G191" s="29" t="str">
        <x:f>IF($A191="","",IF(OR($E191="",$E191&lt;'Team Setup'!$D$4,$E191&gt;'Team Setup'!$F$4),"No",IF(WEEKDAY($E191,2)&gt;5,"No","Yes")))</x:f>
      </x:c>
      <x:c r="H191" s="29" t="str">
        <x:f>IF($A191="","",IF(OR($G191&lt;&gt;"Yes",$E191=""),"No",IF(COUNTIFS('Time Off'!$A$9:$A$508,$E191,'Time Off'!$C$9:$C$508,$D191,'Time Off'!$D$9:$D$508,$C191)+COUNTIFS('Time Off'!$A$9:$A$508,$E191,'Time Off'!$C$9:$C$508,$D191,'Time Off'!$D$9:$D$508,"All")&gt;0,"Yes","No")))</x:f>
      </x:c>
      <x:c r="I191" s="29" t="str">
        <x:f>IF($A191="","",IF(OR($G191&lt;&gt;"Yes",$H191="Yes"),0,MIN($F191,SUMIFS('Time Off'!$I$9:$I$508,'Time Off'!$G$9:$G$508,$A191,'Time Off'!$H$9:$H$508,$E191))))</x:f>
      </x:c>
      <x:c r="J191" s="29" t="str">
        <x:f>IF($A191="","",IF(OR($G191&lt;&gt;"Yes",$H191="Yes"),0,MAX(0,$F191-$I191)))</x:f>
      </x:c>
    </x:row>
    <x:row r="192">
      <x:c r="A192" s="27" t="str">
        <x:f>IF('Team Setup'!$A$23="","",'Team Setup'!$A$23)</x:f>
      </x:c>
      <x:c r="B192" s="27" t="str">
        <x:f>IF($A192="","",'Team Setup'!$B$23)</x:f>
      </x:c>
      <x:c r="C192" s="27" t="str">
        <x:f>IF($A192="","",'Team Setup'!$C$23)</x:f>
      </x:c>
      <x:c r="D192" s="27" t="str">
        <x:f>IF($A192="","",'Team Setup'!$D$23)</x:f>
      </x:c>
      <x:c r="E192" s="28" t="str">
        <x:f>IF(OR('Team Setup'!$D$4="",NOT(ISNUMBER('Team Setup'!$D$4))),"",'Team Setup'!$D$4+5)</x:f>
      </x:c>
      <x:c r="F192" s="29" t="str">
        <x:f>IF($A192="","",'Team Setup'!$E$23)</x:f>
      </x:c>
      <x:c r="G192" s="29" t="str">
        <x:f>IF($A192="","",IF(OR($E192="",$E192&lt;'Team Setup'!$D$4,$E192&gt;'Team Setup'!$F$4),"No",IF(WEEKDAY($E192,2)&gt;5,"No","Yes")))</x:f>
      </x:c>
      <x:c r="H192" s="29" t="str">
        <x:f>IF($A192="","",IF(OR($G192&lt;&gt;"Yes",$E192=""),"No",IF(COUNTIFS('Time Off'!$A$9:$A$508,$E192,'Time Off'!$C$9:$C$508,$D192,'Time Off'!$D$9:$D$508,$C192)+COUNTIFS('Time Off'!$A$9:$A$508,$E192,'Time Off'!$C$9:$C$508,$D192,'Time Off'!$D$9:$D$508,"All")&gt;0,"Yes","No")))</x:f>
      </x:c>
      <x:c r="I192" s="29" t="str">
        <x:f>IF($A192="","",IF(OR($G192&lt;&gt;"Yes",$H192="Yes"),0,MIN($F192,SUMIFS('Time Off'!$I$9:$I$508,'Time Off'!$G$9:$G$508,$A192,'Time Off'!$H$9:$H$508,$E192))))</x:f>
      </x:c>
      <x:c r="J192" s="29" t="str">
        <x:f>IF($A192="","",IF(OR($G192&lt;&gt;"Yes",$H192="Yes"),0,MAX(0,$F192-$I192)))</x:f>
      </x:c>
    </x:row>
    <x:row r="193">
      <x:c r="A193" s="27" t="str">
        <x:f>IF('Team Setup'!$A$23="","",'Team Setup'!$A$23)</x:f>
      </x:c>
      <x:c r="B193" s="27" t="str">
        <x:f>IF($A193="","",'Team Setup'!$B$23)</x:f>
      </x:c>
      <x:c r="C193" s="27" t="str">
        <x:f>IF($A193="","",'Team Setup'!$C$23)</x:f>
      </x:c>
      <x:c r="D193" s="27" t="str">
        <x:f>IF($A193="","",'Team Setup'!$D$23)</x:f>
      </x:c>
      <x:c r="E193" s="28" t="str">
        <x:f>IF(OR('Team Setup'!$D$4="",NOT(ISNUMBER('Team Setup'!$D$4))),"",'Team Setup'!$D$4+6)</x:f>
      </x:c>
      <x:c r="F193" s="29" t="str">
        <x:f>IF($A193="","",'Team Setup'!$E$23)</x:f>
      </x:c>
      <x:c r="G193" s="29" t="str">
        <x:f>IF($A193="","",IF(OR($E193="",$E193&lt;'Team Setup'!$D$4,$E193&gt;'Team Setup'!$F$4),"No",IF(WEEKDAY($E193,2)&gt;5,"No","Yes")))</x:f>
      </x:c>
      <x:c r="H193" s="29" t="str">
        <x:f>IF($A193="","",IF(OR($G193&lt;&gt;"Yes",$E193=""),"No",IF(COUNTIFS('Time Off'!$A$9:$A$508,$E193,'Time Off'!$C$9:$C$508,$D193,'Time Off'!$D$9:$D$508,$C193)+COUNTIFS('Time Off'!$A$9:$A$508,$E193,'Time Off'!$C$9:$C$508,$D193,'Time Off'!$D$9:$D$508,"All")&gt;0,"Yes","No")))</x:f>
      </x:c>
      <x:c r="I193" s="29" t="str">
        <x:f>IF($A193="","",IF(OR($G193&lt;&gt;"Yes",$H193="Yes"),0,MIN($F193,SUMIFS('Time Off'!$I$9:$I$508,'Time Off'!$G$9:$G$508,$A193,'Time Off'!$H$9:$H$508,$E193))))</x:f>
      </x:c>
      <x:c r="J193" s="29" t="str">
        <x:f>IF($A193="","",IF(OR($G193&lt;&gt;"Yes",$H193="Yes"),0,MAX(0,$F193-$I193)))</x:f>
      </x:c>
    </x:row>
    <x:row r="194">
      <x:c r="A194" s="27" t="str">
        <x:f>IF('Team Setup'!$A$23="","",'Team Setup'!$A$23)</x:f>
      </x:c>
      <x:c r="B194" s="27" t="str">
        <x:f>IF($A194="","",'Team Setup'!$B$23)</x:f>
      </x:c>
      <x:c r="C194" s="27" t="str">
        <x:f>IF($A194="","",'Team Setup'!$C$23)</x:f>
      </x:c>
      <x:c r="D194" s="27" t="str">
        <x:f>IF($A194="","",'Team Setup'!$D$23)</x:f>
      </x:c>
      <x:c r="E194" s="28" t="str">
        <x:f>IF(OR('Team Setup'!$D$4="",NOT(ISNUMBER('Team Setup'!$D$4))),"",'Team Setup'!$D$4+7)</x:f>
      </x:c>
      <x:c r="F194" s="29" t="str">
        <x:f>IF($A194="","",'Team Setup'!$E$23)</x:f>
      </x:c>
      <x:c r="G194" s="29" t="str">
        <x:f>IF($A194="","",IF(OR($E194="",$E194&lt;'Team Setup'!$D$4,$E194&gt;'Team Setup'!$F$4),"No",IF(WEEKDAY($E194,2)&gt;5,"No","Yes")))</x:f>
      </x:c>
      <x:c r="H194" s="29" t="str">
        <x:f>IF($A194="","",IF(OR($G194&lt;&gt;"Yes",$E194=""),"No",IF(COUNTIFS('Time Off'!$A$9:$A$508,$E194,'Time Off'!$C$9:$C$508,$D194,'Time Off'!$D$9:$D$508,$C194)+COUNTIFS('Time Off'!$A$9:$A$508,$E194,'Time Off'!$C$9:$C$508,$D194,'Time Off'!$D$9:$D$508,"All")&gt;0,"Yes","No")))</x:f>
      </x:c>
      <x:c r="I194" s="29" t="str">
        <x:f>IF($A194="","",IF(OR($G194&lt;&gt;"Yes",$H194="Yes"),0,MIN($F194,SUMIFS('Time Off'!$I$9:$I$508,'Time Off'!$G$9:$G$508,$A194,'Time Off'!$H$9:$H$508,$E194))))</x:f>
      </x:c>
      <x:c r="J194" s="29" t="str">
        <x:f>IF($A194="","",IF(OR($G194&lt;&gt;"Yes",$H194="Yes"),0,MAX(0,$F194-$I194)))</x:f>
      </x:c>
    </x:row>
    <x:row r="195">
      <x:c r="A195" s="27" t="str">
        <x:f>IF('Team Setup'!$A$23="","",'Team Setup'!$A$23)</x:f>
      </x:c>
      <x:c r="B195" s="27" t="str">
        <x:f>IF($A195="","",'Team Setup'!$B$23)</x:f>
      </x:c>
      <x:c r="C195" s="27" t="str">
        <x:f>IF($A195="","",'Team Setup'!$C$23)</x:f>
      </x:c>
      <x:c r="D195" s="27" t="str">
        <x:f>IF($A195="","",'Team Setup'!$D$23)</x:f>
      </x:c>
      <x:c r="E195" s="28" t="str">
        <x:f>IF(OR('Team Setup'!$D$4="",NOT(ISNUMBER('Team Setup'!$D$4))),"",'Team Setup'!$D$4+8)</x:f>
      </x:c>
      <x:c r="F195" s="29" t="str">
        <x:f>IF($A195="","",'Team Setup'!$E$23)</x:f>
      </x:c>
      <x:c r="G195" s="29" t="str">
        <x:f>IF($A195="","",IF(OR($E195="",$E195&lt;'Team Setup'!$D$4,$E195&gt;'Team Setup'!$F$4),"No",IF(WEEKDAY($E195,2)&gt;5,"No","Yes")))</x:f>
      </x:c>
      <x:c r="H195" s="29" t="str">
        <x:f>IF($A195="","",IF(OR($G195&lt;&gt;"Yes",$E195=""),"No",IF(COUNTIFS('Time Off'!$A$9:$A$508,$E195,'Time Off'!$C$9:$C$508,$D195,'Time Off'!$D$9:$D$508,$C195)+COUNTIFS('Time Off'!$A$9:$A$508,$E195,'Time Off'!$C$9:$C$508,$D195,'Time Off'!$D$9:$D$508,"All")&gt;0,"Yes","No")))</x:f>
      </x:c>
      <x:c r="I195" s="29" t="str">
        <x:f>IF($A195="","",IF(OR($G195&lt;&gt;"Yes",$H195="Yes"),0,MIN($F195,SUMIFS('Time Off'!$I$9:$I$508,'Time Off'!$G$9:$G$508,$A195,'Time Off'!$H$9:$H$508,$E195))))</x:f>
      </x:c>
      <x:c r="J195" s="29" t="str">
        <x:f>IF($A195="","",IF(OR($G195&lt;&gt;"Yes",$H195="Yes"),0,MAX(0,$F195-$I195)))</x:f>
      </x:c>
    </x:row>
    <x:row r="196">
      <x:c r="A196" s="27" t="str">
        <x:f>IF('Team Setup'!$A$23="","",'Team Setup'!$A$23)</x:f>
      </x:c>
      <x:c r="B196" s="27" t="str">
        <x:f>IF($A196="","",'Team Setup'!$B$23)</x:f>
      </x:c>
      <x:c r="C196" s="27" t="str">
        <x:f>IF($A196="","",'Team Setup'!$C$23)</x:f>
      </x:c>
      <x:c r="D196" s="27" t="str">
        <x:f>IF($A196="","",'Team Setup'!$D$23)</x:f>
      </x:c>
      <x:c r="E196" s="28" t="str">
        <x:f>IF(OR('Team Setup'!$D$4="",NOT(ISNUMBER('Team Setup'!$D$4))),"",'Team Setup'!$D$4+9)</x:f>
      </x:c>
      <x:c r="F196" s="29" t="str">
        <x:f>IF($A196="","",'Team Setup'!$E$23)</x:f>
      </x:c>
      <x:c r="G196" s="29" t="str">
        <x:f>IF($A196="","",IF(OR($E196="",$E196&lt;'Team Setup'!$D$4,$E196&gt;'Team Setup'!$F$4),"No",IF(WEEKDAY($E196,2)&gt;5,"No","Yes")))</x:f>
      </x:c>
      <x:c r="H196" s="29" t="str">
        <x:f>IF($A196="","",IF(OR($G196&lt;&gt;"Yes",$E196=""),"No",IF(COUNTIFS('Time Off'!$A$9:$A$508,$E196,'Time Off'!$C$9:$C$508,$D196,'Time Off'!$D$9:$D$508,$C196)+COUNTIFS('Time Off'!$A$9:$A$508,$E196,'Time Off'!$C$9:$C$508,$D196,'Time Off'!$D$9:$D$508,"All")&gt;0,"Yes","No")))</x:f>
      </x:c>
      <x:c r="I196" s="29" t="str">
        <x:f>IF($A196="","",IF(OR($G196&lt;&gt;"Yes",$H196="Yes"),0,MIN($F196,SUMIFS('Time Off'!$I$9:$I$508,'Time Off'!$G$9:$G$508,$A196,'Time Off'!$H$9:$H$508,$E196))))</x:f>
      </x:c>
      <x:c r="J196" s="29" t="str">
        <x:f>IF($A196="","",IF(OR($G196&lt;&gt;"Yes",$H196="Yes"),0,MAX(0,$F196-$I196)))</x:f>
      </x:c>
    </x:row>
    <x:row r="197">
      <x:c r="A197" s="27" t="str">
        <x:f>IF('Team Setup'!$A$23="","",'Team Setup'!$A$23)</x:f>
      </x:c>
      <x:c r="B197" s="27" t="str">
        <x:f>IF($A197="","",'Team Setup'!$B$23)</x:f>
      </x:c>
      <x:c r="C197" s="27" t="str">
        <x:f>IF($A197="","",'Team Setup'!$C$23)</x:f>
      </x:c>
      <x:c r="D197" s="27" t="str">
        <x:f>IF($A197="","",'Team Setup'!$D$23)</x:f>
      </x:c>
      <x:c r="E197" s="28" t="str">
        <x:f>IF(OR('Team Setup'!$D$4="",NOT(ISNUMBER('Team Setup'!$D$4))),"",'Team Setup'!$D$4+10)</x:f>
      </x:c>
      <x:c r="F197" s="29" t="str">
        <x:f>IF($A197="","",'Team Setup'!$E$23)</x:f>
      </x:c>
      <x:c r="G197" s="29" t="str">
        <x:f>IF($A197="","",IF(OR($E197="",$E197&lt;'Team Setup'!$D$4,$E197&gt;'Team Setup'!$F$4),"No",IF(WEEKDAY($E197,2)&gt;5,"No","Yes")))</x:f>
      </x:c>
      <x:c r="H197" s="29" t="str">
        <x:f>IF($A197="","",IF(OR($G197&lt;&gt;"Yes",$E197=""),"No",IF(COUNTIFS('Time Off'!$A$9:$A$508,$E197,'Time Off'!$C$9:$C$508,$D197,'Time Off'!$D$9:$D$508,$C197)+COUNTIFS('Time Off'!$A$9:$A$508,$E197,'Time Off'!$C$9:$C$508,$D197,'Time Off'!$D$9:$D$508,"All")&gt;0,"Yes","No")))</x:f>
      </x:c>
      <x:c r="I197" s="29" t="str">
        <x:f>IF($A197="","",IF(OR($G197&lt;&gt;"Yes",$H197="Yes"),0,MIN($F197,SUMIFS('Time Off'!$I$9:$I$508,'Time Off'!$G$9:$G$508,$A197,'Time Off'!$H$9:$H$508,$E197))))</x:f>
      </x:c>
      <x:c r="J197" s="29" t="str">
        <x:f>IF($A197="","",IF(OR($G197&lt;&gt;"Yes",$H197="Yes"),0,MAX(0,$F197-$I197)))</x:f>
      </x:c>
    </x:row>
    <x:row r="198">
      <x:c r="A198" s="27" t="str">
        <x:f>IF('Team Setup'!$A$23="","",'Team Setup'!$A$23)</x:f>
      </x:c>
      <x:c r="B198" s="27" t="str">
        <x:f>IF($A198="","",'Team Setup'!$B$23)</x:f>
      </x:c>
      <x:c r="C198" s="27" t="str">
        <x:f>IF($A198="","",'Team Setup'!$C$23)</x:f>
      </x:c>
      <x:c r="D198" s="27" t="str">
        <x:f>IF($A198="","",'Team Setup'!$D$23)</x:f>
      </x:c>
      <x:c r="E198" s="28" t="str">
        <x:f>IF(OR('Team Setup'!$D$4="",NOT(ISNUMBER('Team Setup'!$D$4))),"",'Team Setup'!$D$4+11)</x:f>
      </x:c>
      <x:c r="F198" s="29" t="str">
        <x:f>IF($A198="","",'Team Setup'!$E$23)</x:f>
      </x:c>
      <x:c r="G198" s="29" t="str">
        <x:f>IF($A198="","",IF(OR($E198="",$E198&lt;'Team Setup'!$D$4,$E198&gt;'Team Setup'!$F$4),"No",IF(WEEKDAY($E198,2)&gt;5,"No","Yes")))</x:f>
      </x:c>
      <x:c r="H198" s="29" t="str">
        <x:f>IF($A198="","",IF(OR($G198&lt;&gt;"Yes",$E198=""),"No",IF(COUNTIFS('Time Off'!$A$9:$A$508,$E198,'Time Off'!$C$9:$C$508,$D198,'Time Off'!$D$9:$D$508,$C198)+COUNTIFS('Time Off'!$A$9:$A$508,$E198,'Time Off'!$C$9:$C$508,$D198,'Time Off'!$D$9:$D$508,"All")&gt;0,"Yes","No")))</x:f>
      </x:c>
      <x:c r="I198" s="29" t="str">
        <x:f>IF($A198="","",IF(OR($G198&lt;&gt;"Yes",$H198="Yes"),0,MIN($F198,SUMIFS('Time Off'!$I$9:$I$508,'Time Off'!$G$9:$G$508,$A198,'Time Off'!$H$9:$H$508,$E198))))</x:f>
      </x:c>
      <x:c r="J198" s="29" t="str">
        <x:f>IF($A198="","",IF(OR($G198&lt;&gt;"Yes",$H198="Yes"),0,MAX(0,$F198-$I198)))</x:f>
      </x:c>
    </x:row>
    <x:row r="199">
      <x:c r="A199" s="27" t="str">
        <x:f>IF('Team Setup'!$A$23="","",'Team Setup'!$A$23)</x:f>
      </x:c>
      <x:c r="B199" s="27" t="str">
        <x:f>IF($A199="","",'Team Setup'!$B$23)</x:f>
      </x:c>
      <x:c r="C199" s="27" t="str">
        <x:f>IF($A199="","",'Team Setup'!$C$23)</x:f>
      </x:c>
      <x:c r="D199" s="27" t="str">
        <x:f>IF($A199="","",'Team Setup'!$D$23)</x:f>
      </x:c>
      <x:c r="E199" s="28" t="str">
        <x:f>IF(OR('Team Setup'!$D$4="",NOT(ISNUMBER('Team Setup'!$D$4))),"",'Team Setup'!$D$4+12)</x:f>
      </x:c>
      <x:c r="F199" s="29" t="str">
        <x:f>IF($A199="","",'Team Setup'!$E$23)</x:f>
      </x:c>
      <x:c r="G199" s="29" t="str">
        <x:f>IF($A199="","",IF(OR($E199="",$E199&lt;'Team Setup'!$D$4,$E199&gt;'Team Setup'!$F$4),"No",IF(WEEKDAY($E199,2)&gt;5,"No","Yes")))</x:f>
      </x:c>
      <x:c r="H199" s="29" t="str">
        <x:f>IF($A199="","",IF(OR($G199&lt;&gt;"Yes",$E199=""),"No",IF(COUNTIFS('Time Off'!$A$9:$A$508,$E199,'Time Off'!$C$9:$C$508,$D199,'Time Off'!$D$9:$D$508,$C199)+COUNTIFS('Time Off'!$A$9:$A$508,$E199,'Time Off'!$C$9:$C$508,$D199,'Time Off'!$D$9:$D$508,"All")&gt;0,"Yes","No")))</x:f>
      </x:c>
      <x:c r="I199" s="29" t="str">
        <x:f>IF($A199="","",IF(OR($G199&lt;&gt;"Yes",$H199="Yes"),0,MIN($F199,SUMIFS('Time Off'!$I$9:$I$508,'Time Off'!$G$9:$G$508,$A199,'Time Off'!$H$9:$H$508,$E199))))</x:f>
      </x:c>
      <x:c r="J199" s="29" t="str">
        <x:f>IF($A199="","",IF(OR($G199&lt;&gt;"Yes",$H199="Yes"),0,MAX(0,$F199-$I199)))</x:f>
      </x:c>
    </x:row>
    <x:row r="200">
      <x:c r="A200" s="27" t="str">
        <x:f>IF('Team Setup'!$A$23="","",'Team Setup'!$A$23)</x:f>
      </x:c>
      <x:c r="B200" s="27" t="str">
        <x:f>IF($A200="","",'Team Setup'!$B$23)</x:f>
      </x:c>
      <x:c r="C200" s="27" t="str">
        <x:f>IF($A200="","",'Team Setup'!$C$23)</x:f>
      </x:c>
      <x:c r="D200" s="27" t="str">
        <x:f>IF($A200="","",'Team Setup'!$D$23)</x:f>
      </x:c>
      <x:c r="E200" s="28" t="str">
        <x:f>IF(OR('Team Setup'!$D$4="",NOT(ISNUMBER('Team Setup'!$D$4))),"",'Team Setup'!$D$4+13)</x:f>
      </x:c>
      <x:c r="F200" s="29" t="str">
        <x:f>IF($A200="","",'Team Setup'!$E$23)</x:f>
      </x:c>
      <x:c r="G200" s="29" t="str">
        <x:f>IF($A200="","",IF(OR($E200="",$E200&lt;'Team Setup'!$D$4,$E200&gt;'Team Setup'!$F$4),"No",IF(WEEKDAY($E200,2)&gt;5,"No","Yes")))</x:f>
      </x:c>
      <x:c r="H200" s="29" t="str">
        <x:f>IF($A200="","",IF(OR($G200&lt;&gt;"Yes",$E200=""),"No",IF(COUNTIFS('Time Off'!$A$9:$A$508,$E200,'Time Off'!$C$9:$C$508,$D200,'Time Off'!$D$9:$D$508,$C200)+COUNTIFS('Time Off'!$A$9:$A$508,$E200,'Time Off'!$C$9:$C$508,$D200,'Time Off'!$D$9:$D$508,"All")&gt;0,"Yes","No")))</x:f>
      </x:c>
      <x:c r="I200" s="29" t="str">
        <x:f>IF($A200="","",IF(OR($G200&lt;&gt;"Yes",$H200="Yes"),0,MIN($F200,SUMIFS('Time Off'!$I$9:$I$508,'Time Off'!$G$9:$G$508,$A200,'Time Off'!$H$9:$H$508,$E200))))</x:f>
      </x:c>
      <x:c r="J200" s="29" t="str">
        <x:f>IF($A200="","",IF(OR($G200&lt;&gt;"Yes",$H200="Yes"),0,MAX(0,$F200-$I200)))</x:f>
      </x:c>
    </x:row>
    <x:row r="201">
      <x:c r="A201" s="27" t="str">
        <x:f>IF('Team Setup'!$A$24="","",'Team Setup'!$A$24)</x:f>
      </x:c>
      <x:c r="B201" s="27" t="str">
        <x:f>IF($A201="","",'Team Setup'!$B$24)</x:f>
      </x:c>
      <x:c r="C201" s="27" t="str">
        <x:f>IF($A201="","",'Team Setup'!$C$24)</x:f>
      </x:c>
      <x:c r="D201" s="27" t="str">
        <x:f>IF($A201="","",'Team Setup'!$D$24)</x:f>
      </x:c>
      <x:c r="E201" s="28" t="str">
        <x:f>IF(OR('Team Setup'!$D$4="",NOT(ISNUMBER('Team Setup'!$D$4))),"",'Team Setup'!$D$4+0)</x:f>
      </x:c>
      <x:c r="F201" s="29" t="str">
        <x:f>IF($A201="","",'Team Setup'!$E$24)</x:f>
      </x:c>
      <x:c r="G201" s="29" t="str">
        <x:f>IF($A201="","",IF(OR($E201="",$E201&lt;'Team Setup'!$D$4,$E201&gt;'Team Setup'!$F$4),"No",IF(WEEKDAY($E201,2)&gt;5,"No","Yes")))</x:f>
      </x:c>
      <x:c r="H201" s="29" t="str">
        <x:f>IF($A201="","",IF(OR($G201&lt;&gt;"Yes",$E201=""),"No",IF(COUNTIFS('Time Off'!$A$9:$A$508,$E201,'Time Off'!$C$9:$C$508,$D201,'Time Off'!$D$9:$D$508,$C201)+COUNTIFS('Time Off'!$A$9:$A$508,$E201,'Time Off'!$C$9:$C$508,$D201,'Time Off'!$D$9:$D$508,"All")&gt;0,"Yes","No")))</x:f>
      </x:c>
      <x:c r="I201" s="29" t="str">
        <x:f>IF($A201="","",IF(OR($G201&lt;&gt;"Yes",$H201="Yes"),0,MIN($F201,SUMIFS('Time Off'!$I$9:$I$508,'Time Off'!$G$9:$G$508,$A201,'Time Off'!$H$9:$H$508,$E201))))</x:f>
      </x:c>
      <x:c r="J201" s="29" t="str">
        <x:f>IF($A201="","",IF(OR($G201&lt;&gt;"Yes",$H201="Yes"),0,MAX(0,$F201-$I201)))</x:f>
      </x:c>
    </x:row>
    <x:row r="202">
      <x:c r="A202" s="27" t="str">
        <x:f>IF('Team Setup'!$A$24="","",'Team Setup'!$A$24)</x:f>
      </x:c>
      <x:c r="B202" s="27" t="str">
        <x:f>IF($A202="","",'Team Setup'!$B$24)</x:f>
      </x:c>
      <x:c r="C202" s="27" t="str">
        <x:f>IF($A202="","",'Team Setup'!$C$24)</x:f>
      </x:c>
      <x:c r="D202" s="27" t="str">
        <x:f>IF($A202="","",'Team Setup'!$D$24)</x:f>
      </x:c>
      <x:c r="E202" s="28" t="str">
        <x:f>IF(OR('Team Setup'!$D$4="",NOT(ISNUMBER('Team Setup'!$D$4))),"",'Team Setup'!$D$4+1)</x:f>
      </x:c>
      <x:c r="F202" s="29" t="str">
        <x:f>IF($A202="","",'Team Setup'!$E$24)</x:f>
      </x:c>
      <x:c r="G202" s="29" t="str">
        <x:f>IF($A202="","",IF(OR($E202="",$E202&lt;'Team Setup'!$D$4,$E202&gt;'Team Setup'!$F$4),"No",IF(WEEKDAY($E202,2)&gt;5,"No","Yes")))</x:f>
      </x:c>
      <x:c r="H202" s="29" t="str">
        <x:f>IF($A202="","",IF(OR($G202&lt;&gt;"Yes",$E202=""),"No",IF(COUNTIFS('Time Off'!$A$9:$A$508,$E202,'Time Off'!$C$9:$C$508,$D202,'Time Off'!$D$9:$D$508,$C202)+COUNTIFS('Time Off'!$A$9:$A$508,$E202,'Time Off'!$C$9:$C$508,$D202,'Time Off'!$D$9:$D$508,"All")&gt;0,"Yes","No")))</x:f>
      </x:c>
      <x:c r="I202" s="29" t="str">
        <x:f>IF($A202="","",IF(OR($G202&lt;&gt;"Yes",$H202="Yes"),0,MIN($F202,SUMIFS('Time Off'!$I$9:$I$508,'Time Off'!$G$9:$G$508,$A202,'Time Off'!$H$9:$H$508,$E202))))</x:f>
      </x:c>
      <x:c r="J202" s="29" t="str">
        <x:f>IF($A202="","",IF(OR($G202&lt;&gt;"Yes",$H202="Yes"),0,MAX(0,$F202-$I202)))</x:f>
      </x:c>
    </x:row>
    <x:row r="203">
      <x:c r="A203" s="27" t="str">
        <x:f>IF('Team Setup'!$A$24="","",'Team Setup'!$A$24)</x:f>
      </x:c>
      <x:c r="B203" s="27" t="str">
        <x:f>IF($A203="","",'Team Setup'!$B$24)</x:f>
      </x:c>
      <x:c r="C203" s="27" t="str">
        <x:f>IF($A203="","",'Team Setup'!$C$24)</x:f>
      </x:c>
      <x:c r="D203" s="27" t="str">
        <x:f>IF($A203="","",'Team Setup'!$D$24)</x:f>
      </x:c>
      <x:c r="E203" s="28" t="str">
        <x:f>IF(OR('Team Setup'!$D$4="",NOT(ISNUMBER('Team Setup'!$D$4))),"",'Team Setup'!$D$4+2)</x:f>
      </x:c>
      <x:c r="F203" s="29" t="str">
        <x:f>IF($A203="","",'Team Setup'!$E$24)</x:f>
      </x:c>
      <x:c r="G203" s="29" t="str">
        <x:f>IF($A203="","",IF(OR($E203="",$E203&lt;'Team Setup'!$D$4,$E203&gt;'Team Setup'!$F$4),"No",IF(WEEKDAY($E203,2)&gt;5,"No","Yes")))</x:f>
      </x:c>
      <x:c r="H203" s="29" t="str">
        <x:f>IF($A203="","",IF(OR($G203&lt;&gt;"Yes",$E203=""),"No",IF(COUNTIFS('Time Off'!$A$9:$A$508,$E203,'Time Off'!$C$9:$C$508,$D203,'Time Off'!$D$9:$D$508,$C203)+COUNTIFS('Time Off'!$A$9:$A$508,$E203,'Time Off'!$C$9:$C$508,$D203,'Time Off'!$D$9:$D$508,"All")&gt;0,"Yes","No")))</x:f>
      </x:c>
      <x:c r="I203" s="29" t="str">
        <x:f>IF($A203="","",IF(OR($G203&lt;&gt;"Yes",$H203="Yes"),0,MIN($F203,SUMIFS('Time Off'!$I$9:$I$508,'Time Off'!$G$9:$G$508,$A203,'Time Off'!$H$9:$H$508,$E203))))</x:f>
      </x:c>
      <x:c r="J203" s="29" t="str">
        <x:f>IF($A203="","",IF(OR($G203&lt;&gt;"Yes",$H203="Yes"),0,MAX(0,$F203-$I203)))</x:f>
      </x:c>
    </x:row>
    <x:row r="204">
      <x:c r="A204" s="27" t="str">
        <x:f>IF('Team Setup'!$A$24="","",'Team Setup'!$A$24)</x:f>
      </x:c>
      <x:c r="B204" s="27" t="str">
        <x:f>IF($A204="","",'Team Setup'!$B$24)</x:f>
      </x:c>
      <x:c r="C204" s="27" t="str">
        <x:f>IF($A204="","",'Team Setup'!$C$24)</x:f>
      </x:c>
      <x:c r="D204" s="27" t="str">
        <x:f>IF($A204="","",'Team Setup'!$D$24)</x:f>
      </x:c>
      <x:c r="E204" s="28" t="str">
        <x:f>IF(OR('Team Setup'!$D$4="",NOT(ISNUMBER('Team Setup'!$D$4))),"",'Team Setup'!$D$4+3)</x:f>
      </x:c>
      <x:c r="F204" s="29" t="str">
        <x:f>IF($A204="","",'Team Setup'!$E$24)</x:f>
      </x:c>
      <x:c r="G204" s="29" t="str">
        <x:f>IF($A204="","",IF(OR($E204="",$E204&lt;'Team Setup'!$D$4,$E204&gt;'Team Setup'!$F$4),"No",IF(WEEKDAY($E204,2)&gt;5,"No","Yes")))</x:f>
      </x:c>
      <x:c r="H204" s="29" t="str">
        <x:f>IF($A204="","",IF(OR($G204&lt;&gt;"Yes",$E204=""),"No",IF(COUNTIFS('Time Off'!$A$9:$A$508,$E204,'Time Off'!$C$9:$C$508,$D204,'Time Off'!$D$9:$D$508,$C204)+COUNTIFS('Time Off'!$A$9:$A$508,$E204,'Time Off'!$C$9:$C$508,$D204,'Time Off'!$D$9:$D$508,"All")&gt;0,"Yes","No")))</x:f>
      </x:c>
      <x:c r="I204" s="29" t="str">
        <x:f>IF($A204="","",IF(OR($G204&lt;&gt;"Yes",$H204="Yes"),0,MIN($F204,SUMIFS('Time Off'!$I$9:$I$508,'Time Off'!$G$9:$G$508,$A204,'Time Off'!$H$9:$H$508,$E204))))</x:f>
      </x:c>
      <x:c r="J204" s="29" t="str">
        <x:f>IF($A204="","",IF(OR($G204&lt;&gt;"Yes",$H204="Yes"),0,MAX(0,$F204-$I204)))</x:f>
      </x:c>
    </x:row>
    <x:row r="205">
      <x:c r="A205" s="27" t="str">
        <x:f>IF('Team Setup'!$A$24="","",'Team Setup'!$A$24)</x:f>
      </x:c>
      <x:c r="B205" s="27" t="str">
        <x:f>IF($A205="","",'Team Setup'!$B$24)</x:f>
      </x:c>
      <x:c r="C205" s="27" t="str">
        <x:f>IF($A205="","",'Team Setup'!$C$24)</x:f>
      </x:c>
      <x:c r="D205" s="27" t="str">
        <x:f>IF($A205="","",'Team Setup'!$D$24)</x:f>
      </x:c>
      <x:c r="E205" s="28" t="str">
        <x:f>IF(OR('Team Setup'!$D$4="",NOT(ISNUMBER('Team Setup'!$D$4))),"",'Team Setup'!$D$4+4)</x:f>
      </x:c>
      <x:c r="F205" s="29" t="str">
        <x:f>IF($A205="","",'Team Setup'!$E$24)</x:f>
      </x:c>
      <x:c r="G205" s="29" t="str">
        <x:f>IF($A205="","",IF(OR($E205="",$E205&lt;'Team Setup'!$D$4,$E205&gt;'Team Setup'!$F$4),"No",IF(WEEKDAY($E205,2)&gt;5,"No","Yes")))</x:f>
      </x:c>
      <x:c r="H205" s="29" t="str">
        <x:f>IF($A205="","",IF(OR($G205&lt;&gt;"Yes",$E205=""),"No",IF(COUNTIFS('Time Off'!$A$9:$A$508,$E205,'Time Off'!$C$9:$C$508,$D205,'Time Off'!$D$9:$D$508,$C205)+COUNTIFS('Time Off'!$A$9:$A$508,$E205,'Time Off'!$C$9:$C$508,$D205,'Time Off'!$D$9:$D$508,"All")&gt;0,"Yes","No")))</x:f>
      </x:c>
      <x:c r="I205" s="29" t="str">
        <x:f>IF($A205="","",IF(OR($G205&lt;&gt;"Yes",$H205="Yes"),0,MIN($F205,SUMIFS('Time Off'!$I$9:$I$508,'Time Off'!$G$9:$G$508,$A205,'Time Off'!$H$9:$H$508,$E205))))</x:f>
      </x:c>
      <x:c r="J205" s="29" t="str">
        <x:f>IF($A205="","",IF(OR($G205&lt;&gt;"Yes",$H205="Yes"),0,MAX(0,$F205-$I205)))</x:f>
      </x:c>
    </x:row>
    <x:row r="206">
      <x:c r="A206" s="27" t="str">
        <x:f>IF('Team Setup'!$A$24="","",'Team Setup'!$A$24)</x:f>
      </x:c>
      <x:c r="B206" s="27" t="str">
        <x:f>IF($A206="","",'Team Setup'!$B$24)</x:f>
      </x:c>
      <x:c r="C206" s="27" t="str">
        <x:f>IF($A206="","",'Team Setup'!$C$24)</x:f>
      </x:c>
      <x:c r="D206" s="27" t="str">
        <x:f>IF($A206="","",'Team Setup'!$D$24)</x:f>
      </x:c>
      <x:c r="E206" s="28" t="str">
        <x:f>IF(OR('Team Setup'!$D$4="",NOT(ISNUMBER('Team Setup'!$D$4))),"",'Team Setup'!$D$4+5)</x:f>
      </x:c>
      <x:c r="F206" s="29" t="str">
        <x:f>IF($A206="","",'Team Setup'!$E$24)</x:f>
      </x:c>
      <x:c r="G206" s="29" t="str">
        <x:f>IF($A206="","",IF(OR($E206="",$E206&lt;'Team Setup'!$D$4,$E206&gt;'Team Setup'!$F$4),"No",IF(WEEKDAY($E206,2)&gt;5,"No","Yes")))</x:f>
      </x:c>
      <x:c r="H206" s="29" t="str">
        <x:f>IF($A206="","",IF(OR($G206&lt;&gt;"Yes",$E206=""),"No",IF(COUNTIFS('Time Off'!$A$9:$A$508,$E206,'Time Off'!$C$9:$C$508,$D206,'Time Off'!$D$9:$D$508,$C206)+COUNTIFS('Time Off'!$A$9:$A$508,$E206,'Time Off'!$C$9:$C$508,$D206,'Time Off'!$D$9:$D$508,"All")&gt;0,"Yes","No")))</x:f>
      </x:c>
      <x:c r="I206" s="29" t="str">
        <x:f>IF($A206="","",IF(OR($G206&lt;&gt;"Yes",$H206="Yes"),0,MIN($F206,SUMIFS('Time Off'!$I$9:$I$508,'Time Off'!$G$9:$G$508,$A206,'Time Off'!$H$9:$H$508,$E206))))</x:f>
      </x:c>
      <x:c r="J206" s="29" t="str">
        <x:f>IF($A206="","",IF(OR($G206&lt;&gt;"Yes",$H206="Yes"),0,MAX(0,$F206-$I206)))</x:f>
      </x:c>
    </x:row>
    <x:row r="207">
      <x:c r="A207" s="27" t="str">
        <x:f>IF('Team Setup'!$A$24="","",'Team Setup'!$A$24)</x:f>
      </x:c>
      <x:c r="B207" s="27" t="str">
        <x:f>IF($A207="","",'Team Setup'!$B$24)</x:f>
      </x:c>
      <x:c r="C207" s="27" t="str">
        <x:f>IF($A207="","",'Team Setup'!$C$24)</x:f>
      </x:c>
      <x:c r="D207" s="27" t="str">
        <x:f>IF($A207="","",'Team Setup'!$D$24)</x:f>
      </x:c>
      <x:c r="E207" s="28" t="str">
        <x:f>IF(OR('Team Setup'!$D$4="",NOT(ISNUMBER('Team Setup'!$D$4))),"",'Team Setup'!$D$4+6)</x:f>
      </x:c>
      <x:c r="F207" s="29" t="str">
        <x:f>IF($A207="","",'Team Setup'!$E$24)</x:f>
      </x:c>
      <x:c r="G207" s="29" t="str">
        <x:f>IF($A207="","",IF(OR($E207="",$E207&lt;'Team Setup'!$D$4,$E207&gt;'Team Setup'!$F$4),"No",IF(WEEKDAY($E207,2)&gt;5,"No","Yes")))</x:f>
      </x:c>
      <x:c r="H207" s="29" t="str">
        <x:f>IF($A207="","",IF(OR($G207&lt;&gt;"Yes",$E207=""),"No",IF(COUNTIFS('Time Off'!$A$9:$A$508,$E207,'Time Off'!$C$9:$C$508,$D207,'Time Off'!$D$9:$D$508,$C207)+COUNTIFS('Time Off'!$A$9:$A$508,$E207,'Time Off'!$C$9:$C$508,$D207,'Time Off'!$D$9:$D$508,"All")&gt;0,"Yes","No")))</x:f>
      </x:c>
      <x:c r="I207" s="29" t="str">
        <x:f>IF($A207="","",IF(OR($G207&lt;&gt;"Yes",$H207="Yes"),0,MIN($F207,SUMIFS('Time Off'!$I$9:$I$508,'Time Off'!$G$9:$G$508,$A207,'Time Off'!$H$9:$H$508,$E207))))</x:f>
      </x:c>
      <x:c r="J207" s="29" t="str">
        <x:f>IF($A207="","",IF(OR($G207&lt;&gt;"Yes",$H207="Yes"),0,MAX(0,$F207-$I207)))</x:f>
      </x:c>
    </x:row>
    <x:row r="208">
      <x:c r="A208" s="27" t="str">
        <x:f>IF('Team Setup'!$A$24="","",'Team Setup'!$A$24)</x:f>
      </x:c>
      <x:c r="B208" s="27" t="str">
        <x:f>IF($A208="","",'Team Setup'!$B$24)</x:f>
      </x:c>
      <x:c r="C208" s="27" t="str">
        <x:f>IF($A208="","",'Team Setup'!$C$24)</x:f>
      </x:c>
      <x:c r="D208" s="27" t="str">
        <x:f>IF($A208="","",'Team Setup'!$D$24)</x:f>
      </x:c>
      <x:c r="E208" s="28" t="str">
        <x:f>IF(OR('Team Setup'!$D$4="",NOT(ISNUMBER('Team Setup'!$D$4))),"",'Team Setup'!$D$4+7)</x:f>
      </x:c>
      <x:c r="F208" s="29" t="str">
        <x:f>IF($A208="","",'Team Setup'!$E$24)</x:f>
      </x:c>
      <x:c r="G208" s="29" t="str">
        <x:f>IF($A208="","",IF(OR($E208="",$E208&lt;'Team Setup'!$D$4,$E208&gt;'Team Setup'!$F$4),"No",IF(WEEKDAY($E208,2)&gt;5,"No","Yes")))</x:f>
      </x:c>
      <x:c r="H208" s="29" t="str">
        <x:f>IF($A208="","",IF(OR($G208&lt;&gt;"Yes",$E208=""),"No",IF(COUNTIFS('Time Off'!$A$9:$A$508,$E208,'Time Off'!$C$9:$C$508,$D208,'Time Off'!$D$9:$D$508,$C208)+COUNTIFS('Time Off'!$A$9:$A$508,$E208,'Time Off'!$C$9:$C$508,$D208,'Time Off'!$D$9:$D$508,"All")&gt;0,"Yes","No")))</x:f>
      </x:c>
      <x:c r="I208" s="29" t="str">
        <x:f>IF($A208="","",IF(OR($G208&lt;&gt;"Yes",$H208="Yes"),0,MIN($F208,SUMIFS('Time Off'!$I$9:$I$508,'Time Off'!$G$9:$G$508,$A208,'Time Off'!$H$9:$H$508,$E208))))</x:f>
      </x:c>
      <x:c r="J208" s="29" t="str">
        <x:f>IF($A208="","",IF(OR($G208&lt;&gt;"Yes",$H208="Yes"),0,MAX(0,$F208-$I208)))</x:f>
      </x:c>
    </x:row>
    <x:row r="209">
      <x:c r="A209" s="27" t="str">
        <x:f>IF('Team Setup'!$A$24="","",'Team Setup'!$A$24)</x:f>
      </x:c>
      <x:c r="B209" s="27" t="str">
        <x:f>IF($A209="","",'Team Setup'!$B$24)</x:f>
      </x:c>
      <x:c r="C209" s="27" t="str">
        <x:f>IF($A209="","",'Team Setup'!$C$24)</x:f>
      </x:c>
      <x:c r="D209" s="27" t="str">
        <x:f>IF($A209="","",'Team Setup'!$D$24)</x:f>
      </x:c>
      <x:c r="E209" s="28" t="str">
        <x:f>IF(OR('Team Setup'!$D$4="",NOT(ISNUMBER('Team Setup'!$D$4))),"",'Team Setup'!$D$4+8)</x:f>
      </x:c>
      <x:c r="F209" s="29" t="str">
        <x:f>IF($A209="","",'Team Setup'!$E$24)</x:f>
      </x:c>
      <x:c r="G209" s="29" t="str">
        <x:f>IF($A209="","",IF(OR($E209="",$E209&lt;'Team Setup'!$D$4,$E209&gt;'Team Setup'!$F$4),"No",IF(WEEKDAY($E209,2)&gt;5,"No","Yes")))</x:f>
      </x:c>
      <x:c r="H209" s="29" t="str">
        <x:f>IF($A209="","",IF(OR($G209&lt;&gt;"Yes",$E209=""),"No",IF(COUNTIFS('Time Off'!$A$9:$A$508,$E209,'Time Off'!$C$9:$C$508,$D209,'Time Off'!$D$9:$D$508,$C209)+COUNTIFS('Time Off'!$A$9:$A$508,$E209,'Time Off'!$C$9:$C$508,$D209,'Time Off'!$D$9:$D$508,"All")&gt;0,"Yes","No")))</x:f>
      </x:c>
      <x:c r="I209" s="29" t="str">
        <x:f>IF($A209="","",IF(OR($G209&lt;&gt;"Yes",$H209="Yes"),0,MIN($F209,SUMIFS('Time Off'!$I$9:$I$508,'Time Off'!$G$9:$G$508,$A209,'Time Off'!$H$9:$H$508,$E209))))</x:f>
      </x:c>
      <x:c r="J209" s="29" t="str">
        <x:f>IF($A209="","",IF(OR($G209&lt;&gt;"Yes",$H209="Yes"),0,MAX(0,$F209-$I209)))</x:f>
      </x:c>
    </x:row>
    <x:row r="210">
      <x:c r="A210" s="27" t="str">
        <x:f>IF('Team Setup'!$A$24="","",'Team Setup'!$A$24)</x:f>
      </x:c>
      <x:c r="B210" s="27" t="str">
        <x:f>IF($A210="","",'Team Setup'!$B$24)</x:f>
      </x:c>
      <x:c r="C210" s="27" t="str">
        <x:f>IF($A210="","",'Team Setup'!$C$24)</x:f>
      </x:c>
      <x:c r="D210" s="27" t="str">
        <x:f>IF($A210="","",'Team Setup'!$D$24)</x:f>
      </x:c>
      <x:c r="E210" s="28" t="str">
        <x:f>IF(OR('Team Setup'!$D$4="",NOT(ISNUMBER('Team Setup'!$D$4))),"",'Team Setup'!$D$4+9)</x:f>
      </x:c>
      <x:c r="F210" s="29" t="str">
        <x:f>IF($A210="","",'Team Setup'!$E$24)</x:f>
      </x:c>
      <x:c r="G210" s="29" t="str">
        <x:f>IF($A210="","",IF(OR($E210="",$E210&lt;'Team Setup'!$D$4,$E210&gt;'Team Setup'!$F$4),"No",IF(WEEKDAY($E210,2)&gt;5,"No","Yes")))</x:f>
      </x:c>
      <x:c r="H210" s="29" t="str">
        <x:f>IF($A210="","",IF(OR($G210&lt;&gt;"Yes",$E210=""),"No",IF(COUNTIFS('Time Off'!$A$9:$A$508,$E210,'Time Off'!$C$9:$C$508,$D210,'Time Off'!$D$9:$D$508,$C210)+COUNTIFS('Time Off'!$A$9:$A$508,$E210,'Time Off'!$C$9:$C$508,$D210,'Time Off'!$D$9:$D$508,"All")&gt;0,"Yes","No")))</x:f>
      </x:c>
      <x:c r="I210" s="29" t="str">
        <x:f>IF($A210="","",IF(OR($G210&lt;&gt;"Yes",$H210="Yes"),0,MIN($F210,SUMIFS('Time Off'!$I$9:$I$508,'Time Off'!$G$9:$G$508,$A210,'Time Off'!$H$9:$H$508,$E210))))</x:f>
      </x:c>
      <x:c r="J210" s="29" t="str">
        <x:f>IF($A210="","",IF(OR($G210&lt;&gt;"Yes",$H210="Yes"),0,MAX(0,$F210-$I210)))</x:f>
      </x:c>
    </x:row>
    <x:row r="211">
      <x:c r="A211" s="27" t="str">
        <x:f>IF('Team Setup'!$A$24="","",'Team Setup'!$A$24)</x:f>
      </x:c>
      <x:c r="B211" s="27" t="str">
        <x:f>IF($A211="","",'Team Setup'!$B$24)</x:f>
      </x:c>
      <x:c r="C211" s="27" t="str">
        <x:f>IF($A211="","",'Team Setup'!$C$24)</x:f>
      </x:c>
      <x:c r="D211" s="27" t="str">
        <x:f>IF($A211="","",'Team Setup'!$D$24)</x:f>
      </x:c>
      <x:c r="E211" s="28" t="str">
        <x:f>IF(OR('Team Setup'!$D$4="",NOT(ISNUMBER('Team Setup'!$D$4))),"",'Team Setup'!$D$4+10)</x:f>
      </x:c>
      <x:c r="F211" s="29" t="str">
        <x:f>IF($A211="","",'Team Setup'!$E$24)</x:f>
      </x:c>
      <x:c r="G211" s="29" t="str">
        <x:f>IF($A211="","",IF(OR($E211="",$E211&lt;'Team Setup'!$D$4,$E211&gt;'Team Setup'!$F$4),"No",IF(WEEKDAY($E211,2)&gt;5,"No","Yes")))</x:f>
      </x:c>
      <x:c r="H211" s="29" t="str">
        <x:f>IF($A211="","",IF(OR($G211&lt;&gt;"Yes",$E211=""),"No",IF(COUNTIFS('Time Off'!$A$9:$A$508,$E211,'Time Off'!$C$9:$C$508,$D211,'Time Off'!$D$9:$D$508,$C211)+COUNTIFS('Time Off'!$A$9:$A$508,$E211,'Time Off'!$C$9:$C$508,$D211,'Time Off'!$D$9:$D$508,"All")&gt;0,"Yes","No")))</x:f>
      </x:c>
      <x:c r="I211" s="29" t="str">
        <x:f>IF($A211="","",IF(OR($G211&lt;&gt;"Yes",$H211="Yes"),0,MIN($F211,SUMIFS('Time Off'!$I$9:$I$508,'Time Off'!$G$9:$G$508,$A211,'Time Off'!$H$9:$H$508,$E211))))</x:f>
      </x:c>
      <x:c r="J211" s="29" t="str">
        <x:f>IF($A211="","",IF(OR($G211&lt;&gt;"Yes",$H211="Yes"),0,MAX(0,$F211-$I211)))</x:f>
      </x:c>
    </x:row>
    <x:row r="212">
      <x:c r="A212" s="27" t="str">
        <x:f>IF('Team Setup'!$A$24="","",'Team Setup'!$A$24)</x:f>
      </x:c>
      <x:c r="B212" s="27" t="str">
        <x:f>IF($A212="","",'Team Setup'!$B$24)</x:f>
      </x:c>
      <x:c r="C212" s="27" t="str">
        <x:f>IF($A212="","",'Team Setup'!$C$24)</x:f>
      </x:c>
      <x:c r="D212" s="27" t="str">
        <x:f>IF($A212="","",'Team Setup'!$D$24)</x:f>
      </x:c>
      <x:c r="E212" s="28" t="str">
        <x:f>IF(OR('Team Setup'!$D$4="",NOT(ISNUMBER('Team Setup'!$D$4))),"",'Team Setup'!$D$4+11)</x:f>
      </x:c>
      <x:c r="F212" s="29" t="str">
        <x:f>IF($A212="","",'Team Setup'!$E$24)</x:f>
      </x:c>
      <x:c r="G212" s="29" t="str">
        <x:f>IF($A212="","",IF(OR($E212="",$E212&lt;'Team Setup'!$D$4,$E212&gt;'Team Setup'!$F$4),"No",IF(WEEKDAY($E212,2)&gt;5,"No","Yes")))</x:f>
      </x:c>
      <x:c r="H212" s="29" t="str">
        <x:f>IF($A212="","",IF(OR($G212&lt;&gt;"Yes",$E212=""),"No",IF(COUNTIFS('Time Off'!$A$9:$A$508,$E212,'Time Off'!$C$9:$C$508,$D212,'Time Off'!$D$9:$D$508,$C212)+COUNTIFS('Time Off'!$A$9:$A$508,$E212,'Time Off'!$C$9:$C$508,$D212,'Time Off'!$D$9:$D$508,"All")&gt;0,"Yes","No")))</x:f>
      </x:c>
      <x:c r="I212" s="29" t="str">
        <x:f>IF($A212="","",IF(OR($G212&lt;&gt;"Yes",$H212="Yes"),0,MIN($F212,SUMIFS('Time Off'!$I$9:$I$508,'Time Off'!$G$9:$G$508,$A212,'Time Off'!$H$9:$H$508,$E212))))</x:f>
      </x:c>
      <x:c r="J212" s="29" t="str">
        <x:f>IF($A212="","",IF(OR($G212&lt;&gt;"Yes",$H212="Yes"),0,MAX(0,$F212-$I212)))</x:f>
      </x:c>
    </x:row>
    <x:row r="213">
      <x:c r="A213" s="27" t="str">
        <x:f>IF('Team Setup'!$A$24="","",'Team Setup'!$A$24)</x:f>
      </x:c>
      <x:c r="B213" s="27" t="str">
        <x:f>IF($A213="","",'Team Setup'!$B$24)</x:f>
      </x:c>
      <x:c r="C213" s="27" t="str">
        <x:f>IF($A213="","",'Team Setup'!$C$24)</x:f>
      </x:c>
      <x:c r="D213" s="27" t="str">
        <x:f>IF($A213="","",'Team Setup'!$D$24)</x:f>
      </x:c>
      <x:c r="E213" s="28" t="str">
        <x:f>IF(OR('Team Setup'!$D$4="",NOT(ISNUMBER('Team Setup'!$D$4))),"",'Team Setup'!$D$4+12)</x:f>
      </x:c>
      <x:c r="F213" s="29" t="str">
        <x:f>IF($A213="","",'Team Setup'!$E$24)</x:f>
      </x:c>
      <x:c r="G213" s="29" t="str">
        <x:f>IF($A213="","",IF(OR($E213="",$E213&lt;'Team Setup'!$D$4,$E213&gt;'Team Setup'!$F$4),"No",IF(WEEKDAY($E213,2)&gt;5,"No","Yes")))</x:f>
      </x:c>
      <x:c r="H213" s="29" t="str">
        <x:f>IF($A213="","",IF(OR($G213&lt;&gt;"Yes",$E213=""),"No",IF(COUNTIFS('Time Off'!$A$9:$A$508,$E213,'Time Off'!$C$9:$C$508,$D213,'Time Off'!$D$9:$D$508,$C213)+COUNTIFS('Time Off'!$A$9:$A$508,$E213,'Time Off'!$C$9:$C$508,$D213,'Time Off'!$D$9:$D$508,"All")&gt;0,"Yes","No")))</x:f>
      </x:c>
      <x:c r="I213" s="29" t="str">
        <x:f>IF($A213="","",IF(OR($G213&lt;&gt;"Yes",$H213="Yes"),0,MIN($F213,SUMIFS('Time Off'!$I$9:$I$508,'Time Off'!$G$9:$G$508,$A213,'Time Off'!$H$9:$H$508,$E213))))</x:f>
      </x:c>
      <x:c r="J213" s="29" t="str">
        <x:f>IF($A213="","",IF(OR($G213&lt;&gt;"Yes",$H213="Yes"),0,MAX(0,$F213-$I213)))</x:f>
      </x:c>
    </x:row>
    <x:row r="214">
      <x:c r="A214" s="27" t="str">
        <x:f>IF('Team Setup'!$A$24="","",'Team Setup'!$A$24)</x:f>
      </x:c>
      <x:c r="B214" s="27" t="str">
        <x:f>IF($A214="","",'Team Setup'!$B$24)</x:f>
      </x:c>
      <x:c r="C214" s="27" t="str">
        <x:f>IF($A214="","",'Team Setup'!$C$24)</x:f>
      </x:c>
      <x:c r="D214" s="27" t="str">
        <x:f>IF($A214="","",'Team Setup'!$D$24)</x:f>
      </x:c>
      <x:c r="E214" s="28" t="str">
        <x:f>IF(OR('Team Setup'!$D$4="",NOT(ISNUMBER('Team Setup'!$D$4))),"",'Team Setup'!$D$4+13)</x:f>
      </x:c>
      <x:c r="F214" s="29" t="str">
        <x:f>IF($A214="","",'Team Setup'!$E$24)</x:f>
      </x:c>
      <x:c r="G214" s="29" t="str">
        <x:f>IF($A214="","",IF(OR($E214="",$E214&lt;'Team Setup'!$D$4,$E214&gt;'Team Setup'!$F$4),"No",IF(WEEKDAY($E214,2)&gt;5,"No","Yes")))</x:f>
      </x:c>
      <x:c r="H214" s="29" t="str">
        <x:f>IF($A214="","",IF(OR($G214&lt;&gt;"Yes",$E214=""),"No",IF(COUNTIFS('Time Off'!$A$9:$A$508,$E214,'Time Off'!$C$9:$C$508,$D214,'Time Off'!$D$9:$D$508,$C214)+COUNTIFS('Time Off'!$A$9:$A$508,$E214,'Time Off'!$C$9:$C$508,$D214,'Time Off'!$D$9:$D$508,"All")&gt;0,"Yes","No")))</x:f>
      </x:c>
      <x:c r="I214" s="29" t="str">
        <x:f>IF($A214="","",IF(OR($G214&lt;&gt;"Yes",$H214="Yes"),0,MIN($F214,SUMIFS('Time Off'!$I$9:$I$508,'Time Off'!$G$9:$G$508,$A214,'Time Off'!$H$9:$H$508,$E214))))</x:f>
      </x:c>
      <x:c r="J214" s="29" t="str">
        <x:f>IF($A214="","",IF(OR($G214&lt;&gt;"Yes",$H214="Yes"),0,MAX(0,$F214-$I214)))</x:f>
      </x:c>
    </x:row>
    <x:row r="215">
      <x:c r="A215" s="27" t="str">
        <x:f>IF('Team Setup'!$A$25="","",'Team Setup'!$A$25)</x:f>
      </x:c>
      <x:c r="B215" s="27" t="str">
        <x:f>IF($A215="","",'Team Setup'!$B$25)</x:f>
      </x:c>
      <x:c r="C215" s="27" t="str">
        <x:f>IF($A215="","",'Team Setup'!$C$25)</x:f>
      </x:c>
      <x:c r="D215" s="27" t="str">
        <x:f>IF($A215="","",'Team Setup'!$D$25)</x:f>
      </x:c>
      <x:c r="E215" s="28" t="str">
        <x:f>IF(OR('Team Setup'!$D$4="",NOT(ISNUMBER('Team Setup'!$D$4))),"",'Team Setup'!$D$4+0)</x:f>
      </x:c>
      <x:c r="F215" s="29" t="str">
        <x:f>IF($A215="","",'Team Setup'!$E$25)</x:f>
      </x:c>
      <x:c r="G215" s="29" t="str">
        <x:f>IF($A215="","",IF(OR($E215="",$E215&lt;'Team Setup'!$D$4,$E215&gt;'Team Setup'!$F$4),"No",IF(WEEKDAY($E215,2)&gt;5,"No","Yes")))</x:f>
      </x:c>
      <x:c r="H215" s="29" t="str">
        <x:f>IF($A215="","",IF(OR($G215&lt;&gt;"Yes",$E215=""),"No",IF(COUNTIFS('Time Off'!$A$9:$A$508,$E215,'Time Off'!$C$9:$C$508,$D215,'Time Off'!$D$9:$D$508,$C215)+COUNTIFS('Time Off'!$A$9:$A$508,$E215,'Time Off'!$C$9:$C$508,$D215,'Time Off'!$D$9:$D$508,"All")&gt;0,"Yes","No")))</x:f>
      </x:c>
      <x:c r="I215" s="29" t="str">
        <x:f>IF($A215="","",IF(OR($G215&lt;&gt;"Yes",$H215="Yes"),0,MIN($F215,SUMIFS('Time Off'!$I$9:$I$508,'Time Off'!$G$9:$G$508,$A215,'Time Off'!$H$9:$H$508,$E215))))</x:f>
      </x:c>
      <x:c r="J215" s="29" t="str">
        <x:f>IF($A215="","",IF(OR($G215&lt;&gt;"Yes",$H215="Yes"),0,MAX(0,$F215-$I215)))</x:f>
      </x:c>
    </x:row>
    <x:row r="216">
      <x:c r="A216" s="27" t="str">
        <x:f>IF('Team Setup'!$A$25="","",'Team Setup'!$A$25)</x:f>
      </x:c>
      <x:c r="B216" s="27" t="str">
        <x:f>IF($A216="","",'Team Setup'!$B$25)</x:f>
      </x:c>
      <x:c r="C216" s="27" t="str">
        <x:f>IF($A216="","",'Team Setup'!$C$25)</x:f>
      </x:c>
      <x:c r="D216" s="27" t="str">
        <x:f>IF($A216="","",'Team Setup'!$D$25)</x:f>
      </x:c>
      <x:c r="E216" s="28" t="str">
        <x:f>IF(OR('Team Setup'!$D$4="",NOT(ISNUMBER('Team Setup'!$D$4))),"",'Team Setup'!$D$4+1)</x:f>
      </x:c>
      <x:c r="F216" s="29" t="str">
        <x:f>IF($A216="","",'Team Setup'!$E$25)</x:f>
      </x:c>
      <x:c r="G216" s="29" t="str">
        <x:f>IF($A216="","",IF(OR($E216="",$E216&lt;'Team Setup'!$D$4,$E216&gt;'Team Setup'!$F$4),"No",IF(WEEKDAY($E216,2)&gt;5,"No","Yes")))</x:f>
      </x:c>
      <x:c r="H216" s="29" t="str">
        <x:f>IF($A216="","",IF(OR($G216&lt;&gt;"Yes",$E216=""),"No",IF(COUNTIFS('Time Off'!$A$9:$A$508,$E216,'Time Off'!$C$9:$C$508,$D216,'Time Off'!$D$9:$D$508,$C216)+COUNTIFS('Time Off'!$A$9:$A$508,$E216,'Time Off'!$C$9:$C$508,$D216,'Time Off'!$D$9:$D$508,"All")&gt;0,"Yes","No")))</x:f>
      </x:c>
      <x:c r="I216" s="29" t="str">
        <x:f>IF($A216="","",IF(OR($G216&lt;&gt;"Yes",$H216="Yes"),0,MIN($F216,SUMIFS('Time Off'!$I$9:$I$508,'Time Off'!$G$9:$G$508,$A216,'Time Off'!$H$9:$H$508,$E216))))</x:f>
      </x:c>
      <x:c r="J216" s="29" t="str">
        <x:f>IF($A216="","",IF(OR($G216&lt;&gt;"Yes",$H216="Yes"),0,MAX(0,$F216-$I216)))</x:f>
      </x:c>
    </x:row>
    <x:row r="217">
      <x:c r="A217" s="27" t="str">
        <x:f>IF('Team Setup'!$A$25="","",'Team Setup'!$A$25)</x:f>
      </x:c>
      <x:c r="B217" s="27" t="str">
        <x:f>IF($A217="","",'Team Setup'!$B$25)</x:f>
      </x:c>
      <x:c r="C217" s="27" t="str">
        <x:f>IF($A217="","",'Team Setup'!$C$25)</x:f>
      </x:c>
      <x:c r="D217" s="27" t="str">
        <x:f>IF($A217="","",'Team Setup'!$D$25)</x:f>
      </x:c>
      <x:c r="E217" s="28" t="str">
        <x:f>IF(OR('Team Setup'!$D$4="",NOT(ISNUMBER('Team Setup'!$D$4))),"",'Team Setup'!$D$4+2)</x:f>
      </x:c>
      <x:c r="F217" s="29" t="str">
        <x:f>IF($A217="","",'Team Setup'!$E$25)</x:f>
      </x:c>
      <x:c r="G217" s="29" t="str">
        <x:f>IF($A217="","",IF(OR($E217="",$E217&lt;'Team Setup'!$D$4,$E217&gt;'Team Setup'!$F$4),"No",IF(WEEKDAY($E217,2)&gt;5,"No","Yes")))</x:f>
      </x:c>
      <x:c r="H217" s="29" t="str">
        <x:f>IF($A217="","",IF(OR($G217&lt;&gt;"Yes",$E217=""),"No",IF(COUNTIFS('Time Off'!$A$9:$A$508,$E217,'Time Off'!$C$9:$C$508,$D217,'Time Off'!$D$9:$D$508,$C217)+COUNTIFS('Time Off'!$A$9:$A$508,$E217,'Time Off'!$C$9:$C$508,$D217,'Time Off'!$D$9:$D$508,"All")&gt;0,"Yes","No")))</x:f>
      </x:c>
      <x:c r="I217" s="29" t="str">
        <x:f>IF($A217="","",IF(OR($G217&lt;&gt;"Yes",$H217="Yes"),0,MIN($F217,SUMIFS('Time Off'!$I$9:$I$508,'Time Off'!$G$9:$G$508,$A217,'Time Off'!$H$9:$H$508,$E217))))</x:f>
      </x:c>
      <x:c r="J217" s="29" t="str">
        <x:f>IF($A217="","",IF(OR($G217&lt;&gt;"Yes",$H217="Yes"),0,MAX(0,$F217-$I217)))</x:f>
      </x:c>
    </x:row>
    <x:row r="218">
      <x:c r="A218" s="27" t="str">
        <x:f>IF('Team Setup'!$A$25="","",'Team Setup'!$A$25)</x:f>
      </x:c>
      <x:c r="B218" s="27" t="str">
        <x:f>IF($A218="","",'Team Setup'!$B$25)</x:f>
      </x:c>
      <x:c r="C218" s="27" t="str">
        <x:f>IF($A218="","",'Team Setup'!$C$25)</x:f>
      </x:c>
      <x:c r="D218" s="27" t="str">
        <x:f>IF($A218="","",'Team Setup'!$D$25)</x:f>
      </x:c>
      <x:c r="E218" s="28" t="str">
        <x:f>IF(OR('Team Setup'!$D$4="",NOT(ISNUMBER('Team Setup'!$D$4))),"",'Team Setup'!$D$4+3)</x:f>
      </x:c>
      <x:c r="F218" s="29" t="str">
        <x:f>IF($A218="","",'Team Setup'!$E$25)</x:f>
      </x:c>
      <x:c r="G218" s="29" t="str">
        <x:f>IF($A218="","",IF(OR($E218="",$E218&lt;'Team Setup'!$D$4,$E218&gt;'Team Setup'!$F$4),"No",IF(WEEKDAY($E218,2)&gt;5,"No","Yes")))</x:f>
      </x:c>
      <x:c r="H218" s="29" t="str">
        <x:f>IF($A218="","",IF(OR($G218&lt;&gt;"Yes",$E218=""),"No",IF(COUNTIFS('Time Off'!$A$9:$A$508,$E218,'Time Off'!$C$9:$C$508,$D218,'Time Off'!$D$9:$D$508,$C218)+COUNTIFS('Time Off'!$A$9:$A$508,$E218,'Time Off'!$C$9:$C$508,$D218,'Time Off'!$D$9:$D$508,"All")&gt;0,"Yes","No")))</x:f>
      </x:c>
      <x:c r="I218" s="29" t="str">
        <x:f>IF($A218="","",IF(OR($G218&lt;&gt;"Yes",$H218="Yes"),0,MIN($F218,SUMIFS('Time Off'!$I$9:$I$508,'Time Off'!$G$9:$G$508,$A218,'Time Off'!$H$9:$H$508,$E218))))</x:f>
      </x:c>
      <x:c r="J218" s="29" t="str">
        <x:f>IF($A218="","",IF(OR($G218&lt;&gt;"Yes",$H218="Yes"),0,MAX(0,$F218-$I218)))</x:f>
      </x:c>
    </x:row>
    <x:row r="219">
      <x:c r="A219" s="27" t="str">
        <x:f>IF('Team Setup'!$A$25="","",'Team Setup'!$A$25)</x:f>
      </x:c>
      <x:c r="B219" s="27" t="str">
        <x:f>IF($A219="","",'Team Setup'!$B$25)</x:f>
      </x:c>
      <x:c r="C219" s="27" t="str">
        <x:f>IF($A219="","",'Team Setup'!$C$25)</x:f>
      </x:c>
      <x:c r="D219" s="27" t="str">
        <x:f>IF($A219="","",'Team Setup'!$D$25)</x:f>
      </x:c>
      <x:c r="E219" s="28" t="str">
        <x:f>IF(OR('Team Setup'!$D$4="",NOT(ISNUMBER('Team Setup'!$D$4))),"",'Team Setup'!$D$4+4)</x:f>
      </x:c>
      <x:c r="F219" s="29" t="str">
        <x:f>IF($A219="","",'Team Setup'!$E$25)</x:f>
      </x:c>
      <x:c r="G219" s="29" t="str">
        <x:f>IF($A219="","",IF(OR($E219="",$E219&lt;'Team Setup'!$D$4,$E219&gt;'Team Setup'!$F$4),"No",IF(WEEKDAY($E219,2)&gt;5,"No","Yes")))</x:f>
      </x:c>
      <x:c r="H219" s="29" t="str">
        <x:f>IF($A219="","",IF(OR($G219&lt;&gt;"Yes",$E219=""),"No",IF(COUNTIFS('Time Off'!$A$9:$A$508,$E219,'Time Off'!$C$9:$C$508,$D219,'Time Off'!$D$9:$D$508,$C219)+COUNTIFS('Time Off'!$A$9:$A$508,$E219,'Time Off'!$C$9:$C$508,$D219,'Time Off'!$D$9:$D$508,"All")&gt;0,"Yes","No")))</x:f>
      </x:c>
      <x:c r="I219" s="29" t="str">
        <x:f>IF($A219="","",IF(OR($G219&lt;&gt;"Yes",$H219="Yes"),0,MIN($F219,SUMIFS('Time Off'!$I$9:$I$508,'Time Off'!$G$9:$G$508,$A219,'Time Off'!$H$9:$H$508,$E219))))</x:f>
      </x:c>
      <x:c r="J219" s="29" t="str">
        <x:f>IF($A219="","",IF(OR($G219&lt;&gt;"Yes",$H219="Yes"),0,MAX(0,$F219-$I219)))</x:f>
      </x:c>
    </x:row>
    <x:row r="220">
      <x:c r="A220" s="27" t="str">
        <x:f>IF('Team Setup'!$A$25="","",'Team Setup'!$A$25)</x:f>
      </x:c>
      <x:c r="B220" s="27" t="str">
        <x:f>IF($A220="","",'Team Setup'!$B$25)</x:f>
      </x:c>
      <x:c r="C220" s="27" t="str">
        <x:f>IF($A220="","",'Team Setup'!$C$25)</x:f>
      </x:c>
      <x:c r="D220" s="27" t="str">
        <x:f>IF($A220="","",'Team Setup'!$D$25)</x:f>
      </x:c>
      <x:c r="E220" s="28" t="str">
        <x:f>IF(OR('Team Setup'!$D$4="",NOT(ISNUMBER('Team Setup'!$D$4))),"",'Team Setup'!$D$4+5)</x:f>
      </x:c>
      <x:c r="F220" s="29" t="str">
        <x:f>IF($A220="","",'Team Setup'!$E$25)</x:f>
      </x:c>
      <x:c r="G220" s="29" t="str">
        <x:f>IF($A220="","",IF(OR($E220="",$E220&lt;'Team Setup'!$D$4,$E220&gt;'Team Setup'!$F$4),"No",IF(WEEKDAY($E220,2)&gt;5,"No","Yes")))</x:f>
      </x:c>
      <x:c r="H220" s="29" t="str">
        <x:f>IF($A220="","",IF(OR($G220&lt;&gt;"Yes",$E220=""),"No",IF(COUNTIFS('Time Off'!$A$9:$A$508,$E220,'Time Off'!$C$9:$C$508,$D220,'Time Off'!$D$9:$D$508,$C220)+COUNTIFS('Time Off'!$A$9:$A$508,$E220,'Time Off'!$C$9:$C$508,$D220,'Time Off'!$D$9:$D$508,"All")&gt;0,"Yes","No")))</x:f>
      </x:c>
      <x:c r="I220" s="29" t="str">
        <x:f>IF($A220="","",IF(OR($G220&lt;&gt;"Yes",$H220="Yes"),0,MIN($F220,SUMIFS('Time Off'!$I$9:$I$508,'Time Off'!$G$9:$G$508,$A220,'Time Off'!$H$9:$H$508,$E220))))</x:f>
      </x:c>
      <x:c r="J220" s="29" t="str">
        <x:f>IF($A220="","",IF(OR($G220&lt;&gt;"Yes",$H220="Yes"),0,MAX(0,$F220-$I220)))</x:f>
      </x:c>
    </x:row>
    <x:row r="221">
      <x:c r="A221" s="27" t="str">
        <x:f>IF('Team Setup'!$A$25="","",'Team Setup'!$A$25)</x:f>
      </x:c>
      <x:c r="B221" s="27" t="str">
        <x:f>IF($A221="","",'Team Setup'!$B$25)</x:f>
      </x:c>
      <x:c r="C221" s="27" t="str">
        <x:f>IF($A221="","",'Team Setup'!$C$25)</x:f>
      </x:c>
      <x:c r="D221" s="27" t="str">
        <x:f>IF($A221="","",'Team Setup'!$D$25)</x:f>
      </x:c>
      <x:c r="E221" s="28" t="str">
        <x:f>IF(OR('Team Setup'!$D$4="",NOT(ISNUMBER('Team Setup'!$D$4))),"",'Team Setup'!$D$4+6)</x:f>
      </x:c>
      <x:c r="F221" s="29" t="str">
        <x:f>IF($A221="","",'Team Setup'!$E$25)</x:f>
      </x:c>
      <x:c r="G221" s="29" t="str">
        <x:f>IF($A221="","",IF(OR($E221="",$E221&lt;'Team Setup'!$D$4,$E221&gt;'Team Setup'!$F$4),"No",IF(WEEKDAY($E221,2)&gt;5,"No","Yes")))</x:f>
      </x:c>
      <x:c r="H221" s="29" t="str">
        <x:f>IF($A221="","",IF(OR($G221&lt;&gt;"Yes",$E221=""),"No",IF(COUNTIFS('Time Off'!$A$9:$A$508,$E221,'Time Off'!$C$9:$C$508,$D221,'Time Off'!$D$9:$D$508,$C221)+COUNTIFS('Time Off'!$A$9:$A$508,$E221,'Time Off'!$C$9:$C$508,$D221,'Time Off'!$D$9:$D$508,"All")&gt;0,"Yes","No")))</x:f>
      </x:c>
      <x:c r="I221" s="29" t="str">
        <x:f>IF($A221="","",IF(OR($G221&lt;&gt;"Yes",$H221="Yes"),0,MIN($F221,SUMIFS('Time Off'!$I$9:$I$508,'Time Off'!$G$9:$G$508,$A221,'Time Off'!$H$9:$H$508,$E221))))</x:f>
      </x:c>
      <x:c r="J221" s="29" t="str">
        <x:f>IF($A221="","",IF(OR($G221&lt;&gt;"Yes",$H221="Yes"),0,MAX(0,$F221-$I221)))</x:f>
      </x:c>
    </x:row>
    <x:row r="222">
      <x:c r="A222" s="27" t="str">
        <x:f>IF('Team Setup'!$A$25="","",'Team Setup'!$A$25)</x:f>
      </x:c>
      <x:c r="B222" s="27" t="str">
        <x:f>IF($A222="","",'Team Setup'!$B$25)</x:f>
      </x:c>
      <x:c r="C222" s="27" t="str">
        <x:f>IF($A222="","",'Team Setup'!$C$25)</x:f>
      </x:c>
      <x:c r="D222" s="27" t="str">
        <x:f>IF($A222="","",'Team Setup'!$D$25)</x:f>
      </x:c>
      <x:c r="E222" s="28" t="str">
        <x:f>IF(OR('Team Setup'!$D$4="",NOT(ISNUMBER('Team Setup'!$D$4))),"",'Team Setup'!$D$4+7)</x:f>
      </x:c>
      <x:c r="F222" s="29" t="str">
        <x:f>IF($A222="","",'Team Setup'!$E$25)</x:f>
      </x:c>
      <x:c r="G222" s="29" t="str">
        <x:f>IF($A222="","",IF(OR($E222="",$E222&lt;'Team Setup'!$D$4,$E222&gt;'Team Setup'!$F$4),"No",IF(WEEKDAY($E222,2)&gt;5,"No","Yes")))</x:f>
      </x:c>
      <x:c r="H222" s="29" t="str">
        <x:f>IF($A222="","",IF(OR($G222&lt;&gt;"Yes",$E222=""),"No",IF(COUNTIFS('Time Off'!$A$9:$A$508,$E222,'Time Off'!$C$9:$C$508,$D222,'Time Off'!$D$9:$D$508,$C222)+COUNTIFS('Time Off'!$A$9:$A$508,$E222,'Time Off'!$C$9:$C$508,$D222,'Time Off'!$D$9:$D$508,"All")&gt;0,"Yes","No")))</x:f>
      </x:c>
      <x:c r="I222" s="29" t="str">
        <x:f>IF($A222="","",IF(OR($G222&lt;&gt;"Yes",$H222="Yes"),0,MIN($F222,SUMIFS('Time Off'!$I$9:$I$508,'Time Off'!$G$9:$G$508,$A222,'Time Off'!$H$9:$H$508,$E222))))</x:f>
      </x:c>
      <x:c r="J222" s="29" t="str">
        <x:f>IF($A222="","",IF(OR($G222&lt;&gt;"Yes",$H222="Yes"),0,MAX(0,$F222-$I222)))</x:f>
      </x:c>
    </x:row>
    <x:row r="223">
      <x:c r="A223" s="27" t="str">
        <x:f>IF('Team Setup'!$A$25="","",'Team Setup'!$A$25)</x:f>
      </x:c>
      <x:c r="B223" s="27" t="str">
        <x:f>IF($A223="","",'Team Setup'!$B$25)</x:f>
      </x:c>
      <x:c r="C223" s="27" t="str">
        <x:f>IF($A223="","",'Team Setup'!$C$25)</x:f>
      </x:c>
      <x:c r="D223" s="27" t="str">
        <x:f>IF($A223="","",'Team Setup'!$D$25)</x:f>
      </x:c>
      <x:c r="E223" s="28" t="str">
        <x:f>IF(OR('Team Setup'!$D$4="",NOT(ISNUMBER('Team Setup'!$D$4))),"",'Team Setup'!$D$4+8)</x:f>
      </x:c>
      <x:c r="F223" s="29" t="str">
        <x:f>IF($A223="","",'Team Setup'!$E$25)</x:f>
      </x:c>
      <x:c r="G223" s="29" t="str">
        <x:f>IF($A223="","",IF(OR($E223="",$E223&lt;'Team Setup'!$D$4,$E223&gt;'Team Setup'!$F$4),"No",IF(WEEKDAY($E223,2)&gt;5,"No","Yes")))</x:f>
      </x:c>
      <x:c r="H223" s="29" t="str">
        <x:f>IF($A223="","",IF(OR($G223&lt;&gt;"Yes",$E223=""),"No",IF(COUNTIFS('Time Off'!$A$9:$A$508,$E223,'Time Off'!$C$9:$C$508,$D223,'Time Off'!$D$9:$D$508,$C223)+COUNTIFS('Time Off'!$A$9:$A$508,$E223,'Time Off'!$C$9:$C$508,$D223,'Time Off'!$D$9:$D$508,"All")&gt;0,"Yes","No")))</x:f>
      </x:c>
      <x:c r="I223" s="29" t="str">
        <x:f>IF($A223="","",IF(OR($G223&lt;&gt;"Yes",$H223="Yes"),0,MIN($F223,SUMIFS('Time Off'!$I$9:$I$508,'Time Off'!$G$9:$G$508,$A223,'Time Off'!$H$9:$H$508,$E223))))</x:f>
      </x:c>
      <x:c r="J223" s="29" t="str">
        <x:f>IF($A223="","",IF(OR($G223&lt;&gt;"Yes",$H223="Yes"),0,MAX(0,$F223-$I223)))</x:f>
      </x:c>
    </x:row>
    <x:row r="224">
      <x:c r="A224" s="27" t="str">
        <x:f>IF('Team Setup'!$A$25="","",'Team Setup'!$A$25)</x:f>
      </x:c>
      <x:c r="B224" s="27" t="str">
        <x:f>IF($A224="","",'Team Setup'!$B$25)</x:f>
      </x:c>
      <x:c r="C224" s="27" t="str">
        <x:f>IF($A224="","",'Team Setup'!$C$25)</x:f>
      </x:c>
      <x:c r="D224" s="27" t="str">
        <x:f>IF($A224="","",'Team Setup'!$D$25)</x:f>
      </x:c>
      <x:c r="E224" s="28" t="str">
        <x:f>IF(OR('Team Setup'!$D$4="",NOT(ISNUMBER('Team Setup'!$D$4))),"",'Team Setup'!$D$4+9)</x:f>
      </x:c>
      <x:c r="F224" s="29" t="str">
        <x:f>IF($A224="","",'Team Setup'!$E$25)</x:f>
      </x:c>
      <x:c r="G224" s="29" t="str">
        <x:f>IF($A224="","",IF(OR($E224="",$E224&lt;'Team Setup'!$D$4,$E224&gt;'Team Setup'!$F$4),"No",IF(WEEKDAY($E224,2)&gt;5,"No","Yes")))</x:f>
      </x:c>
      <x:c r="H224" s="29" t="str">
        <x:f>IF($A224="","",IF(OR($G224&lt;&gt;"Yes",$E224=""),"No",IF(COUNTIFS('Time Off'!$A$9:$A$508,$E224,'Time Off'!$C$9:$C$508,$D224,'Time Off'!$D$9:$D$508,$C224)+COUNTIFS('Time Off'!$A$9:$A$508,$E224,'Time Off'!$C$9:$C$508,$D224,'Time Off'!$D$9:$D$508,"All")&gt;0,"Yes","No")))</x:f>
      </x:c>
      <x:c r="I224" s="29" t="str">
        <x:f>IF($A224="","",IF(OR($G224&lt;&gt;"Yes",$H224="Yes"),0,MIN($F224,SUMIFS('Time Off'!$I$9:$I$508,'Time Off'!$G$9:$G$508,$A224,'Time Off'!$H$9:$H$508,$E224))))</x:f>
      </x:c>
      <x:c r="J224" s="29" t="str">
        <x:f>IF($A224="","",IF(OR($G224&lt;&gt;"Yes",$H224="Yes"),0,MAX(0,$F224-$I224)))</x:f>
      </x:c>
    </x:row>
    <x:row r="225">
      <x:c r="A225" s="27" t="str">
        <x:f>IF('Team Setup'!$A$25="","",'Team Setup'!$A$25)</x:f>
      </x:c>
      <x:c r="B225" s="27" t="str">
        <x:f>IF($A225="","",'Team Setup'!$B$25)</x:f>
      </x:c>
      <x:c r="C225" s="27" t="str">
        <x:f>IF($A225="","",'Team Setup'!$C$25)</x:f>
      </x:c>
      <x:c r="D225" s="27" t="str">
        <x:f>IF($A225="","",'Team Setup'!$D$25)</x:f>
      </x:c>
      <x:c r="E225" s="28" t="str">
        <x:f>IF(OR('Team Setup'!$D$4="",NOT(ISNUMBER('Team Setup'!$D$4))),"",'Team Setup'!$D$4+10)</x:f>
      </x:c>
      <x:c r="F225" s="29" t="str">
        <x:f>IF($A225="","",'Team Setup'!$E$25)</x:f>
      </x:c>
      <x:c r="G225" s="29" t="str">
        <x:f>IF($A225="","",IF(OR($E225="",$E225&lt;'Team Setup'!$D$4,$E225&gt;'Team Setup'!$F$4),"No",IF(WEEKDAY($E225,2)&gt;5,"No","Yes")))</x:f>
      </x:c>
      <x:c r="H225" s="29" t="str">
        <x:f>IF($A225="","",IF(OR($G225&lt;&gt;"Yes",$E225=""),"No",IF(COUNTIFS('Time Off'!$A$9:$A$508,$E225,'Time Off'!$C$9:$C$508,$D225,'Time Off'!$D$9:$D$508,$C225)+COUNTIFS('Time Off'!$A$9:$A$508,$E225,'Time Off'!$C$9:$C$508,$D225,'Time Off'!$D$9:$D$508,"All")&gt;0,"Yes","No")))</x:f>
      </x:c>
      <x:c r="I225" s="29" t="str">
        <x:f>IF($A225="","",IF(OR($G225&lt;&gt;"Yes",$H225="Yes"),0,MIN($F225,SUMIFS('Time Off'!$I$9:$I$508,'Time Off'!$G$9:$G$508,$A225,'Time Off'!$H$9:$H$508,$E225))))</x:f>
      </x:c>
      <x:c r="J225" s="29" t="str">
        <x:f>IF($A225="","",IF(OR($G225&lt;&gt;"Yes",$H225="Yes"),0,MAX(0,$F225-$I225)))</x:f>
      </x:c>
    </x:row>
    <x:row r="226">
      <x:c r="A226" s="27" t="str">
        <x:f>IF('Team Setup'!$A$25="","",'Team Setup'!$A$25)</x:f>
      </x:c>
      <x:c r="B226" s="27" t="str">
        <x:f>IF($A226="","",'Team Setup'!$B$25)</x:f>
      </x:c>
      <x:c r="C226" s="27" t="str">
        <x:f>IF($A226="","",'Team Setup'!$C$25)</x:f>
      </x:c>
      <x:c r="D226" s="27" t="str">
        <x:f>IF($A226="","",'Team Setup'!$D$25)</x:f>
      </x:c>
      <x:c r="E226" s="28" t="str">
        <x:f>IF(OR('Team Setup'!$D$4="",NOT(ISNUMBER('Team Setup'!$D$4))),"",'Team Setup'!$D$4+11)</x:f>
      </x:c>
      <x:c r="F226" s="29" t="str">
        <x:f>IF($A226="","",'Team Setup'!$E$25)</x:f>
      </x:c>
      <x:c r="G226" s="29" t="str">
        <x:f>IF($A226="","",IF(OR($E226="",$E226&lt;'Team Setup'!$D$4,$E226&gt;'Team Setup'!$F$4),"No",IF(WEEKDAY($E226,2)&gt;5,"No","Yes")))</x:f>
      </x:c>
      <x:c r="H226" s="29" t="str">
        <x:f>IF($A226="","",IF(OR($G226&lt;&gt;"Yes",$E226=""),"No",IF(COUNTIFS('Time Off'!$A$9:$A$508,$E226,'Time Off'!$C$9:$C$508,$D226,'Time Off'!$D$9:$D$508,$C226)+COUNTIFS('Time Off'!$A$9:$A$508,$E226,'Time Off'!$C$9:$C$508,$D226,'Time Off'!$D$9:$D$508,"All")&gt;0,"Yes","No")))</x:f>
      </x:c>
      <x:c r="I226" s="29" t="str">
        <x:f>IF($A226="","",IF(OR($G226&lt;&gt;"Yes",$H226="Yes"),0,MIN($F226,SUMIFS('Time Off'!$I$9:$I$508,'Time Off'!$G$9:$G$508,$A226,'Time Off'!$H$9:$H$508,$E226))))</x:f>
      </x:c>
      <x:c r="J226" s="29" t="str">
        <x:f>IF($A226="","",IF(OR($G226&lt;&gt;"Yes",$H226="Yes"),0,MAX(0,$F226-$I226)))</x:f>
      </x:c>
    </x:row>
    <x:row r="227">
      <x:c r="A227" s="27" t="str">
        <x:f>IF('Team Setup'!$A$25="","",'Team Setup'!$A$25)</x:f>
      </x:c>
      <x:c r="B227" s="27" t="str">
        <x:f>IF($A227="","",'Team Setup'!$B$25)</x:f>
      </x:c>
      <x:c r="C227" s="27" t="str">
        <x:f>IF($A227="","",'Team Setup'!$C$25)</x:f>
      </x:c>
      <x:c r="D227" s="27" t="str">
        <x:f>IF($A227="","",'Team Setup'!$D$25)</x:f>
      </x:c>
      <x:c r="E227" s="28" t="str">
        <x:f>IF(OR('Team Setup'!$D$4="",NOT(ISNUMBER('Team Setup'!$D$4))),"",'Team Setup'!$D$4+12)</x:f>
      </x:c>
      <x:c r="F227" s="29" t="str">
        <x:f>IF($A227="","",'Team Setup'!$E$25)</x:f>
      </x:c>
      <x:c r="G227" s="29" t="str">
        <x:f>IF($A227="","",IF(OR($E227="",$E227&lt;'Team Setup'!$D$4,$E227&gt;'Team Setup'!$F$4),"No",IF(WEEKDAY($E227,2)&gt;5,"No","Yes")))</x:f>
      </x:c>
      <x:c r="H227" s="29" t="str">
        <x:f>IF($A227="","",IF(OR($G227&lt;&gt;"Yes",$E227=""),"No",IF(COUNTIFS('Time Off'!$A$9:$A$508,$E227,'Time Off'!$C$9:$C$508,$D227,'Time Off'!$D$9:$D$508,$C227)+COUNTIFS('Time Off'!$A$9:$A$508,$E227,'Time Off'!$C$9:$C$508,$D227,'Time Off'!$D$9:$D$508,"All")&gt;0,"Yes","No")))</x:f>
      </x:c>
      <x:c r="I227" s="29" t="str">
        <x:f>IF($A227="","",IF(OR($G227&lt;&gt;"Yes",$H227="Yes"),0,MIN($F227,SUMIFS('Time Off'!$I$9:$I$508,'Time Off'!$G$9:$G$508,$A227,'Time Off'!$H$9:$H$508,$E227))))</x:f>
      </x:c>
      <x:c r="J227" s="29" t="str">
        <x:f>IF($A227="","",IF(OR($G227&lt;&gt;"Yes",$H227="Yes"),0,MAX(0,$F227-$I227)))</x:f>
      </x:c>
    </x:row>
    <x:row r="228">
      <x:c r="A228" s="27" t="str">
        <x:f>IF('Team Setup'!$A$25="","",'Team Setup'!$A$25)</x:f>
      </x:c>
      <x:c r="B228" s="27" t="str">
        <x:f>IF($A228="","",'Team Setup'!$B$25)</x:f>
      </x:c>
      <x:c r="C228" s="27" t="str">
        <x:f>IF($A228="","",'Team Setup'!$C$25)</x:f>
      </x:c>
      <x:c r="D228" s="27" t="str">
        <x:f>IF($A228="","",'Team Setup'!$D$25)</x:f>
      </x:c>
      <x:c r="E228" s="28" t="str">
        <x:f>IF(OR('Team Setup'!$D$4="",NOT(ISNUMBER('Team Setup'!$D$4))),"",'Team Setup'!$D$4+13)</x:f>
      </x:c>
      <x:c r="F228" s="29" t="str">
        <x:f>IF($A228="","",'Team Setup'!$E$25)</x:f>
      </x:c>
      <x:c r="G228" s="29" t="str">
        <x:f>IF($A228="","",IF(OR($E228="",$E228&lt;'Team Setup'!$D$4,$E228&gt;'Team Setup'!$F$4),"No",IF(WEEKDAY($E228,2)&gt;5,"No","Yes")))</x:f>
      </x:c>
      <x:c r="H228" s="29" t="str">
        <x:f>IF($A228="","",IF(OR($G228&lt;&gt;"Yes",$E228=""),"No",IF(COUNTIFS('Time Off'!$A$9:$A$508,$E228,'Time Off'!$C$9:$C$508,$D228,'Time Off'!$D$9:$D$508,$C228)+COUNTIFS('Time Off'!$A$9:$A$508,$E228,'Time Off'!$C$9:$C$508,$D228,'Time Off'!$D$9:$D$508,"All")&gt;0,"Yes","No")))</x:f>
      </x:c>
      <x:c r="I228" s="29" t="str">
        <x:f>IF($A228="","",IF(OR($G228&lt;&gt;"Yes",$H228="Yes"),0,MIN($F228,SUMIFS('Time Off'!$I$9:$I$508,'Time Off'!$G$9:$G$508,$A228,'Time Off'!$H$9:$H$508,$E228))))</x:f>
      </x:c>
      <x:c r="J228" s="29" t="str">
        <x:f>IF($A228="","",IF(OR($G228&lt;&gt;"Yes",$H228="Yes"),0,MAX(0,$F228-$I228)))</x:f>
      </x:c>
    </x:row>
    <x:row r="229">
      <x:c r="A229" s="27" t="str">
        <x:f>IF('Team Setup'!$A$26="","",'Team Setup'!$A$26)</x:f>
      </x:c>
      <x:c r="B229" s="27" t="str">
        <x:f>IF($A229="","",'Team Setup'!$B$26)</x:f>
      </x:c>
      <x:c r="C229" s="27" t="str">
        <x:f>IF($A229="","",'Team Setup'!$C$26)</x:f>
      </x:c>
      <x:c r="D229" s="27" t="str">
        <x:f>IF($A229="","",'Team Setup'!$D$26)</x:f>
      </x:c>
      <x:c r="E229" s="28" t="str">
        <x:f>IF(OR('Team Setup'!$D$4="",NOT(ISNUMBER('Team Setup'!$D$4))),"",'Team Setup'!$D$4+0)</x:f>
      </x:c>
      <x:c r="F229" s="29" t="str">
        <x:f>IF($A229="","",'Team Setup'!$E$26)</x:f>
      </x:c>
      <x:c r="G229" s="29" t="str">
        <x:f>IF($A229="","",IF(OR($E229="",$E229&lt;'Team Setup'!$D$4,$E229&gt;'Team Setup'!$F$4),"No",IF(WEEKDAY($E229,2)&gt;5,"No","Yes")))</x:f>
      </x:c>
      <x:c r="H229" s="29" t="str">
        <x:f>IF($A229="","",IF(OR($G229&lt;&gt;"Yes",$E229=""),"No",IF(COUNTIFS('Time Off'!$A$9:$A$508,$E229,'Time Off'!$C$9:$C$508,$D229,'Time Off'!$D$9:$D$508,$C229)+COUNTIFS('Time Off'!$A$9:$A$508,$E229,'Time Off'!$C$9:$C$508,$D229,'Time Off'!$D$9:$D$508,"All")&gt;0,"Yes","No")))</x:f>
      </x:c>
      <x:c r="I229" s="29" t="str">
        <x:f>IF($A229="","",IF(OR($G229&lt;&gt;"Yes",$H229="Yes"),0,MIN($F229,SUMIFS('Time Off'!$I$9:$I$508,'Time Off'!$G$9:$G$508,$A229,'Time Off'!$H$9:$H$508,$E229))))</x:f>
      </x:c>
      <x:c r="J229" s="29" t="str">
        <x:f>IF($A229="","",IF(OR($G229&lt;&gt;"Yes",$H229="Yes"),0,MAX(0,$F229-$I229)))</x:f>
      </x:c>
    </x:row>
    <x:row r="230">
      <x:c r="A230" s="27" t="str">
        <x:f>IF('Team Setup'!$A$26="","",'Team Setup'!$A$26)</x:f>
      </x:c>
      <x:c r="B230" s="27" t="str">
        <x:f>IF($A230="","",'Team Setup'!$B$26)</x:f>
      </x:c>
      <x:c r="C230" s="27" t="str">
        <x:f>IF($A230="","",'Team Setup'!$C$26)</x:f>
      </x:c>
      <x:c r="D230" s="27" t="str">
        <x:f>IF($A230="","",'Team Setup'!$D$26)</x:f>
      </x:c>
      <x:c r="E230" s="28" t="str">
        <x:f>IF(OR('Team Setup'!$D$4="",NOT(ISNUMBER('Team Setup'!$D$4))),"",'Team Setup'!$D$4+1)</x:f>
      </x:c>
      <x:c r="F230" s="29" t="str">
        <x:f>IF($A230="","",'Team Setup'!$E$26)</x:f>
      </x:c>
      <x:c r="G230" s="29" t="str">
        <x:f>IF($A230="","",IF(OR($E230="",$E230&lt;'Team Setup'!$D$4,$E230&gt;'Team Setup'!$F$4),"No",IF(WEEKDAY($E230,2)&gt;5,"No","Yes")))</x:f>
      </x:c>
      <x:c r="H230" s="29" t="str">
        <x:f>IF($A230="","",IF(OR($G230&lt;&gt;"Yes",$E230=""),"No",IF(COUNTIFS('Time Off'!$A$9:$A$508,$E230,'Time Off'!$C$9:$C$508,$D230,'Time Off'!$D$9:$D$508,$C230)+COUNTIFS('Time Off'!$A$9:$A$508,$E230,'Time Off'!$C$9:$C$508,$D230,'Time Off'!$D$9:$D$508,"All")&gt;0,"Yes","No")))</x:f>
      </x:c>
      <x:c r="I230" s="29" t="str">
        <x:f>IF($A230="","",IF(OR($G230&lt;&gt;"Yes",$H230="Yes"),0,MIN($F230,SUMIFS('Time Off'!$I$9:$I$508,'Time Off'!$G$9:$G$508,$A230,'Time Off'!$H$9:$H$508,$E230))))</x:f>
      </x:c>
      <x:c r="J230" s="29" t="str">
        <x:f>IF($A230="","",IF(OR($G230&lt;&gt;"Yes",$H230="Yes"),0,MAX(0,$F230-$I230)))</x:f>
      </x:c>
    </x:row>
    <x:row r="231">
      <x:c r="A231" s="27" t="str">
        <x:f>IF('Team Setup'!$A$26="","",'Team Setup'!$A$26)</x:f>
      </x:c>
      <x:c r="B231" s="27" t="str">
        <x:f>IF($A231="","",'Team Setup'!$B$26)</x:f>
      </x:c>
      <x:c r="C231" s="27" t="str">
        <x:f>IF($A231="","",'Team Setup'!$C$26)</x:f>
      </x:c>
      <x:c r="D231" s="27" t="str">
        <x:f>IF($A231="","",'Team Setup'!$D$26)</x:f>
      </x:c>
      <x:c r="E231" s="28" t="str">
        <x:f>IF(OR('Team Setup'!$D$4="",NOT(ISNUMBER('Team Setup'!$D$4))),"",'Team Setup'!$D$4+2)</x:f>
      </x:c>
      <x:c r="F231" s="29" t="str">
        <x:f>IF($A231="","",'Team Setup'!$E$26)</x:f>
      </x:c>
      <x:c r="G231" s="29" t="str">
        <x:f>IF($A231="","",IF(OR($E231="",$E231&lt;'Team Setup'!$D$4,$E231&gt;'Team Setup'!$F$4),"No",IF(WEEKDAY($E231,2)&gt;5,"No","Yes")))</x:f>
      </x:c>
      <x:c r="H231" s="29" t="str">
        <x:f>IF($A231="","",IF(OR($G231&lt;&gt;"Yes",$E231=""),"No",IF(COUNTIFS('Time Off'!$A$9:$A$508,$E231,'Time Off'!$C$9:$C$508,$D231,'Time Off'!$D$9:$D$508,$C231)+COUNTIFS('Time Off'!$A$9:$A$508,$E231,'Time Off'!$C$9:$C$508,$D231,'Time Off'!$D$9:$D$508,"All")&gt;0,"Yes","No")))</x:f>
      </x:c>
      <x:c r="I231" s="29" t="str">
        <x:f>IF($A231="","",IF(OR($G231&lt;&gt;"Yes",$H231="Yes"),0,MIN($F231,SUMIFS('Time Off'!$I$9:$I$508,'Time Off'!$G$9:$G$508,$A231,'Time Off'!$H$9:$H$508,$E231))))</x:f>
      </x:c>
      <x:c r="J231" s="29" t="str">
        <x:f>IF($A231="","",IF(OR($G231&lt;&gt;"Yes",$H231="Yes"),0,MAX(0,$F231-$I231)))</x:f>
      </x:c>
    </x:row>
    <x:row r="232">
      <x:c r="A232" s="27" t="str">
        <x:f>IF('Team Setup'!$A$26="","",'Team Setup'!$A$26)</x:f>
      </x:c>
      <x:c r="B232" s="27" t="str">
        <x:f>IF($A232="","",'Team Setup'!$B$26)</x:f>
      </x:c>
      <x:c r="C232" s="27" t="str">
        <x:f>IF($A232="","",'Team Setup'!$C$26)</x:f>
      </x:c>
      <x:c r="D232" s="27" t="str">
        <x:f>IF($A232="","",'Team Setup'!$D$26)</x:f>
      </x:c>
      <x:c r="E232" s="28" t="str">
        <x:f>IF(OR('Team Setup'!$D$4="",NOT(ISNUMBER('Team Setup'!$D$4))),"",'Team Setup'!$D$4+3)</x:f>
      </x:c>
      <x:c r="F232" s="29" t="str">
        <x:f>IF($A232="","",'Team Setup'!$E$26)</x:f>
      </x:c>
      <x:c r="G232" s="29" t="str">
        <x:f>IF($A232="","",IF(OR($E232="",$E232&lt;'Team Setup'!$D$4,$E232&gt;'Team Setup'!$F$4),"No",IF(WEEKDAY($E232,2)&gt;5,"No","Yes")))</x:f>
      </x:c>
      <x:c r="H232" s="29" t="str">
        <x:f>IF($A232="","",IF(OR($G232&lt;&gt;"Yes",$E232=""),"No",IF(COUNTIFS('Time Off'!$A$9:$A$508,$E232,'Time Off'!$C$9:$C$508,$D232,'Time Off'!$D$9:$D$508,$C232)+COUNTIFS('Time Off'!$A$9:$A$508,$E232,'Time Off'!$C$9:$C$508,$D232,'Time Off'!$D$9:$D$508,"All")&gt;0,"Yes","No")))</x:f>
      </x:c>
      <x:c r="I232" s="29" t="str">
        <x:f>IF($A232="","",IF(OR($G232&lt;&gt;"Yes",$H232="Yes"),0,MIN($F232,SUMIFS('Time Off'!$I$9:$I$508,'Time Off'!$G$9:$G$508,$A232,'Time Off'!$H$9:$H$508,$E232))))</x:f>
      </x:c>
      <x:c r="J232" s="29" t="str">
        <x:f>IF($A232="","",IF(OR($G232&lt;&gt;"Yes",$H232="Yes"),0,MAX(0,$F232-$I232)))</x:f>
      </x:c>
    </x:row>
    <x:row r="233">
      <x:c r="A233" s="27" t="str">
        <x:f>IF('Team Setup'!$A$26="","",'Team Setup'!$A$26)</x:f>
      </x:c>
      <x:c r="B233" s="27" t="str">
        <x:f>IF($A233="","",'Team Setup'!$B$26)</x:f>
      </x:c>
      <x:c r="C233" s="27" t="str">
        <x:f>IF($A233="","",'Team Setup'!$C$26)</x:f>
      </x:c>
      <x:c r="D233" s="27" t="str">
        <x:f>IF($A233="","",'Team Setup'!$D$26)</x:f>
      </x:c>
      <x:c r="E233" s="28" t="str">
        <x:f>IF(OR('Team Setup'!$D$4="",NOT(ISNUMBER('Team Setup'!$D$4))),"",'Team Setup'!$D$4+4)</x:f>
      </x:c>
      <x:c r="F233" s="29" t="str">
        <x:f>IF($A233="","",'Team Setup'!$E$26)</x:f>
      </x:c>
      <x:c r="G233" s="29" t="str">
        <x:f>IF($A233="","",IF(OR($E233="",$E233&lt;'Team Setup'!$D$4,$E233&gt;'Team Setup'!$F$4),"No",IF(WEEKDAY($E233,2)&gt;5,"No","Yes")))</x:f>
      </x:c>
      <x:c r="H233" s="29" t="str">
        <x:f>IF($A233="","",IF(OR($G233&lt;&gt;"Yes",$E233=""),"No",IF(COUNTIFS('Time Off'!$A$9:$A$508,$E233,'Time Off'!$C$9:$C$508,$D233,'Time Off'!$D$9:$D$508,$C233)+COUNTIFS('Time Off'!$A$9:$A$508,$E233,'Time Off'!$C$9:$C$508,$D233,'Time Off'!$D$9:$D$508,"All")&gt;0,"Yes","No")))</x:f>
      </x:c>
      <x:c r="I233" s="29" t="str">
        <x:f>IF($A233="","",IF(OR($G233&lt;&gt;"Yes",$H233="Yes"),0,MIN($F233,SUMIFS('Time Off'!$I$9:$I$508,'Time Off'!$G$9:$G$508,$A233,'Time Off'!$H$9:$H$508,$E233))))</x:f>
      </x:c>
      <x:c r="J233" s="29" t="str">
        <x:f>IF($A233="","",IF(OR($G233&lt;&gt;"Yes",$H233="Yes"),0,MAX(0,$F233-$I233)))</x:f>
      </x:c>
    </x:row>
    <x:row r="234">
      <x:c r="A234" s="27" t="str">
        <x:f>IF('Team Setup'!$A$26="","",'Team Setup'!$A$26)</x:f>
      </x:c>
      <x:c r="B234" s="27" t="str">
        <x:f>IF($A234="","",'Team Setup'!$B$26)</x:f>
      </x:c>
      <x:c r="C234" s="27" t="str">
        <x:f>IF($A234="","",'Team Setup'!$C$26)</x:f>
      </x:c>
      <x:c r="D234" s="27" t="str">
        <x:f>IF($A234="","",'Team Setup'!$D$26)</x:f>
      </x:c>
      <x:c r="E234" s="28" t="str">
        <x:f>IF(OR('Team Setup'!$D$4="",NOT(ISNUMBER('Team Setup'!$D$4))),"",'Team Setup'!$D$4+5)</x:f>
      </x:c>
      <x:c r="F234" s="29" t="str">
        <x:f>IF($A234="","",'Team Setup'!$E$26)</x:f>
      </x:c>
      <x:c r="G234" s="29" t="str">
        <x:f>IF($A234="","",IF(OR($E234="",$E234&lt;'Team Setup'!$D$4,$E234&gt;'Team Setup'!$F$4),"No",IF(WEEKDAY($E234,2)&gt;5,"No","Yes")))</x:f>
      </x:c>
      <x:c r="H234" s="29" t="str">
        <x:f>IF($A234="","",IF(OR($G234&lt;&gt;"Yes",$E234=""),"No",IF(COUNTIFS('Time Off'!$A$9:$A$508,$E234,'Time Off'!$C$9:$C$508,$D234,'Time Off'!$D$9:$D$508,$C234)+COUNTIFS('Time Off'!$A$9:$A$508,$E234,'Time Off'!$C$9:$C$508,$D234,'Time Off'!$D$9:$D$508,"All")&gt;0,"Yes","No")))</x:f>
      </x:c>
      <x:c r="I234" s="29" t="str">
        <x:f>IF($A234="","",IF(OR($G234&lt;&gt;"Yes",$H234="Yes"),0,MIN($F234,SUMIFS('Time Off'!$I$9:$I$508,'Time Off'!$G$9:$G$508,$A234,'Time Off'!$H$9:$H$508,$E234))))</x:f>
      </x:c>
      <x:c r="J234" s="29" t="str">
        <x:f>IF($A234="","",IF(OR($G234&lt;&gt;"Yes",$H234="Yes"),0,MAX(0,$F234-$I234)))</x:f>
      </x:c>
    </x:row>
    <x:row r="235">
      <x:c r="A235" s="27" t="str">
        <x:f>IF('Team Setup'!$A$26="","",'Team Setup'!$A$26)</x:f>
      </x:c>
      <x:c r="B235" s="27" t="str">
        <x:f>IF($A235="","",'Team Setup'!$B$26)</x:f>
      </x:c>
      <x:c r="C235" s="27" t="str">
        <x:f>IF($A235="","",'Team Setup'!$C$26)</x:f>
      </x:c>
      <x:c r="D235" s="27" t="str">
        <x:f>IF($A235="","",'Team Setup'!$D$26)</x:f>
      </x:c>
      <x:c r="E235" s="28" t="str">
        <x:f>IF(OR('Team Setup'!$D$4="",NOT(ISNUMBER('Team Setup'!$D$4))),"",'Team Setup'!$D$4+6)</x:f>
      </x:c>
      <x:c r="F235" s="29" t="str">
        <x:f>IF($A235="","",'Team Setup'!$E$26)</x:f>
      </x:c>
      <x:c r="G235" s="29" t="str">
        <x:f>IF($A235="","",IF(OR($E235="",$E235&lt;'Team Setup'!$D$4,$E235&gt;'Team Setup'!$F$4),"No",IF(WEEKDAY($E235,2)&gt;5,"No","Yes")))</x:f>
      </x:c>
      <x:c r="H235" s="29" t="str">
        <x:f>IF($A235="","",IF(OR($G235&lt;&gt;"Yes",$E235=""),"No",IF(COUNTIFS('Time Off'!$A$9:$A$508,$E235,'Time Off'!$C$9:$C$508,$D235,'Time Off'!$D$9:$D$508,$C235)+COUNTIFS('Time Off'!$A$9:$A$508,$E235,'Time Off'!$C$9:$C$508,$D235,'Time Off'!$D$9:$D$508,"All")&gt;0,"Yes","No")))</x:f>
      </x:c>
      <x:c r="I235" s="29" t="str">
        <x:f>IF($A235="","",IF(OR($G235&lt;&gt;"Yes",$H235="Yes"),0,MIN($F235,SUMIFS('Time Off'!$I$9:$I$508,'Time Off'!$G$9:$G$508,$A235,'Time Off'!$H$9:$H$508,$E235))))</x:f>
      </x:c>
      <x:c r="J235" s="29" t="str">
        <x:f>IF($A235="","",IF(OR($G235&lt;&gt;"Yes",$H235="Yes"),0,MAX(0,$F235-$I235)))</x:f>
      </x:c>
    </x:row>
    <x:row r="236">
      <x:c r="A236" s="27" t="str">
        <x:f>IF('Team Setup'!$A$26="","",'Team Setup'!$A$26)</x:f>
      </x:c>
      <x:c r="B236" s="27" t="str">
        <x:f>IF($A236="","",'Team Setup'!$B$26)</x:f>
      </x:c>
      <x:c r="C236" s="27" t="str">
        <x:f>IF($A236="","",'Team Setup'!$C$26)</x:f>
      </x:c>
      <x:c r="D236" s="27" t="str">
        <x:f>IF($A236="","",'Team Setup'!$D$26)</x:f>
      </x:c>
      <x:c r="E236" s="28" t="str">
        <x:f>IF(OR('Team Setup'!$D$4="",NOT(ISNUMBER('Team Setup'!$D$4))),"",'Team Setup'!$D$4+7)</x:f>
      </x:c>
      <x:c r="F236" s="29" t="str">
        <x:f>IF($A236="","",'Team Setup'!$E$26)</x:f>
      </x:c>
      <x:c r="G236" s="29" t="str">
        <x:f>IF($A236="","",IF(OR($E236="",$E236&lt;'Team Setup'!$D$4,$E236&gt;'Team Setup'!$F$4),"No",IF(WEEKDAY($E236,2)&gt;5,"No","Yes")))</x:f>
      </x:c>
      <x:c r="H236" s="29" t="str">
        <x:f>IF($A236="","",IF(OR($G236&lt;&gt;"Yes",$E236=""),"No",IF(COUNTIFS('Time Off'!$A$9:$A$508,$E236,'Time Off'!$C$9:$C$508,$D236,'Time Off'!$D$9:$D$508,$C236)+COUNTIFS('Time Off'!$A$9:$A$508,$E236,'Time Off'!$C$9:$C$508,$D236,'Time Off'!$D$9:$D$508,"All")&gt;0,"Yes","No")))</x:f>
      </x:c>
      <x:c r="I236" s="29" t="str">
        <x:f>IF($A236="","",IF(OR($G236&lt;&gt;"Yes",$H236="Yes"),0,MIN($F236,SUMIFS('Time Off'!$I$9:$I$508,'Time Off'!$G$9:$G$508,$A236,'Time Off'!$H$9:$H$508,$E236))))</x:f>
      </x:c>
      <x:c r="J236" s="29" t="str">
        <x:f>IF($A236="","",IF(OR($G236&lt;&gt;"Yes",$H236="Yes"),0,MAX(0,$F236-$I236)))</x:f>
      </x:c>
    </x:row>
    <x:row r="237">
      <x:c r="A237" s="27" t="str">
        <x:f>IF('Team Setup'!$A$26="","",'Team Setup'!$A$26)</x:f>
      </x:c>
      <x:c r="B237" s="27" t="str">
        <x:f>IF($A237="","",'Team Setup'!$B$26)</x:f>
      </x:c>
      <x:c r="C237" s="27" t="str">
        <x:f>IF($A237="","",'Team Setup'!$C$26)</x:f>
      </x:c>
      <x:c r="D237" s="27" t="str">
        <x:f>IF($A237="","",'Team Setup'!$D$26)</x:f>
      </x:c>
      <x:c r="E237" s="28" t="str">
        <x:f>IF(OR('Team Setup'!$D$4="",NOT(ISNUMBER('Team Setup'!$D$4))),"",'Team Setup'!$D$4+8)</x:f>
      </x:c>
      <x:c r="F237" s="29" t="str">
        <x:f>IF($A237="","",'Team Setup'!$E$26)</x:f>
      </x:c>
      <x:c r="G237" s="29" t="str">
        <x:f>IF($A237="","",IF(OR($E237="",$E237&lt;'Team Setup'!$D$4,$E237&gt;'Team Setup'!$F$4),"No",IF(WEEKDAY($E237,2)&gt;5,"No","Yes")))</x:f>
      </x:c>
      <x:c r="H237" s="29" t="str">
        <x:f>IF($A237="","",IF(OR($G237&lt;&gt;"Yes",$E237=""),"No",IF(COUNTIFS('Time Off'!$A$9:$A$508,$E237,'Time Off'!$C$9:$C$508,$D237,'Time Off'!$D$9:$D$508,$C237)+COUNTIFS('Time Off'!$A$9:$A$508,$E237,'Time Off'!$C$9:$C$508,$D237,'Time Off'!$D$9:$D$508,"All")&gt;0,"Yes","No")))</x:f>
      </x:c>
      <x:c r="I237" s="29" t="str">
        <x:f>IF($A237="","",IF(OR($G237&lt;&gt;"Yes",$H237="Yes"),0,MIN($F237,SUMIFS('Time Off'!$I$9:$I$508,'Time Off'!$G$9:$G$508,$A237,'Time Off'!$H$9:$H$508,$E237))))</x:f>
      </x:c>
      <x:c r="J237" s="29" t="str">
        <x:f>IF($A237="","",IF(OR($G237&lt;&gt;"Yes",$H237="Yes"),0,MAX(0,$F237-$I237)))</x:f>
      </x:c>
    </x:row>
    <x:row r="238">
      <x:c r="A238" s="27" t="str">
        <x:f>IF('Team Setup'!$A$26="","",'Team Setup'!$A$26)</x:f>
      </x:c>
      <x:c r="B238" s="27" t="str">
        <x:f>IF($A238="","",'Team Setup'!$B$26)</x:f>
      </x:c>
      <x:c r="C238" s="27" t="str">
        <x:f>IF($A238="","",'Team Setup'!$C$26)</x:f>
      </x:c>
      <x:c r="D238" s="27" t="str">
        <x:f>IF($A238="","",'Team Setup'!$D$26)</x:f>
      </x:c>
      <x:c r="E238" s="28" t="str">
        <x:f>IF(OR('Team Setup'!$D$4="",NOT(ISNUMBER('Team Setup'!$D$4))),"",'Team Setup'!$D$4+9)</x:f>
      </x:c>
      <x:c r="F238" s="29" t="str">
        <x:f>IF($A238="","",'Team Setup'!$E$26)</x:f>
      </x:c>
      <x:c r="G238" s="29" t="str">
        <x:f>IF($A238="","",IF(OR($E238="",$E238&lt;'Team Setup'!$D$4,$E238&gt;'Team Setup'!$F$4),"No",IF(WEEKDAY($E238,2)&gt;5,"No","Yes")))</x:f>
      </x:c>
      <x:c r="H238" s="29" t="str">
        <x:f>IF($A238="","",IF(OR($G238&lt;&gt;"Yes",$E238=""),"No",IF(COUNTIFS('Time Off'!$A$9:$A$508,$E238,'Time Off'!$C$9:$C$508,$D238,'Time Off'!$D$9:$D$508,$C238)+COUNTIFS('Time Off'!$A$9:$A$508,$E238,'Time Off'!$C$9:$C$508,$D238,'Time Off'!$D$9:$D$508,"All")&gt;0,"Yes","No")))</x:f>
      </x:c>
      <x:c r="I238" s="29" t="str">
        <x:f>IF($A238="","",IF(OR($G238&lt;&gt;"Yes",$H238="Yes"),0,MIN($F238,SUMIFS('Time Off'!$I$9:$I$508,'Time Off'!$G$9:$G$508,$A238,'Time Off'!$H$9:$H$508,$E238))))</x:f>
      </x:c>
      <x:c r="J238" s="29" t="str">
        <x:f>IF($A238="","",IF(OR($G238&lt;&gt;"Yes",$H238="Yes"),0,MAX(0,$F238-$I238)))</x:f>
      </x:c>
    </x:row>
    <x:row r="239">
      <x:c r="A239" s="27" t="str">
        <x:f>IF('Team Setup'!$A$26="","",'Team Setup'!$A$26)</x:f>
      </x:c>
      <x:c r="B239" s="27" t="str">
        <x:f>IF($A239="","",'Team Setup'!$B$26)</x:f>
      </x:c>
      <x:c r="C239" s="27" t="str">
        <x:f>IF($A239="","",'Team Setup'!$C$26)</x:f>
      </x:c>
      <x:c r="D239" s="27" t="str">
        <x:f>IF($A239="","",'Team Setup'!$D$26)</x:f>
      </x:c>
      <x:c r="E239" s="28" t="str">
        <x:f>IF(OR('Team Setup'!$D$4="",NOT(ISNUMBER('Team Setup'!$D$4))),"",'Team Setup'!$D$4+10)</x:f>
      </x:c>
      <x:c r="F239" s="29" t="str">
        <x:f>IF($A239="","",'Team Setup'!$E$26)</x:f>
      </x:c>
      <x:c r="G239" s="29" t="str">
        <x:f>IF($A239="","",IF(OR($E239="",$E239&lt;'Team Setup'!$D$4,$E239&gt;'Team Setup'!$F$4),"No",IF(WEEKDAY($E239,2)&gt;5,"No","Yes")))</x:f>
      </x:c>
      <x:c r="H239" s="29" t="str">
        <x:f>IF($A239="","",IF(OR($G239&lt;&gt;"Yes",$E239=""),"No",IF(COUNTIFS('Time Off'!$A$9:$A$508,$E239,'Time Off'!$C$9:$C$508,$D239,'Time Off'!$D$9:$D$508,$C239)+COUNTIFS('Time Off'!$A$9:$A$508,$E239,'Time Off'!$C$9:$C$508,$D239,'Time Off'!$D$9:$D$508,"All")&gt;0,"Yes","No")))</x:f>
      </x:c>
      <x:c r="I239" s="29" t="str">
        <x:f>IF($A239="","",IF(OR($G239&lt;&gt;"Yes",$H239="Yes"),0,MIN($F239,SUMIFS('Time Off'!$I$9:$I$508,'Time Off'!$G$9:$G$508,$A239,'Time Off'!$H$9:$H$508,$E239))))</x:f>
      </x:c>
      <x:c r="J239" s="29" t="str">
        <x:f>IF($A239="","",IF(OR($G239&lt;&gt;"Yes",$H239="Yes"),0,MAX(0,$F239-$I239)))</x:f>
      </x:c>
    </x:row>
    <x:row r="240">
      <x:c r="A240" s="27" t="str">
        <x:f>IF('Team Setup'!$A$26="","",'Team Setup'!$A$26)</x:f>
      </x:c>
      <x:c r="B240" s="27" t="str">
        <x:f>IF($A240="","",'Team Setup'!$B$26)</x:f>
      </x:c>
      <x:c r="C240" s="27" t="str">
        <x:f>IF($A240="","",'Team Setup'!$C$26)</x:f>
      </x:c>
      <x:c r="D240" s="27" t="str">
        <x:f>IF($A240="","",'Team Setup'!$D$26)</x:f>
      </x:c>
      <x:c r="E240" s="28" t="str">
        <x:f>IF(OR('Team Setup'!$D$4="",NOT(ISNUMBER('Team Setup'!$D$4))),"",'Team Setup'!$D$4+11)</x:f>
      </x:c>
      <x:c r="F240" s="29" t="str">
        <x:f>IF($A240="","",'Team Setup'!$E$26)</x:f>
      </x:c>
      <x:c r="G240" s="29" t="str">
        <x:f>IF($A240="","",IF(OR($E240="",$E240&lt;'Team Setup'!$D$4,$E240&gt;'Team Setup'!$F$4),"No",IF(WEEKDAY($E240,2)&gt;5,"No","Yes")))</x:f>
      </x:c>
      <x:c r="H240" s="29" t="str">
        <x:f>IF($A240="","",IF(OR($G240&lt;&gt;"Yes",$E240=""),"No",IF(COUNTIFS('Time Off'!$A$9:$A$508,$E240,'Time Off'!$C$9:$C$508,$D240,'Time Off'!$D$9:$D$508,$C240)+COUNTIFS('Time Off'!$A$9:$A$508,$E240,'Time Off'!$C$9:$C$508,$D240,'Time Off'!$D$9:$D$508,"All")&gt;0,"Yes","No")))</x:f>
      </x:c>
      <x:c r="I240" s="29" t="str">
        <x:f>IF($A240="","",IF(OR($G240&lt;&gt;"Yes",$H240="Yes"),0,MIN($F240,SUMIFS('Time Off'!$I$9:$I$508,'Time Off'!$G$9:$G$508,$A240,'Time Off'!$H$9:$H$508,$E240))))</x:f>
      </x:c>
      <x:c r="J240" s="29" t="str">
        <x:f>IF($A240="","",IF(OR($G240&lt;&gt;"Yes",$H240="Yes"),0,MAX(0,$F240-$I240)))</x:f>
      </x:c>
    </x:row>
    <x:row r="241">
      <x:c r="A241" s="27" t="str">
        <x:f>IF('Team Setup'!$A$26="","",'Team Setup'!$A$26)</x:f>
      </x:c>
      <x:c r="B241" s="27" t="str">
        <x:f>IF($A241="","",'Team Setup'!$B$26)</x:f>
      </x:c>
      <x:c r="C241" s="27" t="str">
        <x:f>IF($A241="","",'Team Setup'!$C$26)</x:f>
      </x:c>
      <x:c r="D241" s="27" t="str">
        <x:f>IF($A241="","",'Team Setup'!$D$26)</x:f>
      </x:c>
      <x:c r="E241" s="28" t="str">
        <x:f>IF(OR('Team Setup'!$D$4="",NOT(ISNUMBER('Team Setup'!$D$4))),"",'Team Setup'!$D$4+12)</x:f>
      </x:c>
      <x:c r="F241" s="29" t="str">
        <x:f>IF($A241="","",'Team Setup'!$E$26)</x:f>
      </x:c>
      <x:c r="G241" s="29" t="str">
        <x:f>IF($A241="","",IF(OR($E241="",$E241&lt;'Team Setup'!$D$4,$E241&gt;'Team Setup'!$F$4),"No",IF(WEEKDAY($E241,2)&gt;5,"No","Yes")))</x:f>
      </x:c>
      <x:c r="H241" s="29" t="str">
        <x:f>IF($A241="","",IF(OR($G241&lt;&gt;"Yes",$E241=""),"No",IF(COUNTIFS('Time Off'!$A$9:$A$508,$E241,'Time Off'!$C$9:$C$508,$D241,'Time Off'!$D$9:$D$508,$C241)+COUNTIFS('Time Off'!$A$9:$A$508,$E241,'Time Off'!$C$9:$C$508,$D241,'Time Off'!$D$9:$D$508,"All")&gt;0,"Yes","No")))</x:f>
      </x:c>
      <x:c r="I241" s="29" t="str">
        <x:f>IF($A241="","",IF(OR($G241&lt;&gt;"Yes",$H241="Yes"),0,MIN($F241,SUMIFS('Time Off'!$I$9:$I$508,'Time Off'!$G$9:$G$508,$A241,'Time Off'!$H$9:$H$508,$E241))))</x:f>
      </x:c>
      <x:c r="J241" s="29" t="str">
        <x:f>IF($A241="","",IF(OR($G241&lt;&gt;"Yes",$H241="Yes"),0,MAX(0,$F241-$I241)))</x:f>
      </x:c>
    </x:row>
    <x:row r="242">
      <x:c r="A242" s="27" t="str">
        <x:f>IF('Team Setup'!$A$26="","",'Team Setup'!$A$26)</x:f>
      </x:c>
      <x:c r="B242" s="27" t="str">
        <x:f>IF($A242="","",'Team Setup'!$B$26)</x:f>
      </x:c>
      <x:c r="C242" s="27" t="str">
        <x:f>IF($A242="","",'Team Setup'!$C$26)</x:f>
      </x:c>
      <x:c r="D242" s="27" t="str">
        <x:f>IF($A242="","",'Team Setup'!$D$26)</x:f>
      </x:c>
      <x:c r="E242" s="28" t="str">
        <x:f>IF(OR('Team Setup'!$D$4="",NOT(ISNUMBER('Team Setup'!$D$4))),"",'Team Setup'!$D$4+13)</x:f>
      </x:c>
      <x:c r="F242" s="29" t="str">
        <x:f>IF($A242="","",'Team Setup'!$E$26)</x:f>
      </x:c>
      <x:c r="G242" s="29" t="str">
        <x:f>IF($A242="","",IF(OR($E242="",$E242&lt;'Team Setup'!$D$4,$E242&gt;'Team Setup'!$F$4),"No",IF(WEEKDAY($E242,2)&gt;5,"No","Yes")))</x:f>
      </x:c>
      <x:c r="H242" s="29" t="str">
        <x:f>IF($A242="","",IF(OR($G242&lt;&gt;"Yes",$E242=""),"No",IF(COUNTIFS('Time Off'!$A$9:$A$508,$E242,'Time Off'!$C$9:$C$508,$D242,'Time Off'!$D$9:$D$508,$C242)+COUNTIFS('Time Off'!$A$9:$A$508,$E242,'Time Off'!$C$9:$C$508,$D242,'Time Off'!$D$9:$D$508,"All")&gt;0,"Yes","No")))</x:f>
      </x:c>
      <x:c r="I242" s="29" t="str">
        <x:f>IF($A242="","",IF(OR($G242&lt;&gt;"Yes",$H242="Yes"),0,MIN($F242,SUMIFS('Time Off'!$I$9:$I$508,'Time Off'!$G$9:$G$508,$A242,'Time Off'!$H$9:$H$508,$E242))))</x:f>
      </x:c>
      <x:c r="J242" s="29" t="str">
        <x:f>IF($A242="","",IF(OR($G242&lt;&gt;"Yes",$H242="Yes"),0,MAX(0,$F242-$I242)))</x:f>
      </x:c>
    </x:row>
    <x:row r="243">
      <x:c r="A243" s="27" t="str">
        <x:f>IF('Team Setup'!$A$27="","",'Team Setup'!$A$27)</x:f>
      </x:c>
      <x:c r="B243" s="27" t="str">
        <x:f>IF($A243="","",'Team Setup'!$B$27)</x:f>
      </x:c>
      <x:c r="C243" s="27" t="str">
        <x:f>IF($A243="","",'Team Setup'!$C$27)</x:f>
      </x:c>
      <x:c r="D243" s="27" t="str">
        <x:f>IF($A243="","",'Team Setup'!$D$27)</x:f>
      </x:c>
      <x:c r="E243" s="28" t="str">
        <x:f>IF(OR('Team Setup'!$D$4="",NOT(ISNUMBER('Team Setup'!$D$4))),"",'Team Setup'!$D$4+0)</x:f>
      </x:c>
      <x:c r="F243" s="29" t="str">
        <x:f>IF($A243="","",'Team Setup'!$E$27)</x:f>
      </x:c>
      <x:c r="G243" s="29" t="str">
        <x:f>IF($A243="","",IF(OR($E243="",$E243&lt;'Team Setup'!$D$4,$E243&gt;'Team Setup'!$F$4),"No",IF(WEEKDAY($E243,2)&gt;5,"No","Yes")))</x:f>
      </x:c>
      <x:c r="H243" s="29" t="str">
        <x:f>IF($A243="","",IF(OR($G243&lt;&gt;"Yes",$E243=""),"No",IF(COUNTIFS('Time Off'!$A$9:$A$508,$E243,'Time Off'!$C$9:$C$508,$D243,'Time Off'!$D$9:$D$508,$C243)+COUNTIFS('Time Off'!$A$9:$A$508,$E243,'Time Off'!$C$9:$C$508,$D243,'Time Off'!$D$9:$D$508,"All")&gt;0,"Yes","No")))</x:f>
      </x:c>
      <x:c r="I243" s="29" t="str">
        <x:f>IF($A243="","",IF(OR($G243&lt;&gt;"Yes",$H243="Yes"),0,MIN($F243,SUMIFS('Time Off'!$I$9:$I$508,'Time Off'!$G$9:$G$508,$A243,'Time Off'!$H$9:$H$508,$E243))))</x:f>
      </x:c>
      <x:c r="J243" s="29" t="str">
        <x:f>IF($A243="","",IF(OR($G243&lt;&gt;"Yes",$H243="Yes"),0,MAX(0,$F243-$I243)))</x:f>
      </x:c>
    </x:row>
    <x:row r="244">
      <x:c r="A244" s="27" t="str">
        <x:f>IF('Team Setup'!$A$27="","",'Team Setup'!$A$27)</x:f>
      </x:c>
      <x:c r="B244" s="27" t="str">
        <x:f>IF($A244="","",'Team Setup'!$B$27)</x:f>
      </x:c>
      <x:c r="C244" s="27" t="str">
        <x:f>IF($A244="","",'Team Setup'!$C$27)</x:f>
      </x:c>
      <x:c r="D244" s="27" t="str">
        <x:f>IF($A244="","",'Team Setup'!$D$27)</x:f>
      </x:c>
      <x:c r="E244" s="28" t="str">
        <x:f>IF(OR('Team Setup'!$D$4="",NOT(ISNUMBER('Team Setup'!$D$4))),"",'Team Setup'!$D$4+1)</x:f>
      </x:c>
      <x:c r="F244" s="29" t="str">
        <x:f>IF($A244="","",'Team Setup'!$E$27)</x:f>
      </x:c>
      <x:c r="G244" s="29" t="str">
        <x:f>IF($A244="","",IF(OR($E244="",$E244&lt;'Team Setup'!$D$4,$E244&gt;'Team Setup'!$F$4),"No",IF(WEEKDAY($E244,2)&gt;5,"No","Yes")))</x:f>
      </x:c>
      <x:c r="H244" s="29" t="str">
        <x:f>IF($A244="","",IF(OR($G244&lt;&gt;"Yes",$E244=""),"No",IF(COUNTIFS('Time Off'!$A$9:$A$508,$E244,'Time Off'!$C$9:$C$508,$D244,'Time Off'!$D$9:$D$508,$C244)+COUNTIFS('Time Off'!$A$9:$A$508,$E244,'Time Off'!$C$9:$C$508,$D244,'Time Off'!$D$9:$D$508,"All")&gt;0,"Yes","No")))</x:f>
      </x:c>
      <x:c r="I244" s="29" t="str">
        <x:f>IF($A244="","",IF(OR($G244&lt;&gt;"Yes",$H244="Yes"),0,MIN($F244,SUMIFS('Time Off'!$I$9:$I$508,'Time Off'!$G$9:$G$508,$A244,'Time Off'!$H$9:$H$508,$E244))))</x:f>
      </x:c>
      <x:c r="J244" s="29" t="str">
        <x:f>IF($A244="","",IF(OR($G244&lt;&gt;"Yes",$H244="Yes"),0,MAX(0,$F244-$I244)))</x:f>
      </x:c>
    </x:row>
    <x:row r="245">
      <x:c r="A245" s="27" t="str">
        <x:f>IF('Team Setup'!$A$27="","",'Team Setup'!$A$27)</x:f>
      </x:c>
      <x:c r="B245" s="27" t="str">
        <x:f>IF($A245="","",'Team Setup'!$B$27)</x:f>
      </x:c>
      <x:c r="C245" s="27" t="str">
        <x:f>IF($A245="","",'Team Setup'!$C$27)</x:f>
      </x:c>
      <x:c r="D245" s="27" t="str">
        <x:f>IF($A245="","",'Team Setup'!$D$27)</x:f>
      </x:c>
      <x:c r="E245" s="28" t="str">
        <x:f>IF(OR('Team Setup'!$D$4="",NOT(ISNUMBER('Team Setup'!$D$4))),"",'Team Setup'!$D$4+2)</x:f>
      </x:c>
      <x:c r="F245" s="29" t="str">
        <x:f>IF($A245="","",'Team Setup'!$E$27)</x:f>
      </x:c>
      <x:c r="G245" s="29" t="str">
        <x:f>IF($A245="","",IF(OR($E245="",$E245&lt;'Team Setup'!$D$4,$E245&gt;'Team Setup'!$F$4),"No",IF(WEEKDAY($E245,2)&gt;5,"No","Yes")))</x:f>
      </x:c>
      <x:c r="H245" s="29" t="str">
        <x:f>IF($A245="","",IF(OR($G245&lt;&gt;"Yes",$E245=""),"No",IF(COUNTIFS('Time Off'!$A$9:$A$508,$E245,'Time Off'!$C$9:$C$508,$D245,'Time Off'!$D$9:$D$508,$C245)+COUNTIFS('Time Off'!$A$9:$A$508,$E245,'Time Off'!$C$9:$C$508,$D245,'Time Off'!$D$9:$D$508,"All")&gt;0,"Yes","No")))</x:f>
      </x:c>
      <x:c r="I245" s="29" t="str">
        <x:f>IF($A245="","",IF(OR($G245&lt;&gt;"Yes",$H245="Yes"),0,MIN($F245,SUMIFS('Time Off'!$I$9:$I$508,'Time Off'!$G$9:$G$508,$A245,'Time Off'!$H$9:$H$508,$E245))))</x:f>
      </x:c>
      <x:c r="J245" s="29" t="str">
        <x:f>IF($A245="","",IF(OR($G245&lt;&gt;"Yes",$H245="Yes"),0,MAX(0,$F245-$I245)))</x:f>
      </x:c>
    </x:row>
    <x:row r="246">
      <x:c r="A246" s="27" t="str">
        <x:f>IF('Team Setup'!$A$27="","",'Team Setup'!$A$27)</x:f>
      </x:c>
      <x:c r="B246" s="27" t="str">
        <x:f>IF($A246="","",'Team Setup'!$B$27)</x:f>
      </x:c>
      <x:c r="C246" s="27" t="str">
        <x:f>IF($A246="","",'Team Setup'!$C$27)</x:f>
      </x:c>
      <x:c r="D246" s="27" t="str">
        <x:f>IF($A246="","",'Team Setup'!$D$27)</x:f>
      </x:c>
      <x:c r="E246" s="28" t="str">
        <x:f>IF(OR('Team Setup'!$D$4="",NOT(ISNUMBER('Team Setup'!$D$4))),"",'Team Setup'!$D$4+3)</x:f>
      </x:c>
      <x:c r="F246" s="29" t="str">
        <x:f>IF($A246="","",'Team Setup'!$E$27)</x:f>
      </x:c>
      <x:c r="G246" s="29" t="str">
        <x:f>IF($A246="","",IF(OR($E246="",$E246&lt;'Team Setup'!$D$4,$E246&gt;'Team Setup'!$F$4),"No",IF(WEEKDAY($E246,2)&gt;5,"No","Yes")))</x:f>
      </x:c>
      <x:c r="H246" s="29" t="str">
        <x:f>IF($A246="","",IF(OR($G246&lt;&gt;"Yes",$E246=""),"No",IF(COUNTIFS('Time Off'!$A$9:$A$508,$E246,'Time Off'!$C$9:$C$508,$D246,'Time Off'!$D$9:$D$508,$C246)+COUNTIFS('Time Off'!$A$9:$A$508,$E246,'Time Off'!$C$9:$C$508,$D246,'Time Off'!$D$9:$D$508,"All")&gt;0,"Yes","No")))</x:f>
      </x:c>
      <x:c r="I246" s="29" t="str">
        <x:f>IF($A246="","",IF(OR($G246&lt;&gt;"Yes",$H246="Yes"),0,MIN($F246,SUMIFS('Time Off'!$I$9:$I$508,'Time Off'!$G$9:$G$508,$A246,'Time Off'!$H$9:$H$508,$E246))))</x:f>
      </x:c>
      <x:c r="J246" s="29" t="str">
        <x:f>IF($A246="","",IF(OR($G246&lt;&gt;"Yes",$H246="Yes"),0,MAX(0,$F246-$I246)))</x:f>
      </x:c>
    </x:row>
    <x:row r="247">
      <x:c r="A247" s="27" t="str">
        <x:f>IF('Team Setup'!$A$27="","",'Team Setup'!$A$27)</x:f>
      </x:c>
      <x:c r="B247" s="27" t="str">
        <x:f>IF($A247="","",'Team Setup'!$B$27)</x:f>
      </x:c>
      <x:c r="C247" s="27" t="str">
        <x:f>IF($A247="","",'Team Setup'!$C$27)</x:f>
      </x:c>
      <x:c r="D247" s="27" t="str">
        <x:f>IF($A247="","",'Team Setup'!$D$27)</x:f>
      </x:c>
      <x:c r="E247" s="28" t="str">
        <x:f>IF(OR('Team Setup'!$D$4="",NOT(ISNUMBER('Team Setup'!$D$4))),"",'Team Setup'!$D$4+4)</x:f>
      </x:c>
      <x:c r="F247" s="29" t="str">
        <x:f>IF($A247="","",'Team Setup'!$E$27)</x:f>
      </x:c>
      <x:c r="G247" s="29" t="str">
        <x:f>IF($A247="","",IF(OR($E247="",$E247&lt;'Team Setup'!$D$4,$E247&gt;'Team Setup'!$F$4),"No",IF(WEEKDAY($E247,2)&gt;5,"No","Yes")))</x:f>
      </x:c>
      <x:c r="H247" s="29" t="str">
        <x:f>IF($A247="","",IF(OR($G247&lt;&gt;"Yes",$E247=""),"No",IF(COUNTIFS('Time Off'!$A$9:$A$508,$E247,'Time Off'!$C$9:$C$508,$D247,'Time Off'!$D$9:$D$508,$C247)+COUNTIFS('Time Off'!$A$9:$A$508,$E247,'Time Off'!$C$9:$C$508,$D247,'Time Off'!$D$9:$D$508,"All")&gt;0,"Yes","No")))</x:f>
      </x:c>
      <x:c r="I247" s="29" t="str">
        <x:f>IF($A247="","",IF(OR($G247&lt;&gt;"Yes",$H247="Yes"),0,MIN($F247,SUMIFS('Time Off'!$I$9:$I$508,'Time Off'!$G$9:$G$508,$A247,'Time Off'!$H$9:$H$508,$E247))))</x:f>
      </x:c>
      <x:c r="J247" s="29" t="str">
        <x:f>IF($A247="","",IF(OR($G247&lt;&gt;"Yes",$H247="Yes"),0,MAX(0,$F247-$I247)))</x:f>
      </x:c>
    </x:row>
    <x:row r="248">
      <x:c r="A248" s="27" t="str">
        <x:f>IF('Team Setup'!$A$27="","",'Team Setup'!$A$27)</x:f>
      </x:c>
      <x:c r="B248" s="27" t="str">
        <x:f>IF($A248="","",'Team Setup'!$B$27)</x:f>
      </x:c>
      <x:c r="C248" s="27" t="str">
        <x:f>IF($A248="","",'Team Setup'!$C$27)</x:f>
      </x:c>
      <x:c r="D248" s="27" t="str">
        <x:f>IF($A248="","",'Team Setup'!$D$27)</x:f>
      </x:c>
      <x:c r="E248" s="28" t="str">
        <x:f>IF(OR('Team Setup'!$D$4="",NOT(ISNUMBER('Team Setup'!$D$4))),"",'Team Setup'!$D$4+5)</x:f>
      </x:c>
      <x:c r="F248" s="29" t="str">
        <x:f>IF($A248="","",'Team Setup'!$E$27)</x:f>
      </x:c>
      <x:c r="G248" s="29" t="str">
        <x:f>IF($A248="","",IF(OR($E248="",$E248&lt;'Team Setup'!$D$4,$E248&gt;'Team Setup'!$F$4),"No",IF(WEEKDAY($E248,2)&gt;5,"No","Yes")))</x:f>
      </x:c>
      <x:c r="H248" s="29" t="str">
        <x:f>IF($A248="","",IF(OR($G248&lt;&gt;"Yes",$E248=""),"No",IF(COUNTIFS('Time Off'!$A$9:$A$508,$E248,'Time Off'!$C$9:$C$508,$D248,'Time Off'!$D$9:$D$508,$C248)+COUNTIFS('Time Off'!$A$9:$A$508,$E248,'Time Off'!$C$9:$C$508,$D248,'Time Off'!$D$9:$D$508,"All")&gt;0,"Yes","No")))</x:f>
      </x:c>
      <x:c r="I248" s="29" t="str">
        <x:f>IF($A248="","",IF(OR($G248&lt;&gt;"Yes",$H248="Yes"),0,MIN($F248,SUMIFS('Time Off'!$I$9:$I$508,'Time Off'!$G$9:$G$508,$A248,'Time Off'!$H$9:$H$508,$E248))))</x:f>
      </x:c>
      <x:c r="J248" s="29" t="str">
        <x:f>IF($A248="","",IF(OR($G248&lt;&gt;"Yes",$H248="Yes"),0,MAX(0,$F248-$I248)))</x:f>
      </x:c>
    </x:row>
    <x:row r="249">
      <x:c r="A249" s="27" t="str">
        <x:f>IF('Team Setup'!$A$27="","",'Team Setup'!$A$27)</x:f>
      </x:c>
      <x:c r="B249" s="27" t="str">
        <x:f>IF($A249="","",'Team Setup'!$B$27)</x:f>
      </x:c>
      <x:c r="C249" s="27" t="str">
        <x:f>IF($A249="","",'Team Setup'!$C$27)</x:f>
      </x:c>
      <x:c r="D249" s="27" t="str">
        <x:f>IF($A249="","",'Team Setup'!$D$27)</x:f>
      </x:c>
      <x:c r="E249" s="28" t="str">
        <x:f>IF(OR('Team Setup'!$D$4="",NOT(ISNUMBER('Team Setup'!$D$4))),"",'Team Setup'!$D$4+6)</x:f>
      </x:c>
      <x:c r="F249" s="29" t="str">
        <x:f>IF($A249="","",'Team Setup'!$E$27)</x:f>
      </x:c>
      <x:c r="G249" s="29" t="str">
        <x:f>IF($A249="","",IF(OR($E249="",$E249&lt;'Team Setup'!$D$4,$E249&gt;'Team Setup'!$F$4),"No",IF(WEEKDAY($E249,2)&gt;5,"No","Yes")))</x:f>
      </x:c>
      <x:c r="H249" s="29" t="str">
        <x:f>IF($A249="","",IF(OR($G249&lt;&gt;"Yes",$E249=""),"No",IF(COUNTIFS('Time Off'!$A$9:$A$508,$E249,'Time Off'!$C$9:$C$508,$D249,'Time Off'!$D$9:$D$508,$C249)+COUNTIFS('Time Off'!$A$9:$A$508,$E249,'Time Off'!$C$9:$C$508,$D249,'Time Off'!$D$9:$D$508,"All")&gt;0,"Yes","No")))</x:f>
      </x:c>
      <x:c r="I249" s="29" t="str">
        <x:f>IF($A249="","",IF(OR($G249&lt;&gt;"Yes",$H249="Yes"),0,MIN($F249,SUMIFS('Time Off'!$I$9:$I$508,'Time Off'!$G$9:$G$508,$A249,'Time Off'!$H$9:$H$508,$E249))))</x:f>
      </x:c>
      <x:c r="J249" s="29" t="str">
        <x:f>IF($A249="","",IF(OR($G249&lt;&gt;"Yes",$H249="Yes"),0,MAX(0,$F249-$I249)))</x:f>
      </x:c>
    </x:row>
    <x:row r="250">
      <x:c r="A250" s="27" t="str">
        <x:f>IF('Team Setup'!$A$27="","",'Team Setup'!$A$27)</x:f>
      </x:c>
      <x:c r="B250" s="27" t="str">
        <x:f>IF($A250="","",'Team Setup'!$B$27)</x:f>
      </x:c>
      <x:c r="C250" s="27" t="str">
        <x:f>IF($A250="","",'Team Setup'!$C$27)</x:f>
      </x:c>
      <x:c r="D250" s="27" t="str">
        <x:f>IF($A250="","",'Team Setup'!$D$27)</x:f>
      </x:c>
      <x:c r="E250" s="28" t="str">
        <x:f>IF(OR('Team Setup'!$D$4="",NOT(ISNUMBER('Team Setup'!$D$4))),"",'Team Setup'!$D$4+7)</x:f>
      </x:c>
      <x:c r="F250" s="29" t="str">
        <x:f>IF($A250="","",'Team Setup'!$E$27)</x:f>
      </x:c>
      <x:c r="G250" s="29" t="str">
        <x:f>IF($A250="","",IF(OR($E250="",$E250&lt;'Team Setup'!$D$4,$E250&gt;'Team Setup'!$F$4),"No",IF(WEEKDAY($E250,2)&gt;5,"No","Yes")))</x:f>
      </x:c>
      <x:c r="H250" s="29" t="str">
        <x:f>IF($A250="","",IF(OR($G250&lt;&gt;"Yes",$E250=""),"No",IF(COUNTIFS('Time Off'!$A$9:$A$508,$E250,'Time Off'!$C$9:$C$508,$D250,'Time Off'!$D$9:$D$508,$C250)+COUNTIFS('Time Off'!$A$9:$A$508,$E250,'Time Off'!$C$9:$C$508,$D250,'Time Off'!$D$9:$D$508,"All")&gt;0,"Yes","No")))</x:f>
      </x:c>
      <x:c r="I250" s="29" t="str">
        <x:f>IF($A250="","",IF(OR($G250&lt;&gt;"Yes",$H250="Yes"),0,MIN($F250,SUMIFS('Time Off'!$I$9:$I$508,'Time Off'!$G$9:$G$508,$A250,'Time Off'!$H$9:$H$508,$E250))))</x:f>
      </x:c>
      <x:c r="J250" s="29" t="str">
        <x:f>IF($A250="","",IF(OR($G250&lt;&gt;"Yes",$H250="Yes"),0,MAX(0,$F250-$I250)))</x:f>
      </x:c>
    </x:row>
    <x:row r="251">
      <x:c r="A251" s="27" t="str">
        <x:f>IF('Team Setup'!$A$27="","",'Team Setup'!$A$27)</x:f>
      </x:c>
      <x:c r="B251" s="27" t="str">
        <x:f>IF($A251="","",'Team Setup'!$B$27)</x:f>
      </x:c>
      <x:c r="C251" s="27" t="str">
        <x:f>IF($A251="","",'Team Setup'!$C$27)</x:f>
      </x:c>
      <x:c r="D251" s="27" t="str">
        <x:f>IF($A251="","",'Team Setup'!$D$27)</x:f>
      </x:c>
      <x:c r="E251" s="28" t="str">
        <x:f>IF(OR('Team Setup'!$D$4="",NOT(ISNUMBER('Team Setup'!$D$4))),"",'Team Setup'!$D$4+8)</x:f>
      </x:c>
      <x:c r="F251" s="29" t="str">
        <x:f>IF($A251="","",'Team Setup'!$E$27)</x:f>
      </x:c>
      <x:c r="G251" s="29" t="str">
        <x:f>IF($A251="","",IF(OR($E251="",$E251&lt;'Team Setup'!$D$4,$E251&gt;'Team Setup'!$F$4),"No",IF(WEEKDAY($E251,2)&gt;5,"No","Yes")))</x:f>
      </x:c>
      <x:c r="H251" s="29" t="str">
        <x:f>IF($A251="","",IF(OR($G251&lt;&gt;"Yes",$E251=""),"No",IF(COUNTIFS('Time Off'!$A$9:$A$508,$E251,'Time Off'!$C$9:$C$508,$D251,'Time Off'!$D$9:$D$508,$C251)+COUNTIFS('Time Off'!$A$9:$A$508,$E251,'Time Off'!$C$9:$C$508,$D251,'Time Off'!$D$9:$D$508,"All")&gt;0,"Yes","No")))</x:f>
      </x:c>
      <x:c r="I251" s="29" t="str">
        <x:f>IF($A251="","",IF(OR($G251&lt;&gt;"Yes",$H251="Yes"),0,MIN($F251,SUMIFS('Time Off'!$I$9:$I$508,'Time Off'!$G$9:$G$508,$A251,'Time Off'!$H$9:$H$508,$E251))))</x:f>
      </x:c>
      <x:c r="J251" s="29" t="str">
        <x:f>IF($A251="","",IF(OR($G251&lt;&gt;"Yes",$H251="Yes"),0,MAX(0,$F251-$I251)))</x:f>
      </x:c>
    </x:row>
    <x:row r="252">
      <x:c r="A252" s="27" t="str">
        <x:f>IF('Team Setup'!$A$27="","",'Team Setup'!$A$27)</x:f>
      </x:c>
      <x:c r="B252" s="27" t="str">
        <x:f>IF($A252="","",'Team Setup'!$B$27)</x:f>
      </x:c>
      <x:c r="C252" s="27" t="str">
        <x:f>IF($A252="","",'Team Setup'!$C$27)</x:f>
      </x:c>
      <x:c r="D252" s="27" t="str">
        <x:f>IF($A252="","",'Team Setup'!$D$27)</x:f>
      </x:c>
      <x:c r="E252" s="28" t="str">
        <x:f>IF(OR('Team Setup'!$D$4="",NOT(ISNUMBER('Team Setup'!$D$4))),"",'Team Setup'!$D$4+9)</x:f>
      </x:c>
      <x:c r="F252" s="29" t="str">
        <x:f>IF($A252="","",'Team Setup'!$E$27)</x:f>
      </x:c>
      <x:c r="G252" s="29" t="str">
        <x:f>IF($A252="","",IF(OR($E252="",$E252&lt;'Team Setup'!$D$4,$E252&gt;'Team Setup'!$F$4),"No",IF(WEEKDAY($E252,2)&gt;5,"No","Yes")))</x:f>
      </x:c>
      <x:c r="H252" s="29" t="str">
        <x:f>IF($A252="","",IF(OR($G252&lt;&gt;"Yes",$E252=""),"No",IF(COUNTIFS('Time Off'!$A$9:$A$508,$E252,'Time Off'!$C$9:$C$508,$D252,'Time Off'!$D$9:$D$508,$C252)+COUNTIFS('Time Off'!$A$9:$A$508,$E252,'Time Off'!$C$9:$C$508,$D252,'Time Off'!$D$9:$D$508,"All")&gt;0,"Yes","No")))</x:f>
      </x:c>
      <x:c r="I252" s="29" t="str">
        <x:f>IF($A252="","",IF(OR($G252&lt;&gt;"Yes",$H252="Yes"),0,MIN($F252,SUMIFS('Time Off'!$I$9:$I$508,'Time Off'!$G$9:$G$508,$A252,'Time Off'!$H$9:$H$508,$E252))))</x:f>
      </x:c>
      <x:c r="J252" s="29" t="str">
        <x:f>IF($A252="","",IF(OR($G252&lt;&gt;"Yes",$H252="Yes"),0,MAX(0,$F252-$I252)))</x:f>
      </x:c>
    </x:row>
    <x:row r="253">
      <x:c r="A253" s="27" t="str">
        <x:f>IF('Team Setup'!$A$27="","",'Team Setup'!$A$27)</x:f>
      </x:c>
      <x:c r="B253" s="27" t="str">
        <x:f>IF($A253="","",'Team Setup'!$B$27)</x:f>
      </x:c>
      <x:c r="C253" s="27" t="str">
        <x:f>IF($A253="","",'Team Setup'!$C$27)</x:f>
      </x:c>
      <x:c r="D253" s="27" t="str">
        <x:f>IF($A253="","",'Team Setup'!$D$27)</x:f>
      </x:c>
      <x:c r="E253" s="28" t="str">
        <x:f>IF(OR('Team Setup'!$D$4="",NOT(ISNUMBER('Team Setup'!$D$4))),"",'Team Setup'!$D$4+10)</x:f>
      </x:c>
      <x:c r="F253" s="29" t="str">
        <x:f>IF($A253="","",'Team Setup'!$E$27)</x:f>
      </x:c>
      <x:c r="G253" s="29" t="str">
        <x:f>IF($A253="","",IF(OR($E253="",$E253&lt;'Team Setup'!$D$4,$E253&gt;'Team Setup'!$F$4),"No",IF(WEEKDAY($E253,2)&gt;5,"No","Yes")))</x:f>
      </x:c>
      <x:c r="H253" s="29" t="str">
        <x:f>IF($A253="","",IF(OR($G253&lt;&gt;"Yes",$E253=""),"No",IF(COUNTIFS('Time Off'!$A$9:$A$508,$E253,'Time Off'!$C$9:$C$508,$D253,'Time Off'!$D$9:$D$508,$C253)+COUNTIFS('Time Off'!$A$9:$A$508,$E253,'Time Off'!$C$9:$C$508,$D253,'Time Off'!$D$9:$D$508,"All")&gt;0,"Yes","No")))</x:f>
      </x:c>
      <x:c r="I253" s="29" t="str">
        <x:f>IF($A253="","",IF(OR($G253&lt;&gt;"Yes",$H253="Yes"),0,MIN($F253,SUMIFS('Time Off'!$I$9:$I$508,'Time Off'!$G$9:$G$508,$A253,'Time Off'!$H$9:$H$508,$E253))))</x:f>
      </x:c>
      <x:c r="J253" s="29" t="str">
        <x:f>IF($A253="","",IF(OR($G253&lt;&gt;"Yes",$H253="Yes"),0,MAX(0,$F253-$I253)))</x:f>
      </x:c>
    </x:row>
    <x:row r="254">
      <x:c r="A254" s="27" t="str">
        <x:f>IF('Team Setup'!$A$27="","",'Team Setup'!$A$27)</x:f>
      </x:c>
      <x:c r="B254" s="27" t="str">
        <x:f>IF($A254="","",'Team Setup'!$B$27)</x:f>
      </x:c>
      <x:c r="C254" s="27" t="str">
        <x:f>IF($A254="","",'Team Setup'!$C$27)</x:f>
      </x:c>
      <x:c r="D254" s="27" t="str">
        <x:f>IF($A254="","",'Team Setup'!$D$27)</x:f>
      </x:c>
      <x:c r="E254" s="28" t="str">
        <x:f>IF(OR('Team Setup'!$D$4="",NOT(ISNUMBER('Team Setup'!$D$4))),"",'Team Setup'!$D$4+11)</x:f>
      </x:c>
      <x:c r="F254" s="29" t="str">
        <x:f>IF($A254="","",'Team Setup'!$E$27)</x:f>
      </x:c>
      <x:c r="G254" s="29" t="str">
        <x:f>IF($A254="","",IF(OR($E254="",$E254&lt;'Team Setup'!$D$4,$E254&gt;'Team Setup'!$F$4),"No",IF(WEEKDAY($E254,2)&gt;5,"No","Yes")))</x:f>
      </x:c>
      <x:c r="H254" s="29" t="str">
        <x:f>IF($A254="","",IF(OR($G254&lt;&gt;"Yes",$E254=""),"No",IF(COUNTIFS('Time Off'!$A$9:$A$508,$E254,'Time Off'!$C$9:$C$508,$D254,'Time Off'!$D$9:$D$508,$C254)+COUNTIFS('Time Off'!$A$9:$A$508,$E254,'Time Off'!$C$9:$C$508,$D254,'Time Off'!$D$9:$D$508,"All")&gt;0,"Yes","No")))</x:f>
      </x:c>
      <x:c r="I254" s="29" t="str">
        <x:f>IF($A254="","",IF(OR($G254&lt;&gt;"Yes",$H254="Yes"),0,MIN($F254,SUMIFS('Time Off'!$I$9:$I$508,'Time Off'!$G$9:$G$508,$A254,'Time Off'!$H$9:$H$508,$E254))))</x:f>
      </x:c>
      <x:c r="J254" s="29" t="str">
        <x:f>IF($A254="","",IF(OR($G254&lt;&gt;"Yes",$H254="Yes"),0,MAX(0,$F254-$I254)))</x:f>
      </x:c>
    </x:row>
    <x:row r="255">
      <x:c r="A255" s="27" t="str">
        <x:f>IF('Team Setup'!$A$27="","",'Team Setup'!$A$27)</x:f>
      </x:c>
      <x:c r="B255" s="27" t="str">
        <x:f>IF($A255="","",'Team Setup'!$B$27)</x:f>
      </x:c>
      <x:c r="C255" s="27" t="str">
        <x:f>IF($A255="","",'Team Setup'!$C$27)</x:f>
      </x:c>
      <x:c r="D255" s="27" t="str">
        <x:f>IF($A255="","",'Team Setup'!$D$27)</x:f>
      </x:c>
      <x:c r="E255" s="28" t="str">
        <x:f>IF(OR('Team Setup'!$D$4="",NOT(ISNUMBER('Team Setup'!$D$4))),"",'Team Setup'!$D$4+12)</x:f>
      </x:c>
      <x:c r="F255" s="29" t="str">
        <x:f>IF($A255="","",'Team Setup'!$E$27)</x:f>
      </x:c>
      <x:c r="G255" s="29" t="str">
        <x:f>IF($A255="","",IF(OR($E255="",$E255&lt;'Team Setup'!$D$4,$E255&gt;'Team Setup'!$F$4),"No",IF(WEEKDAY($E255,2)&gt;5,"No","Yes")))</x:f>
      </x:c>
      <x:c r="H255" s="29" t="str">
        <x:f>IF($A255="","",IF(OR($G255&lt;&gt;"Yes",$E255=""),"No",IF(COUNTIFS('Time Off'!$A$9:$A$508,$E255,'Time Off'!$C$9:$C$508,$D255,'Time Off'!$D$9:$D$508,$C255)+COUNTIFS('Time Off'!$A$9:$A$508,$E255,'Time Off'!$C$9:$C$508,$D255,'Time Off'!$D$9:$D$508,"All")&gt;0,"Yes","No")))</x:f>
      </x:c>
      <x:c r="I255" s="29" t="str">
        <x:f>IF($A255="","",IF(OR($G255&lt;&gt;"Yes",$H255="Yes"),0,MIN($F255,SUMIFS('Time Off'!$I$9:$I$508,'Time Off'!$G$9:$G$508,$A255,'Time Off'!$H$9:$H$508,$E255))))</x:f>
      </x:c>
      <x:c r="J255" s="29" t="str">
        <x:f>IF($A255="","",IF(OR($G255&lt;&gt;"Yes",$H255="Yes"),0,MAX(0,$F255-$I255)))</x:f>
      </x:c>
    </x:row>
    <x:row r="256">
      <x:c r="A256" s="27" t="str">
        <x:f>IF('Team Setup'!$A$27="","",'Team Setup'!$A$27)</x:f>
      </x:c>
      <x:c r="B256" s="27" t="str">
        <x:f>IF($A256="","",'Team Setup'!$B$27)</x:f>
      </x:c>
      <x:c r="C256" s="27" t="str">
        <x:f>IF($A256="","",'Team Setup'!$C$27)</x:f>
      </x:c>
      <x:c r="D256" s="27" t="str">
        <x:f>IF($A256="","",'Team Setup'!$D$27)</x:f>
      </x:c>
      <x:c r="E256" s="28" t="str">
        <x:f>IF(OR('Team Setup'!$D$4="",NOT(ISNUMBER('Team Setup'!$D$4))),"",'Team Setup'!$D$4+13)</x:f>
      </x:c>
      <x:c r="F256" s="29" t="str">
        <x:f>IF($A256="","",'Team Setup'!$E$27)</x:f>
      </x:c>
      <x:c r="G256" s="29" t="str">
        <x:f>IF($A256="","",IF(OR($E256="",$E256&lt;'Team Setup'!$D$4,$E256&gt;'Team Setup'!$F$4),"No",IF(WEEKDAY($E256,2)&gt;5,"No","Yes")))</x:f>
      </x:c>
      <x:c r="H256" s="29" t="str">
        <x:f>IF($A256="","",IF(OR($G256&lt;&gt;"Yes",$E256=""),"No",IF(COUNTIFS('Time Off'!$A$9:$A$508,$E256,'Time Off'!$C$9:$C$508,$D256,'Time Off'!$D$9:$D$508,$C256)+COUNTIFS('Time Off'!$A$9:$A$508,$E256,'Time Off'!$C$9:$C$508,$D256,'Time Off'!$D$9:$D$508,"All")&gt;0,"Yes","No")))</x:f>
      </x:c>
      <x:c r="I256" s="29" t="str">
        <x:f>IF($A256="","",IF(OR($G256&lt;&gt;"Yes",$H256="Yes"),0,MIN($F256,SUMIFS('Time Off'!$I$9:$I$508,'Time Off'!$G$9:$G$508,$A256,'Time Off'!$H$9:$H$508,$E256))))</x:f>
      </x:c>
      <x:c r="J256" s="29" t="str">
        <x:f>IF($A256="","",IF(OR($G256&lt;&gt;"Yes",$H256="Yes"),0,MAX(0,$F256-$I256)))</x:f>
      </x:c>
    </x:row>
    <x:row r="257">
      <x:c r="A257" s="27" t="str">
        <x:f>IF('Team Setup'!$A$28="","",'Team Setup'!$A$28)</x:f>
      </x:c>
      <x:c r="B257" s="27" t="str">
        <x:f>IF($A257="","",'Team Setup'!$B$28)</x:f>
      </x:c>
      <x:c r="C257" s="27" t="str">
        <x:f>IF($A257="","",'Team Setup'!$C$28)</x:f>
      </x:c>
      <x:c r="D257" s="27" t="str">
        <x:f>IF($A257="","",'Team Setup'!$D$28)</x:f>
      </x:c>
      <x:c r="E257" s="28" t="str">
        <x:f>IF(OR('Team Setup'!$D$4="",NOT(ISNUMBER('Team Setup'!$D$4))),"",'Team Setup'!$D$4+0)</x:f>
      </x:c>
      <x:c r="F257" s="29" t="str">
        <x:f>IF($A257="","",'Team Setup'!$E$28)</x:f>
      </x:c>
      <x:c r="G257" s="29" t="str">
        <x:f>IF($A257="","",IF(OR($E257="",$E257&lt;'Team Setup'!$D$4,$E257&gt;'Team Setup'!$F$4),"No",IF(WEEKDAY($E257,2)&gt;5,"No","Yes")))</x:f>
      </x:c>
      <x:c r="H257" s="29" t="str">
        <x:f>IF($A257="","",IF(OR($G257&lt;&gt;"Yes",$E257=""),"No",IF(COUNTIFS('Time Off'!$A$9:$A$508,$E257,'Time Off'!$C$9:$C$508,$D257,'Time Off'!$D$9:$D$508,$C257)+COUNTIFS('Time Off'!$A$9:$A$508,$E257,'Time Off'!$C$9:$C$508,$D257,'Time Off'!$D$9:$D$508,"All")&gt;0,"Yes","No")))</x:f>
      </x:c>
      <x:c r="I257" s="29" t="str">
        <x:f>IF($A257="","",IF(OR($G257&lt;&gt;"Yes",$H257="Yes"),0,MIN($F257,SUMIFS('Time Off'!$I$9:$I$508,'Time Off'!$G$9:$G$508,$A257,'Time Off'!$H$9:$H$508,$E257))))</x:f>
      </x:c>
      <x:c r="J257" s="29" t="str">
        <x:f>IF($A257="","",IF(OR($G257&lt;&gt;"Yes",$H257="Yes"),0,MAX(0,$F257-$I257)))</x:f>
      </x:c>
    </x:row>
    <x:row r="258">
      <x:c r="A258" s="27" t="str">
        <x:f>IF('Team Setup'!$A$28="","",'Team Setup'!$A$28)</x:f>
      </x:c>
      <x:c r="B258" s="27" t="str">
        <x:f>IF($A258="","",'Team Setup'!$B$28)</x:f>
      </x:c>
      <x:c r="C258" s="27" t="str">
        <x:f>IF($A258="","",'Team Setup'!$C$28)</x:f>
      </x:c>
      <x:c r="D258" s="27" t="str">
        <x:f>IF($A258="","",'Team Setup'!$D$28)</x:f>
      </x:c>
      <x:c r="E258" s="28" t="str">
        <x:f>IF(OR('Team Setup'!$D$4="",NOT(ISNUMBER('Team Setup'!$D$4))),"",'Team Setup'!$D$4+1)</x:f>
      </x:c>
      <x:c r="F258" s="29" t="str">
        <x:f>IF($A258="","",'Team Setup'!$E$28)</x:f>
      </x:c>
      <x:c r="G258" s="29" t="str">
        <x:f>IF($A258="","",IF(OR($E258="",$E258&lt;'Team Setup'!$D$4,$E258&gt;'Team Setup'!$F$4),"No",IF(WEEKDAY($E258,2)&gt;5,"No","Yes")))</x:f>
      </x:c>
      <x:c r="H258" s="29" t="str">
        <x:f>IF($A258="","",IF(OR($G258&lt;&gt;"Yes",$E258=""),"No",IF(COUNTIFS('Time Off'!$A$9:$A$508,$E258,'Time Off'!$C$9:$C$508,$D258,'Time Off'!$D$9:$D$508,$C258)+COUNTIFS('Time Off'!$A$9:$A$508,$E258,'Time Off'!$C$9:$C$508,$D258,'Time Off'!$D$9:$D$508,"All")&gt;0,"Yes","No")))</x:f>
      </x:c>
      <x:c r="I258" s="29" t="str">
        <x:f>IF($A258="","",IF(OR($G258&lt;&gt;"Yes",$H258="Yes"),0,MIN($F258,SUMIFS('Time Off'!$I$9:$I$508,'Time Off'!$G$9:$G$508,$A258,'Time Off'!$H$9:$H$508,$E258))))</x:f>
      </x:c>
      <x:c r="J258" s="29" t="str">
        <x:f>IF($A258="","",IF(OR($G258&lt;&gt;"Yes",$H258="Yes"),0,MAX(0,$F258-$I258)))</x:f>
      </x:c>
    </x:row>
    <x:row r="259">
      <x:c r="A259" s="27" t="str">
        <x:f>IF('Team Setup'!$A$28="","",'Team Setup'!$A$28)</x:f>
      </x:c>
      <x:c r="B259" s="27" t="str">
        <x:f>IF($A259="","",'Team Setup'!$B$28)</x:f>
      </x:c>
      <x:c r="C259" s="27" t="str">
        <x:f>IF($A259="","",'Team Setup'!$C$28)</x:f>
      </x:c>
      <x:c r="D259" s="27" t="str">
        <x:f>IF($A259="","",'Team Setup'!$D$28)</x:f>
      </x:c>
      <x:c r="E259" s="28" t="str">
        <x:f>IF(OR('Team Setup'!$D$4="",NOT(ISNUMBER('Team Setup'!$D$4))),"",'Team Setup'!$D$4+2)</x:f>
      </x:c>
      <x:c r="F259" s="29" t="str">
        <x:f>IF($A259="","",'Team Setup'!$E$28)</x:f>
      </x:c>
      <x:c r="G259" s="29" t="str">
        <x:f>IF($A259="","",IF(OR($E259="",$E259&lt;'Team Setup'!$D$4,$E259&gt;'Team Setup'!$F$4),"No",IF(WEEKDAY($E259,2)&gt;5,"No","Yes")))</x:f>
      </x:c>
      <x:c r="H259" s="29" t="str">
        <x:f>IF($A259="","",IF(OR($G259&lt;&gt;"Yes",$E259=""),"No",IF(COUNTIFS('Time Off'!$A$9:$A$508,$E259,'Time Off'!$C$9:$C$508,$D259,'Time Off'!$D$9:$D$508,$C259)+COUNTIFS('Time Off'!$A$9:$A$508,$E259,'Time Off'!$C$9:$C$508,$D259,'Time Off'!$D$9:$D$508,"All")&gt;0,"Yes","No")))</x:f>
      </x:c>
      <x:c r="I259" s="29" t="str">
        <x:f>IF($A259="","",IF(OR($G259&lt;&gt;"Yes",$H259="Yes"),0,MIN($F259,SUMIFS('Time Off'!$I$9:$I$508,'Time Off'!$G$9:$G$508,$A259,'Time Off'!$H$9:$H$508,$E259))))</x:f>
      </x:c>
      <x:c r="J259" s="29" t="str">
        <x:f>IF($A259="","",IF(OR($G259&lt;&gt;"Yes",$H259="Yes"),0,MAX(0,$F259-$I259)))</x:f>
      </x:c>
    </x:row>
    <x:row r="260">
      <x:c r="A260" s="27" t="str">
        <x:f>IF('Team Setup'!$A$28="","",'Team Setup'!$A$28)</x:f>
      </x:c>
      <x:c r="B260" s="27" t="str">
        <x:f>IF($A260="","",'Team Setup'!$B$28)</x:f>
      </x:c>
      <x:c r="C260" s="27" t="str">
        <x:f>IF($A260="","",'Team Setup'!$C$28)</x:f>
      </x:c>
      <x:c r="D260" s="27" t="str">
        <x:f>IF($A260="","",'Team Setup'!$D$28)</x:f>
      </x:c>
      <x:c r="E260" s="28" t="str">
        <x:f>IF(OR('Team Setup'!$D$4="",NOT(ISNUMBER('Team Setup'!$D$4))),"",'Team Setup'!$D$4+3)</x:f>
      </x:c>
      <x:c r="F260" s="29" t="str">
        <x:f>IF($A260="","",'Team Setup'!$E$28)</x:f>
      </x:c>
      <x:c r="G260" s="29" t="str">
        <x:f>IF($A260="","",IF(OR($E260="",$E260&lt;'Team Setup'!$D$4,$E260&gt;'Team Setup'!$F$4),"No",IF(WEEKDAY($E260,2)&gt;5,"No","Yes")))</x:f>
      </x:c>
      <x:c r="H260" s="29" t="str">
        <x:f>IF($A260="","",IF(OR($G260&lt;&gt;"Yes",$E260=""),"No",IF(COUNTIFS('Time Off'!$A$9:$A$508,$E260,'Time Off'!$C$9:$C$508,$D260,'Time Off'!$D$9:$D$508,$C260)+COUNTIFS('Time Off'!$A$9:$A$508,$E260,'Time Off'!$C$9:$C$508,$D260,'Time Off'!$D$9:$D$508,"All")&gt;0,"Yes","No")))</x:f>
      </x:c>
      <x:c r="I260" s="29" t="str">
        <x:f>IF($A260="","",IF(OR($G260&lt;&gt;"Yes",$H260="Yes"),0,MIN($F260,SUMIFS('Time Off'!$I$9:$I$508,'Time Off'!$G$9:$G$508,$A260,'Time Off'!$H$9:$H$508,$E260))))</x:f>
      </x:c>
      <x:c r="J260" s="29" t="str">
        <x:f>IF($A260="","",IF(OR($G260&lt;&gt;"Yes",$H260="Yes"),0,MAX(0,$F260-$I260)))</x:f>
      </x:c>
    </x:row>
    <x:row r="261">
      <x:c r="A261" s="27" t="str">
        <x:f>IF('Team Setup'!$A$28="","",'Team Setup'!$A$28)</x:f>
      </x:c>
      <x:c r="B261" s="27" t="str">
        <x:f>IF($A261="","",'Team Setup'!$B$28)</x:f>
      </x:c>
      <x:c r="C261" s="27" t="str">
        <x:f>IF($A261="","",'Team Setup'!$C$28)</x:f>
      </x:c>
      <x:c r="D261" s="27" t="str">
        <x:f>IF($A261="","",'Team Setup'!$D$28)</x:f>
      </x:c>
      <x:c r="E261" s="28" t="str">
        <x:f>IF(OR('Team Setup'!$D$4="",NOT(ISNUMBER('Team Setup'!$D$4))),"",'Team Setup'!$D$4+4)</x:f>
      </x:c>
      <x:c r="F261" s="29" t="str">
        <x:f>IF($A261="","",'Team Setup'!$E$28)</x:f>
      </x:c>
      <x:c r="G261" s="29" t="str">
        <x:f>IF($A261="","",IF(OR($E261="",$E261&lt;'Team Setup'!$D$4,$E261&gt;'Team Setup'!$F$4),"No",IF(WEEKDAY($E261,2)&gt;5,"No","Yes")))</x:f>
      </x:c>
      <x:c r="H261" s="29" t="str">
        <x:f>IF($A261="","",IF(OR($G261&lt;&gt;"Yes",$E261=""),"No",IF(COUNTIFS('Time Off'!$A$9:$A$508,$E261,'Time Off'!$C$9:$C$508,$D261,'Time Off'!$D$9:$D$508,$C261)+COUNTIFS('Time Off'!$A$9:$A$508,$E261,'Time Off'!$C$9:$C$508,$D261,'Time Off'!$D$9:$D$508,"All")&gt;0,"Yes","No")))</x:f>
      </x:c>
      <x:c r="I261" s="29" t="str">
        <x:f>IF($A261="","",IF(OR($G261&lt;&gt;"Yes",$H261="Yes"),0,MIN($F261,SUMIFS('Time Off'!$I$9:$I$508,'Time Off'!$G$9:$G$508,$A261,'Time Off'!$H$9:$H$508,$E261))))</x:f>
      </x:c>
      <x:c r="J261" s="29" t="str">
        <x:f>IF($A261="","",IF(OR($G261&lt;&gt;"Yes",$H261="Yes"),0,MAX(0,$F261-$I261)))</x:f>
      </x:c>
    </x:row>
    <x:row r="262">
      <x:c r="A262" s="27" t="str">
        <x:f>IF('Team Setup'!$A$28="","",'Team Setup'!$A$28)</x:f>
      </x:c>
      <x:c r="B262" s="27" t="str">
        <x:f>IF($A262="","",'Team Setup'!$B$28)</x:f>
      </x:c>
      <x:c r="C262" s="27" t="str">
        <x:f>IF($A262="","",'Team Setup'!$C$28)</x:f>
      </x:c>
      <x:c r="D262" s="27" t="str">
        <x:f>IF($A262="","",'Team Setup'!$D$28)</x:f>
      </x:c>
      <x:c r="E262" s="28" t="str">
        <x:f>IF(OR('Team Setup'!$D$4="",NOT(ISNUMBER('Team Setup'!$D$4))),"",'Team Setup'!$D$4+5)</x:f>
      </x:c>
      <x:c r="F262" s="29" t="str">
        <x:f>IF($A262="","",'Team Setup'!$E$28)</x:f>
      </x:c>
      <x:c r="G262" s="29" t="str">
        <x:f>IF($A262="","",IF(OR($E262="",$E262&lt;'Team Setup'!$D$4,$E262&gt;'Team Setup'!$F$4),"No",IF(WEEKDAY($E262,2)&gt;5,"No","Yes")))</x:f>
      </x:c>
      <x:c r="H262" s="29" t="str">
        <x:f>IF($A262="","",IF(OR($G262&lt;&gt;"Yes",$E262=""),"No",IF(COUNTIFS('Time Off'!$A$9:$A$508,$E262,'Time Off'!$C$9:$C$508,$D262,'Time Off'!$D$9:$D$508,$C262)+COUNTIFS('Time Off'!$A$9:$A$508,$E262,'Time Off'!$C$9:$C$508,$D262,'Time Off'!$D$9:$D$508,"All")&gt;0,"Yes","No")))</x:f>
      </x:c>
      <x:c r="I262" s="29" t="str">
        <x:f>IF($A262="","",IF(OR($G262&lt;&gt;"Yes",$H262="Yes"),0,MIN($F262,SUMIFS('Time Off'!$I$9:$I$508,'Time Off'!$G$9:$G$508,$A262,'Time Off'!$H$9:$H$508,$E262))))</x:f>
      </x:c>
      <x:c r="J262" s="29" t="str">
        <x:f>IF($A262="","",IF(OR($G262&lt;&gt;"Yes",$H262="Yes"),0,MAX(0,$F262-$I262)))</x:f>
      </x:c>
    </x:row>
    <x:row r="263">
      <x:c r="A263" s="27" t="str">
        <x:f>IF('Team Setup'!$A$28="","",'Team Setup'!$A$28)</x:f>
      </x:c>
      <x:c r="B263" s="27" t="str">
        <x:f>IF($A263="","",'Team Setup'!$B$28)</x:f>
      </x:c>
      <x:c r="C263" s="27" t="str">
        <x:f>IF($A263="","",'Team Setup'!$C$28)</x:f>
      </x:c>
      <x:c r="D263" s="27" t="str">
        <x:f>IF($A263="","",'Team Setup'!$D$28)</x:f>
      </x:c>
      <x:c r="E263" s="28" t="str">
        <x:f>IF(OR('Team Setup'!$D$4="",NOT(ISNUMBER('Team Setup'!$D$4))),"",'Team Setup'!$D$4+6)</x:f>
      </x:c>
      <x:c r="F263" s="29" t="str">
        <x:f>IF($A263="","",'Team Setup'!$E$28)</x:f>
      </x:c>
      <x:c r="G263" s="29" t="str">
        <x:f>IF($A263="","",IF(OR($E263="",$E263&lt;'Team Setup'!$D$4,$E263&gt;'Team Setup'!$F$4),"No",IF(WEEKDAY($E263,2)&gt;5,"No","Yes")))</x:f>
      </x:c>
      <x:c r="H263" s="29" t="str">
        <x:f>IF($A263="","",IF(OR($G263&lt;&gt;"Yes",$E263=""),"No",IF(COUNTIFS('Time Off'!$A$9:$A$508,$E263,'Time Off'!$C$9:$C$508,$D263,'Time Off'!$D$9:$D$508,$C263)+COUNTIFS('Time Off'!$A$9:$A$508,$E263,'Time Off'!$C$9:$C$508,$D263,'Time Off'!$D$9:$D$508,"All")&gt;0,"Yes","No")))</x:f>
      </x:c>
      <x:c r="I263" s="29" t="str">
        <x:f>IF($A263="","",IF(OR($G263&lt;&gt;"Yes",$H263="Yes"),0,MIN($F263,SUMIFS('Time Off'!$I$9:$I$508,'Time Off'!$G$9:$G$508,$A263,'Time Off'!$H$9:$H$508,$E263))))</x:f>
      </x:c>
      <x:c r="J263" s="29" t="str">
        <x:f>IF($A263="","",IF(OR($G263&lt;&gt;"Yes",$H263="Yes"),0,MAX(0,$F263-$I263)))</x:f>
      </x:c>
    </x:row>
    <x:row r="264">
      <x:c r="A264" s="27" t="str">
        <x:f>IF('Team Setup'!$A$28="","",'Team Setup'!$A$28)</x:f>
      </x:c>
      <x:c r="B264" s="27" t="str">
        <x:f>IF($A264="","",'Team Setup'!$B$28)</x:f>
      </x:c>
      <x:c r="C264" s="27" t="str">
        <x:f>IF($A264="","",'Team Setup'!$C$28)</x:f>
      </x:c>
      <x:c r="D264" s="27" t="str">
        <x:f>IF($A264="","",'Team Setup'!$D$28)</x:f>
      </x:c>
      <x:c r="E264" s="28" t="str">
        <x:f>IF(OR('Team Setup'!$D$4="",NOT(ISNUMBER('Team Setup'!$D$4))),"",'Team Setup'!$D$4+7)</x:f>
      </x:c>
      <x:c r="F264" s="29" t="str">
        <x:f>IF($A264="","",'Team Setup'!$E$28)</x:f>
      </x:c>
      <x:c r="G264" s="29" t="str">
        <x:f>IF($A264="","",IF(OR($E264="",$E264&lt;'Team Setup'!$D$4,$E264&gt;'Team Setup'!$F$4),"No",IF(WEEKDAY($E264,2)&gt;5,"No","Yes")))</x:f>
      </x:c>
      <x:c r="H264" s="29" t="str">
        <x:f>IF($A264="","",IF(OR($G264&lt;&gt;"Yes",$E264=""),"No",IF(COUNTIFS('Time Off'!$A$9:$A$508,$E264,'Time Off'!$C$9:$C$508,$D264,'Time Off'!$D$9:$D$508,$C264)+COUNTIFS('Time Off'!$A$9:$A$508,$E264,'Time Off'!$C$9:$C$508,$D264,'Time Off'!$D$9:$D$508,"All")&gt;0,"Yes","No")))</x:f>
      </x:c>
      <x:c r="I264" s="29" t="str">
        <x:f>IF($A264="","",IF(OR($G264&lt;&gt;"Yes",$H264="Yes"),0,MIN($F264,SUMIFS('Time Off'!$I$9:$I$508,'Time Off'!$G$9:$G$508,$A264,'Time Off'!$H$9:$H$508,$E264))))</x:f>
      </x:c>
      <x:c r="J264" s="29" t="str">
        <x:f>IF($A264="","",IF(OR($G264&lt;&gt;"Yes",$H264="Yes"),0,MAX(0,$F264-$I264)))</x:f>
      </x:c>
    </x:row>
    <x:row r="265">
      <x:c r="A265" s="27" t="str">
        <x:f>IF('Team Setup'!$A$28="","",'Team Setup'!$A$28)</x:f>
      </x:c>
      <x:c r="B265" s="27" t="str">
        <x:f>IF($A265="","",'Team Setup'!$B$28)</x:f>
      </x:c>
      <x:c r="C265" s="27" t="str">
        <x:f>IF($A265="","",'Team Setup'!$C$28)</x:f>
      </x:c>
      <x:c r="D265" s="27" t="str">
        <x:f>IF($A265="","",'Team Setup'!$D$28)</x:f>
      </x:c>
      <x:c r="E265" s="28" t="str">
        <x:f>IF(OR('Team Setup'!$D$4="",NOT(ISNUMBER('Team Setup'!$D$4))),"",'Team Setup'!$D$4+8)</x:f>
      </x:c>
      <x:c r="F265" s="29" t="str">
        <x:f>IF($A265="","",'Team Setup'!$E$28)</x:f>
      </x:c>
      <x:c r="G265" s="29" t="str">
        <x:f>IF($A265="","",IF(OR($E265="",$E265&lt;'Team Setup'!$D$4,$E265&gt;'Team Setup'!$F$4),"No",IF(WEEKDAY($E265,2)&gt;5,"No","Yes")))</x:f>
      </x:c>
      <x:c r="H265" s="29" t="str">
        <x:f>IF($A265="","",IF(OR($G265&lt;&gt;"Yes",$E265=""),"No",IF(COUNTIFS('Time Off'!$A$9:$A$508,$E265,'Time Off'!$C$9:$C$508,$D265,'Time Off'!$D$9:$D$508,$C265)+COUNTIFS('Time Off'!$A$9:$A$508,$E265,'Time Off'!$C$9:$C$508,$D265,'Time Off'!$D$9:$D$508,"All")&gt;0,"Yes","No")))</x:f>
      </x:c>
      <x:c r="I265" s="29" t="str">
        <x:f>IF($A265="","",IF(OR($G265&lt;&gt;"Yes",$H265="Yes"),0,MIN($F265,SUMIFS('Time Off'!$I$9:$I$508,'Time Off'!$G$9:$G$508,$A265,'Time Off'!$H$9:$H$508,$E265))))</x:f>
      </x:c>
      <x:c r="J265" s="29" t="str">
        <x:f>IF($A265="","",IF(OR($G265&lt;&gt;"Yes",$H265="Yes"),0,MAX(0,$F265-$I265)))</x:f>
      </x:c>
    </x:row>
    <x:row r="266">
      <x:c r="A266" s="27" t="str">
        <x:f>IF('Team Setup'!$A$28="","",'Team Setup'!$A$28)</x:f>
      </x:c>
      <x:c r="B266" s="27" t="str">
        <x:f>IF($A266="","",'Team Setup'!$B$28)</x:f>
      </x:c>
      <x:c r="C266" s="27" t="str">
        <x:f>IF($A266="","",'Team Setup'!$C$28)</x:f>
      </x:c>
      <x:c r="D266" s="27" t="str">
        <x:f>IF($A266="","",'Team Setup'!$D$28)</x:f>
      </x:c>
      <x:c r="E266" s="28" t="str">
        <x:f>IF(OR('Team Setup'!$D$4="",NOT(ISNUMBER('Team Setup'!$D$4))),"",'Team Setup'!$D$4+9)</x:f>
      </x:c>
      <x:c r="F266" s="29" t="str">
        <x:f>IF($A266="","",'Team Setup'!$E$28)</x:f>
      </x:c>
      <x:c r="G266" s="29" t="str">
        <x:f>IF($A266="","",IF(OR($E266="",$E266&lt;'Team Setup'!$D$4,$E266&gt;'Team Setup'!$F$4),"No",IF(WEEKDAY($E266,2)&gt;5,"No","Yes")))</x:f>
      </x:c>
      <x:c r="H266" s="29" t="str">
        <x:f>IF($A266="","",IF(OR($G266&lt;&gt;"Yes",$E266=""),"No",IF(COUNTIFS('Time Off'!$A$9:$A$508,$E266,'Time Off'!$C$9:$C$508,$D266,'Time Off'!$D$9:$D$508,$C266)+COUNTIFS('Time Off'!$A$9:$A$508,$E266,'Time Off'!$C$9:$C$508,$D266,'Time Off'!$D$9:$D$508,"All")&gt;0,"Yes","No")))</x:f>
      </x:c>
      <x:c r="I266" s="29" t="str">
        <x:f>IF($A266="","",IF(OR($G266&lt;&gt;"Yes",$H266="Yes"),0,MIN($F266,SUMIFS('Time Off'!$I$9:$I$508,'Time Off'!$G$9:$G$508,$A266,'Time Off'!$H$9:$H$508,$E266))))</x:f>
      </x:c>
      <x:c r="J266" s="29" t="str">
        <x:f>IF($A266="","",IF(OR($G266&lt;&gt;"Yes",$H266="Yes"),0,MAX(0,$F266-$I266)))</x:f>
      </x:c>
    </x:row>
    <x:row r="267">
      <x:c r="A267" s="27" t="str">
        <x:f>IF('Team Setup'!$A$28="","",'Team Setup'!$A$28)</x:f>
      </x:c>
      <x:c r="B267" s="27" t="str">
        <x:f>IF($A267="","",'Team Setup'!$B$28)</x:f>
      </x:c>
      <x:c r="C267" s="27" t="str">
        <x:f>IF($A267="","",'Team Setup'!$C$28)</x:f>
      </x:c>
      <x:c r="D267" s="27" t="str">
        <x:f>IF($A267="","",'Team Setup'!$D$28)</x:f>
      </x:c>
      <x:c r="E267" s="28" t="str">
        <x:f>IF(OR('Team Setup'!$D$4="",NOT(ISNUMBER('Team Setup'!$D$4))),"",'Team Setup'!$D$4+10)</x:f>
      </x:c>
      <x:c r="F267" s="29" t="str">
        <x:f>IF($A267="","",'Team Setup'!$E$28)</x:f>
      </x:c>
      <x:c r="G267" s="29" t="str">
        <x:f>IF($A267="","",IF(OR($E267="",$E267&lt;'Team Setup'!$D$4,$E267&gt;'Team Setup'!$F$4),"No",IF(WEEKDAY($E267,2)&gt;5,"No","Yes")))</x:f>
      </x:c>
      <x:c r="H267" s="29" t="str">
        <x:f>IF($A267="","",IF(OR($G267&lt;&gt;"Yes",$E267=""),"No",IF(COUNTIFS('Time Off'!$A$9:$A$508,$E267,'Time Off'!$C$9:$C$508,$D267,'Time Off'!$D$9:$D$508,$C267)+COUNTIFS('Time Off'!$A$9:$A$508,$E267,'Time Off'!$C$9:$C$508,$D267,'Time Off'!$D$9:$D$508,"All")&gt;0,"Yes","No")))</x:f>
      </x:c>
      <x:c r="I267" s="29" t="str">
        <x:f>IF($A267="","",IF(OR($G267&lt;&gt;"Yes",$H267="Yes"),0,MIN($F267,SUMIFS('Time Off'!$I$9:$I$508,'Time Off'!$G$9:$G$508,$A267,'Time Off'!$H$9:$H$508,$E267))))</x:f>
      </x:c>
      <x:c r="J267" s="29" t="str">
        <x:f>IF($A267="","",IF(OR($G267&lt;&gt;"Yes",$H267="Yes"),0,MAX(0,$F267-$I267)))</x:f>
      </x:c>
    </x:row>
    <x:row r="268">
      <x:c r="A268" s="27" t="str">
        <x:f>IF('Team Setup'!$A$28="","",'Team Setup'!$A$28)</x:f>
      </x:c>
      <x:c r="B268" s="27" t="str">
        <x:f>IF($A268="","",'Team Setup'!$B$28)</x:f>
      </x:c>
      <x:c r="C268" s="27" t="str">
        <x:f>IF($A268="","",'Team Setup'!$C$28)</x:f>
      </x:c>
      <x:c r="D268" s="27" t="str">
        <x:f>IF($A268="","",'Team Setup'!$D$28)</x:f>
      </x:c>
      <x:c r="E268" s="28" t="str">
        <x:f>IF(OR('Team Setup'!$D$4="",NOT(ISNUMBER('Team Setup'!$D$4))),"",'Team Setup'!$D$4+11)</x:f>
      </x:c>
      <x:c r="F268" s="29" t="str">
        <x:f>IF($A268="","",'Team Setup'!$E$28)</x:f>
      </x:c>
      <x:c r="G268" s="29" t="str">
        <x:f>IF($A268="","",IF(OR($E268="",$E268&lt;'Team Setup'!$D$4,$E268&gt;'Team Setup'!$F$4),"No",IF(WEEKDAY($E268,2)&gt;5,"No","Yes")))</x:f>
      </x:c>
      <x:c r="H268" s="29" t="str">
        <x:f>IF($A268="","",IF(OR($G268&lt;&gt;"Yes",$E268=""),"No",IF(COUNTIFS('Time Off'!$A$9:$A$508,$E268,'Time Off'!$C$9:$C$508,$D268,'Time Off'!$D$9:$D$508,$C268)+COUNTIFS('Time Off'!$A$9:$A$508,$E268,'Time Off'!$C$9:$C$508,$D268,'Time Off'!$D$9:$D$508,"All")&gt;0,"Yes","No")))</x:f>
      </x:c>
      <x:c r="I268" s="29" t="str">
        <x:f>IF($A268="","",IF(OR($G268&lt;&gt;"Yes",$H268="Yes"),0,MIN($F268,SUMIFS('Time Off'!$I$9:$I$508,'Time Off'!$G$9:$G$508,$A268,'Time Off'!$H$9:$H$508,$E268))))</x:f>
      </x:c>
      <x:c r="J268" s="29" t="str">
        <x:f>IF($A268="","",IF(OR($G268&lt;&gt;"Yes",$H268="Yes"),0,MAX(0,$F268-$I268)))</x:f>
      </x:c>
    </x:row>
    <x:row r="269">
      <x:c r="A269" s="27" t="str">
        <x:f>IF('Team Setup'!$A$28="","",'Team Setup'!$A$28)</x:f>
      </x:c>
      <x:c r="B269" s="27" t="str">
        <x:f>IF($A269="","",'Team Setup'!$B$28)</x:f>
      </x:c>
      <x:c r="C269" s="27" t="str">
        <x:f>IF($A269="","",'Team Setup'!$C$28)</x:f>
      </x:c>
      <x:c r="D269" s="27" t="str">
        <x:f>IF($A269="","",'Team Setup'!$D$28)</x:f>
      </x:c>
      <x:c r="E269" s="28" t="str">
        <x:f>IF(OR('Team Setup'!$D$4="",NOT(ISNUMBER('Team Setup'!$D$4))),"",'Team Setup'!$D$4+12)</x:f>
      </x:c>
      <x:c r="F269" s="29" t="str">
        <x:f>IF($A269="","",'Team Setup'!$E$28)</x:f>
      </x:c>
      <x:c r="G269" s="29" t="str">
        <x:f>IF($A269="","",IF(OR($E269="",$E269&lt;'Team Setup'!$D$4,$E269&gt;'Team Setup'!$F$4),"No",IF(WEEKDAY($E269,2)&gt;5,"No","Yes")))</x:f>
      </x:c>
      <x:c r="H269" s="29" t="str">
        <x:f>IF($A269="","",IF(OR($G269&lt;&gt;"Yes",$E269=""),"No",IF(COUNTIFS('Time Off'!$A$9:$A$508,$E269,'Time Off'!$C$9:$C$508,$D269,'Time Off'!$D$9:$D$508,$C269)+COUNTIFS('Time Off'!$A$9:$A$508,$E269,'Time Off'!$C$9:$C$508,$D269,'Time Off'!$D$9:$D$508,"All")&gt;0,"Yes","No")))</x:f>
      </x:c>
      <x:c r="I269" s="29" t="str">
        <x:f>IF($A269="","",IF(OR($G269&lt;&gt;"Yes",$H269="Yes"),0,MIN($F269,SUMIFS('Time Off'!$I$9:$I$508,'Time Off'!$G$9:$G$508,$A269,'Time Off'!$H$9:$H$508,$E269))))</x:f>
      </x:c>
      <x:c r="J269" s="29" t="str">
        <x:f>IF($A269="","",IF(OR($G269&lt;&gt;"Yes",$H269="Yes"),0,MAX(0,$F269-$I269)))</x:f>
      </x:c>
    </x:row>
    <x:row r="270">
      <x:c r="A270" s="27" t="str">
        <x:f>IF('Team Setup'!$A$28="","",'Team Setup'!$A$28)</x:f>
      </x:c>
      <x:c r="B270" s="27" t="str">
        <x:f>IF($A270="","",'Team Setup'!$B$28)</x:f>
      </x:c>
      <x:c r="C270" s="27" t="str">
        <x:f>IF($A270="","",'Team Setup'!$C$28)</x:f>
      </x:c>
      <x:c r="D270" s="27" t="str">
        <x:f>IF($A270="","",'Team Setup'!$D$28)</x:f>
      </x:c>
      <x:c r="E270" s="28" t="str">
        <x:f>IF(OR('Team Setup'!$D$4="",NOT(ISNUMBER('Team Setup'!$D$4))),"",'Team Setup'!$D$4+13)</x:f>
      </x:c>
      <x:c r="F270" s="29" t="str">
        <x:f>IF($A270="","",'Team Setup'!$E$28)</x:f>
      </x:c>
      <x:c r="G270" s="29" t="str">
        <x:f>IF($A270="","",IF(OR($E270="",$E270&lt;'Team Setup'!$D$4,$E270&gt;'Team Setup'!$F$4),"No",IF(WEEKDAY($E270,2)&gt;5,"No","Yes")))</x:f>
      </x:c>
      <x:c r="H270" s="29" t="str">
        <x:f>IF($A270="","",IF(OR($G270&lt;&gt;"Yes",$E270=""),"No",IF(COUNTIFS('Time Off'!$A$9:$A$508,$E270,'Time Off'!$C$9:$C$508,$D270,'Time Off'!$D$9:$D$508,$C270)+COUNTIFS('Time Off'!$A$9:$A$508,$E270,'Time Off'!$C$9:$C$508,$D270,'Time Off'!$D$9:$D$508,"All")&gt;0,"Yes","No")))</x:f>
      </x:c>
      <x:c r="I270" s="29" t="str">
        <x:f>IF($A270="","",IF(OR($G270&lt;&gt;"Yes",$H270="Yes"),0,MIN($F270,SUMIFS('Time Off'!$I$9:$I$508,'Time Off'!$G$9:$G$508,$A270,'Time Off'!$H$9:$H$508,$E270))))</x:f>
      </x:c>
      <x:c r="J270" s="29" t="str">
        <x:f>IF($A270="","",IF(OR($G270&lt;&gt;"Yes",$H270="Yes"),0,MAX(0,$F270-$I270)))</x:f>
      </x:c>
    </x:row>
    <x:row r="271">
      <x:c r="A271" s="27" t="str">
        <x:f>IF('Team Setup'!$A$29="","",'Team Setup'!$A$29)</x:f>
      </x:c>
      <x:c r="B271" s="27" t="str">
        <x:f>IF($A271="","",'Team Setup'!$B$29)</x:f>
      </x:c>
      <x:c r="C271" s="27" t="str">
        <x:f>IF($A271="","",'Team Setup'!$C$29)</x:f>
      </x:c>
      <x:c r="D271" s="27" t="str">
        <x:f>IF($A271="","",'Team Setup'!$D$29)</x:f>
      </x:c>
      <x:c r="E271" s="28" t="str">
        <x:f>IF(OR('Team Setup'!$D$4="",NOT(ISNUMBER('Team Setup'!$D$4))),"",'Team Setup'!$D$4+0)</x:f>
      </x:c>
      <x:c r="F271" s="29" t="str">
        <x:f>IF($A271="","",'Team Setup'!$E$29)</x:f>
      </x:c>
      <x:c r="G271" s="29" t="str">
        <x:f>IF($A271="","",IF(OR($E271="",$E271&lt;'Team Setup'!$D$4,$E271&gt;'Team Setup'!$F$4),"No",IF(WEEKDAY($E271,2)&gt;5,"No","Yes")))</x:f>
      </x:c>
      <x:c r="H271" s="29" t="str">
        <x:f>IF($A271="","",IF(OR($G271&lt;&gt;"Yes",$E271=""),"No",IF(COUNTIFS('Time Off'!$A$9:$A$508,$E271,'Time Off'!$C$9:$C$508,$D271,'Time Off'!$D$9:$D$508,$C271)+COUNTIFS('Time Off'!$A$9:$A$508,$E271,'Time Off'!$C$9:$C$508,$D271,'Time Off'!$D$9:$D$508,"All")&gt;0,"Yes","No")))</x:f>
      </x:c>
      <x:c r="I271" s="29" t="str">
        <x:f>IF($A271="","",IF(OR($G271&lt;&gt;"Yes",$H271="Yes"),0,MIN($F271,SUMIFS('Time Off'!$I$9:$I$508,'Time Off'!$G$9:$G$508,$A271,'Time Off'!$H$9:$H$508,$E271))))</x:f>
      </x:c>
      <x:c r="J271" s="29" t="str">
        <x:f>IF($A271="","",IF(OR($G271&lt;&gt;"Yes",$H271="Yes"),0,MAX(0,$F271-$I271)))</x:f>
      </x:c>
    </x:row>
    <x:row r="272">
      <x:c r="A272" s="27" t="str">
        <x:f>IF('Team Setup'!$A$29="","",'Team Setup'!$A$29)</x:f>
      </x:c>
      <x:c r="B272" s="27" t="str">
        <x:f>IF($A272="","",'Team Setup'!$B$29)</x:f>
      </x:c>
      <x:c r="C272" s="27" t="str">
        <x:f>IF($A272="","",'Team Setup'!$C$29)</x:f>
      </x:c>
      <x:c r="D272" s="27" t="str">
        <x:f>IF($A272="","",'Team Setup'!$D$29)</x:f>
      </x:c>
      <x:c r="E272" s="28" t="str">
        <x:f>IF(OR('Team Setup'!$D$4="",NOT(ISNUMBER('Team Setup'!$D$4))),"",'Team Setup'!$D$4+1)</x:f>
      </x:c>
      <x:c r="F272" s="29" t="str">
        <x:f>IF($A272="","",'Team Setup'!$E$29)</x:f>
      </x:c>
      <x:c r="G272" s="29" t="str">
        <x:f>IF($A272="","",IF(OR($E272="",$E272&lt;'Team Setup'!$D$4,$E272&gt;'Team Setup'!$F$4),"No",IF(WEEKDAY($E272,2)&gt;5,"No","Yes")))</x:f>
      </x:c>
      <x:c r="H272" s="29" t="str">
        <x:f>IF($A272="","",IF(OR($G272&lt;&gt;"Yes",$E272=""),"No",IF(COUNTIFS('Time Off'!$A$9:$A$508,$E272,'Time Off'!$C$9:$C$508,$D272,'Time Off'!$D$9:$D$508,$C272)+COUNTIFS('Time Off'!$A$9:$A$508,$E272,'Time Off'!$C$9:$C$508,$D272,'Time Off'!$D$9:$D$508,"All")&gt;0,"Yes","No")))</x:f>
      </x:c>
      <x:c r="I272" s="29" t="str">
        <x:f>IF($A272="","",IF(OR($G272&lt;&gt;"Yes",$H272="Yes"),0,MIN($F272,SUMIFS('Time Off'!$I$9:$I$508,'Time Off'!$G$9:$G$508,$A272,'Time Off'!$H$9:$H$508,$E272))))</x:f>
      </x:c>
      <x:c r="J272" s="29" t="str">
        <x:f>IF($A272="","",IF(OR($G272&lt;&gt;"Yes",$H272="Yes"),0,MAX(0,$F272-$I272)))</x:f>
      </x:c>
    </x:row>
    <x:row r="273">
      <x:c r="A273" s="27" t="str">
        <x:f>IF('Team Setup'!$A$29="","",'Team Setup'!$A$29)</x:f>
      </x:c>
      <x:c r="B273" s="27" t="str">
        <x:f>IF($A273="","",'Team Setup'!$B$29)</x:f>
      </x:c>
      <x:c r="C273" s="27" t="str">
        <x:f>IF($A273="","",'Team Setup'!$C$29)</x:f>
      </x:c>
      <x:c r="D273" s="27" t="str">
        <x:f>IF($A273="","",'Team Setup'!$D$29)</x:f>
      </x:c>
      <x:c r="E273" s="28" t="str">
        <x:f>IF(OR('Team Setup'!$D$4="",NOT(ISNUMBER('Team Setup'!$D$4))),"",'Team Setup'!$D$4+2)</x:f>
      </x:c>
      <x:c r="F273" s="29" t="str">
        <x:f>IF($A273="","",'Team Setup'!$E$29)</x:f>
      </x:c>
      <x:c r="G273" s="29" t="str">
        <x:f>IF($A273="","",IF(OR($E273="",$E273&lt;'Team Setup'!$D$4,$E273&gt;'Team Setup'!$F$4),"No",IF(WEEKDAY($E273,2)&gt;5,"No","Yes")))</x:f>
      </x:c>
      <x:c r="H273" s="29" t="str">
        <x:f>IF($A273="","",IF(OR($G273&lt;&gt;"Yes",$E273=""),"No",IF(COUNTIFS('Time Off'!$A$9:$A$508,$E273,'Time Off'!$C$9:$C$508,$D273,'Time Off'!$D$9:$D$508,$C273)+COUNTIFS('Time Off'!$A$9:$A$508,$E273,'Time Off'!$C$9:$C$508,$D273,'Time Off'!$D$9:$D$508,"All")&gt;0,"Yes","No")))</x:f>
      </x:c>
      <x:c r="I273" s="29" t="str">
        <x:f>IF($A273="","",IF(OR($G273&lt;&gt;"Yes",$H273="Yes"),0,MIN($F273,SUMIFS('Time Off'!$I$9:$I$508,'Time Off'!$G$9:$G$508,$A273,'Time Off'!$H$9:$H$508,$E273))))</x:f>
      </x:c>
      <x:c r="J273" s="29" t="str">
        <x:f>IF($A273="","",IF(OR($G273&lt;&gt;"Yes",$H273="Yes"),0,MAX(0,$F273-$I273)))</x:f>
      </x:c>
    </x:row>
    <x:row r="274">
      <x:c r="A274" s="27" t="str">
        <x:f>IF('Team Setup'!$A$29="","",'Team Setup'!$A$29)</x:f>
      </x:c>
      <x:c r="B274" s="27" t="str">
        <x:f>IF($A274="","",'Team Setup'!$B$29)</x:f>
      </x:c>
      <x:c r="C274" s="27" t="str">
        <x:f>IF($A274="","",'Team Setup'!$C$29)</x:f>
      </x:c>
      <x:c r="D274" s="27" t="str">
        <x:f>IF($A274="","",'Team Setup'!$D$29)</x:f>
      </x:c>
      <x:c r="E274" s="28" t="str">
        <x:f>IF(OR('Team Setup'!$D$4="",NOT(ISNUMBER('Team Setup'!$D$4))),"",'Team Setup'!$D$4+3)</x:f>
      </x:c>
      <x:c r="F274" s="29" t="str">
        <x:f>IF($A274="","",'Team Setup'!$E$29)</x:f>
      </x:c>
      <x:c r="G274" s="29" t="str">
        <x:f>IF($A274="","",IF(OR($E274="",$E274&lt;'Team Setup'!$D$4,$E274&gt;'Team Setup'!$F$4),"No",IF(WEEKDAY($E274,2)&gt;5,"No","Yes")))</x:f>
      </x:c>
      <x:c r="H274" s="29" t="str">
        <x:f>IF($A274="","",IF(OR($G274&lt;&gt;"Yes",$E274=""),"No",IF(COUNTIFS('Time Off'!$A$9:$A$508,$E274,'Time Off'!$C$9:$C$508,$D274,'Time Off'!$D$9:$D$508,$C274)+COUNTIFS('Time Off'!$A$9:$A$508,$E274,'Time Off'!$C$9:$C$508,$D274,'Time Off'!$D$9:$D$508,"All")&gt;0,"Yes","No")))</x:f>
      </x:c>
      <x:c r="I274" s="29" t="str">
        <x:f>IF($A274="","",IF(OR($G274&lt;&gt;"Yes",$H274="Yes"),0,MIN($F274,SUMIFS('Time Off'!$I$9:$I$508,'Time Off'!$G$9:$G$508,$A274,'Time Off'!$H$9:$H$508,$E274))))</x:f>
      </x:c>
      <x:c r="J274" s="29" t="str">
        <x:f>IF($A274="","",IF(OR($G274&lt;&gt;"Yes",$H274="Yes"),0,MAX(0,$F274-$I274)))</x:f>
      </x:c>
    </x:row>
    <x:row r="275">
      <x:c r="A275" s="27" t="str">
        <x:f>IF('Team Setup'!$A$29="","",'Team Setup'!$A$29)</x:f>
      </x:c>
      <x:c r="B275" s="27" t="str">
        <x:f>IF($A275="","",'Team Setup'!$B$29)</x:f>
      </x:c>
      <x:c r="C275" s="27" t="str">
        <x:f>IF($A275="","",'Team Setup'!$C$29)</x:f>
      </x:c>
      <x:c r="D275" s="27" t="str">
        <x:f>IF($A275="","",'Team Setup'!$D$29)</x:f>
      </x:c>
      <x:c r="E275" s="28" t="str">
        <x:f>IF(OR('Team Setup'!$D$4="",NOT(ISNUMBER('Team Setup'!$D$4))),"",'Team Setup'!$D$4+4)</x:f>
      </x:c>
      <x:c r="F275" s="29" t="str">
        <x:f>IF($A275="","",'Team Setup'!$E$29)</x:f>
      </x:c>
      <x:c r="G275" s="29" t="str">
        <x:f>IF($A275="","",IF(OR($E275="",$E275&lt;'Team Setup'!$D$4,$E275&gt;'Team Setup'!$F$4),"No",IF(WEEKDAY($E275,2)&gt;5,"No","Yes")))</x:f>
      </x:c>
      <x:c r="H275" s="29" t="str">
        <x:f>IF($A275="","",IF(OR($G275&lt;&gt;"Yes",$E275=""),"No",IF(COUNTIFS('Time Off'!$A$9:$A$508,$E275,'Time Off'!$C$9:$C$508,$D275,'Time Off'!$D$9:$D$508,$C275)+COUNTIFS('Time Off'!$A$9:$A$508,$E275,'Time Off'!$C$9:$C$508,$D275,'Time Off'!$D$9:$D$508,"All")&gt;0,"Yes","No")))</x:f>
      </x:c>
      <x:c r="I275" s="29" t="str">
        <x:f>IF($A275="","",IF(OR($G275&lt;&gt;"Yes",$H275="Yes"),0,MIN($F275,SUMIFS('Time Off'!$I$9:$I$508,'Time Off'!$G$9:$G$508,$A275,'Time Off'!$H$9:$H$508,$E275))))</x:f>
      </x:c>
      <x:c r="J275" s="29" t="str">
        <x:f>IF($A275="","",IF(OR($G275&lt;&gt;"Yes",$H275="Yes"),0,MAX(0,$F275-$I275)))</x:f>
      </x:c>
    </x:row>
    <x:row r="276">
      <x:c r="A276" s="27" t="str">
        <x:f>IF('Team Setup'!$A$29="","",'Team Setup'!$A$29)</x:f>
      </x:c>
      <x:c r="B276" s="27" t="str">
        <x:f>IF($A276="","",'Team Setup'!$B$29)</x:f>
      </x:c>
      <x:c r="C276" s="27" t="str">
        <x:f>IF($A276="","",'Team Setup'!$C$29)</x:f>
      </x:c>
      <x:c r="D276" s="27" t="str">
        <x:f>IF($A276="","",'Team Setup'!$D$29)</x:f>
      </x:c>
      <x:c r="E276" s="28" t="str">
        <x:f>IF(OR('Team Setup'!$D$4="",NOT(ISNUMBER('Team Setup'!$D$4))),"",'Team Setup'!$D$4+5)</x:f>
      </x:c>
      <x:c r="F276" s="29" t="str">
        <x:f>IF($A276="","",'Team Setup'!$E$29)</x:f>
      </x:c>
      <x:c r="G276" s="29" t="str">
        <x:f>IF($A276="","",IF(OR($E276="",$E276&lt;'Team Setup'!$D$4,$E276&gt;'Team Setup'!$F$4),"No",IF(WEEKDAY($E276,2)&gt;5,"No","Yes")))</x:f>
      </x:c>
      <x:c r="H276" s="29" t="str">
        <x:f>IF($A276="","",IF(OR($G276&lt;&gt;"Yes",$E276=""),"No",IF(COUNTIFS('Time Off'!$A$9:$A$508,$E276,'Time Off'!$C$9:$C$508,$D276,'Time Off'!$D$9:$D$508,$C276)+COUNTIFS('Time Off'!$A$9:$A$508,$E276,'Time Off'!$C$9:$C$508,$D276,'Time Off'!$D$9:$D$508,"All")&gt;0,"Yes","No")))</x:f>
      </x:c>
      <x:c r="I276" s="29" t="str">
        <x:f>IF($A276="","",IF(OR($G276&lt;&gt;"Yes",$H276="Yes"),0,MIN($F276,SUMIFS('Time Off'!$I$9:$I$508,'Time Off'!$G$9:$G$508,$A276,'Time Off'!$H$9:$H$508,$E276))))</x:f>
      </x:c>
      <x:c r="J276" s="29" t="str">
        <x:f>IF($A276="","",IF(OR($G276&lt;&gt;"Yes",$H276="Yes"),0,MAX(0,$F276-$I276)))</x:f>
      </x:c>
    </x:row>
    <x:row r="277">
      <x:c r="A277" s="27" t="str">
        <x:f>IF('Team Setup'!$A$29="","",'Team Setup'!$A$29)</x:f>
      </x:c>
      <x:c r="B277" s="27" t="str">
        <x:f>IF($A277="","",'Team Setup'!$B$29)</x:f>
      </x:c>
      <x:c r="C277" s="27" t="str">
        <x:f>IF($A277="","",'Team Setup'!$C$29)</x:f>
      </x:c>
      <x:c r="D277" s="27" t="str">
        <x:f>IF($A277="","",'Team Setup'!$D$29)</x:f>
      </x:c>
      <x:c r="E277" s="28" t="str">
        <x:f>IF(OR('Team Setup'!$D$4="",NOT(ISNUMBER('Team Setup'!$D$4))),"",'Team Setup'!$D$4+6)</x:f>
      </x:c>
      <x:c r="F277" s="29" t="str">
        <x:f>IF($A277="","",'Team Setup'!$E$29)</x:f>
      </x:c>
      <x:c r="G277" s="29" t="str">
        <x:f>IF($A277="","",IF(OR($E277="",$E277&lt;'Team Setup'!$D$4,$E277&gt;'Team Setup'!$F$4),"No",IF(WEEKDAY($E277,2)&gt;5,"No","Yes")))</x:f>
      </x:c>
      <x:c r="H277" s="29" t="str">
        <x:f>IF($A277="","",IF(OR($G277&lt;&gt;"Yes",$E277=""),"No",IF(COUNTIFS('Time Off'!$A$9:$A$508,$E277,'Time Off'!$C$9:$C$508,$D277,'Time Off'!$D$9:$D$508,$C277)+COUNTIFS('Time Off'!$A$9:$A$508,$E277,'Time Off'!$C$9:$C$508,$D277,'Time Off'!$D$9:$D$508,"All")&gt;0,"Yes","No")))</x:f>
      </x:c>
      <x:c r="I277" s="29" t="str">
        <x:f>IF($A277="","",IF(OR($G277&lt;&gt;"Yes",$H277="Yes"),0,MIN($F277,SUMIFS('Time Off'!$I$9:$I$508,'Time Off'!$G$9:$G$508,$A277,'Time Off'!$H$9:$H$508,$E277))))</x:f>
      </x:c>
      <x:c r="J277" s="29" t="str">
        <x:f>IF($A277="","",IF(OR($G277&lt;&gt;"Yes",$H277="Yes"),0,MAX(0,$F277-$I277)))</x:f>
      </x:c>
    </x:row>
    <x:row r="278">
      <x:c r="A278" s="27" t="str">
        <x:f>IF('Team Setup'!$A$29="","",'Team Setup'!$A$29)</x:f>
      </x:c>
      <x:c r="B278" s="27" t="str">
        <x:f>IF($A278="","",'Team Setup'!$B$29)</x:f>
      </x:c>
      <x:c r="C278" s="27" t="str">
        <x:f>IF($A278="","",'Team Setup'!$C$29)</x:f>
      </x:c>
      <x:c r="D278" s="27" t="str">
        <x:f>IF($A278="","",'Team Setup'!$D$29)</x:f>
      </x:c>
      <x:c r="E278" s="28" t="str">
        <x:f>IF(OR('Team Setup'!$D$4="",NOT(ISNUMBER('Team Setup'!$D$4))),"",'Team Setup'!$D$4+7)</x:f>
      </x:c>
      <x:c r="F278" s="29" t="str">
        <x:f>IF($A278="","",'Team Setup'!$E$29)</x:f>
      </x:c>
      <x:c r="G278" s="29" t="str">
        <x:f>IF($A278="","",IF(OR($E278="",$E278&lt;'Team Setup'!$D$4,$E278&gt;'Team Setup'!$F$4),"No",IF(WEEKDAY($E278,2)&gt;5,"No","Yes")))</x:f>
      </x:c>
      <x:c r="H278" s="29" t="str">
        <x:f>IF($A278="","",IF(OR($G278&lt;&gt;"Yes",$E278=""),"No",IF(COUNTIFS('Time Off'!$A$9:$A$508,$E278,'Time Off'!$C$9:$C$508,$D278,'Time Off'!$D$9:$D$508,$C278)+COUNTIFS('Time Off'!$A$9:$A$508,$E278,'Time Off'!$C$9:$C$508,$D278,'Time Off'!$D$9:$D$508,"All")&gt;0,"Yes","No")))</x:f>
      </x:c>
      <x:c r="I278" s="29" t="str">
        <x:f>IF($A278="","",IF(OR($G278&lt;&gt;"Yes",$H278="Yes"),0,MIN($F278,SUMIFS('Time Off'!$I$9:$I$508,'Time Off'!$G$9:$G$508,$A278,'Time Off'!$H$9:$H$508,$E278))))</x:f>
      </x:c>
      <x:c r="J278" s="29" t="str">
        <x:f>IF($A278="","",IF(OR($G278&lt;&gt;"Yes",$H278="Yes"),0,MAX(0,$F278-$I278)))</x:f>
      </x:c>
    </x:row>
    <x:row r="279">
      <x:c r="A279" s="27" t="str">
        <x:f>IF('Team Setup'!$A$29="","",'Team Setup'!$A$29)</x:f>
      </x:c>
      <x:c r="B279" s="27" t="str">
        <x:f>IF($A279="","",'Team Setup'!$B$29)</x:f>
      </x:c>
      <x:c r="C279" s="27" t="str">
        <x:f>IF($A279="","",'Team Setup'!$C$29)</x:f>
      </x:c>
      <x:c r="D279" s="27" t="str">
        <x:f>IF($A279="","",'Team Setup'!$D$29)</x:f>
      </x:c>
      <x:c r="E279" s="28" t="str">
        <x:f>IF(OR('Team Setup'!$D$4="",NOT(ISNUMBER('Team Setup'!$D$4))),"",'Team Setup'!$D$4+8)</x:f>
      </x:c>
      <x:c r="F279" s="29" t="str">
        <x:f>IF($A279="","",'Team Setup'!$E$29)</x:f>
      </x:c>
      <x:c r="G279" s="29" t="str">
        <x:f>IF($A279="","",IF(OR($E279="",$E279&lt;'Team Setup'!$D$4,$E279&gt;'Team Setup'!$F$4),"No",IF(WEEKDAY($E279,2)&gt;5,"No","Yes")))</x:f>
      </x:c>
      <x:c r="H279" s="29" t="str">
        <x:f>IF($A279="","",IF(OR($G279&lt;&gt;"Yes",$E279=""),"No",IF(COUNTIFS('Time Off'!$A$9:$A$508,$E279,'Time Off'!$C$9:$C$508,$D279,'Time Off'!$D$9:$D$508,$C279)+COUNTIFS('Time Off'!$A$9:$A$508,$E279,'Time Off'!$C$9:$C$508,$D279,'Time Off'!$D$9:$D$508,"All")&gt;0,"Yes","No")))</x:f>
      </x:c>
      <x:c r="I279" s="29" t="str">
        <x:f>IF($A279="","",IF(OR($G279&lt;&gt;"Yes",$H279="Yes"),0,MIN($F279,SUMIFS('Time Off'!$I$9:$I$508,'Time Off'!$G$9:$G$508,$A279,'Time Off'!$H$9:$H$508,$E279))))</x:f>
      </x:c>
      <x:c r="J279" s="29" t="str">
        <x:f>IF($A279="","",IF(OR($G279&lt;&gt;"Yes",$H279="Yes"),0,MAX(0,$F279-$I279)))</x:f>
      </x:c>
    </x:row>
    <x:row r="280">
      <x:c r="A280" s="27" t="str">
        <x:f>IF('Team Setup'!$A$29="","",'Team Setup'!$A$29)</x:f>
      </x:c>
      <x:c r="B280" s="27" t="str">
        <x:f>IF($A280="","",'Team Setup'!$B$29)</x:f>
      </x:c>
      <x:c r="C280" s="27" t="str">
        <x:f>IF($A280="","",'Team Setup'!$C$29)</x:f>
      </x:c>
      <x:c r="D280" s="27" t="str">
        <x:f>IF($A280="","",'Team Setup'!$D$29)</x:f>
      </x:c>
      <x:c r="E280" s="28" t="str">
        <x:f>IF(OR('Team Setup'!$D$4="",NOT(ISNUMBER('Team Setup'!$D$4))),"",'Team Setup'!$D$4+9)</x:f>
      </x:c>
      <x:c r="F280" s="29" t="str">
        <x:f>IF($A280="","",'Team Setup'!$E$29)</x:f>
      </x:c>
      <x:c r="G280" s="29" t="str">
        <x:f>IF($A280="","",IF(OR($E280="",$E280&lt;'Team Setup'!$D$4,$E280&gt;'Team Setup'!$F$4),"No",IF(WEEKDAY($E280,2)&gt;5,"No","Yes")))</x:f>
      </x:c>
      <x:c r="H280" s="29" t="str">
        <x:f>IF($A280="","",IF(OR($G280&lt;&gt;"Yes",$E280=""),"No",IF(COUNTIFS('Time Off'!$A$9:$A$508,$E280,'Time Off'!$C$9:$C$508,$D280,'Time Off'!$D$9:$D$508,$C280)+COUNTIFS('Time Off'!$A$9:$A$508,$E280,'Time Off'!$C$9:$C$508,$D280,'Time Off'!$D$9:$D$508,"All")&gt;0,"Yes","No")))</x:f>
      </x:c>
      <x:c r="I280" s="29" t="str">
        <x:f>IF($A280="","",IF(OR($G280&lt;&gt;"Yes",$H280="Yes"),0,MIN($F280,SUMIFS('Time Off'!$I$9:$I$508,'Time Off'!$G$9:$G$508,$A280,'Time Off'!$H$9:$H$508,$E280))))</x:f>
      </x:c>
      <x:c r="J280" s="29" t="str">
        <x:f>IF($A280="","",IF(OR($G280&lt;&gt;"Yes",$H280="Yes"),0,MAX(0,$F280-$I280)))</x:f>
      </x:c>
    </x:row>
    <x:row r="281">
      <x:c r="A281" s="27" t="str">
        <x:f>IF('Team Setup'!$A$29="","",'Team Setup'!$A$29)</x:f>
      </x:c>
      <x:c r="B281" s="27" t="str">
        <x:f>IF($A281="","",'Team Setup'!$B$29)</x:f>
      </x:c>
      <x:c r="C281" s="27" t="str">
        <x:f>IF($A281="","",'Team Setup'!$C$29)</x:f>
      </x:c>
      <x:c r="D281" s="27" t="str">
        <x:f>IF($A281="","",'Team Setup'!$D$29)</x:f>
      </x:c>
      <x:c r="E281" s="28" t="str">
        <x:f>IF(OR('Team Setup'!$D$4="",NOT(ISNUMBER('Team Setup'!$D$4))),"",'Team Setup'!$D$4+10)</x:f>
      </x:c>
      <x:c r="F281" s="29" t="str">
        <x:f>IF($A281="","",'Team Setup'!$E$29)</x:f>
      </x:c>
      <x:c r="G281" s="29" t="str">
        <x:f>IF($A281="","",IF(OR($E281="",$E281&lt;'Team Setup'!$D$4,$E281&gt;'Team Setup'!$F$4),"No",IF(WEEKDAY($E281,2)&gt;5,"No","Yes")))</x:f>
      </x:c>
      <x:c r="H281" s="29" t="str">
        <x:f>IF($A281="","",IF(OR($G281&lt;&gt;"Yes",$E281=""),"No",IF(COUNTIFS('Time Off'!$A$9:$A$508,$E281,'Time Off'!$C$9:$C$508,$D281,'Time Off'!$D$9:$D$508,$C281)+COUNTIFS('Time Off'!$A$9:$A$508,$E281,'Time Off'!$C$9:$C$508,$D281,'Time Off'!$D$9:$D$508,"All")&gt;0,"Yes","No")))</x:f>
      </x:c>
      <x:c r="I281" s="29" t="str">
        <x:f>IF($A281="","",IF(OR($G281&lt;&gt;"Yes",$H281="Yes"),0,MIN($F281,SUMIFS('Time Off'!$I$9:$I$508,'Time Off'!$G$9:$G$508,$A281,'Time Off'!$H$9:$H$508,$E281))))</x:f>
      </x:c>
      <x:c r="J281" s="29" t="str">
        <x:f>IF($A281="","",IF(OR($G281&lt;&gt;"Yes",$H281="Yes"),0,MAX(0,$F281-$I281)))</x:f>
      </x:c>
    </x:row>
    <x:row r="282">
      <x:c r="A282" s="27" t="str">
        <x:f>IF('Team Setup'!$A$29="","",'Team Setup'!$A$29)</x:f>
      </x:c>
      <x:c r="B282" s="27" t="str">
        <x:f>IF($A282="","",'Team Setup'!$B$29)</x:f>
      </x:c>
      <x:c r="C282" s="27" t="str">
        <x:f>IF($A282="","",'Team Setup'!$C$29)</x:f>
      </x:c>
      <x:c r="D282" s="27" t="str">
        <x:f>IF($A282="","",'Team Setup'!$D$29)</x:f>
      </x:c>
      <x:c r="E282" s="28" t="str">
        <x:f>IF(OR('Team Setup'!$D$4="",NOT(ISNUMBER('Team Setup'!$D$4))),"",'Team Setup'!$D$4+11)</x:f>
      </x:c>
      <x:c r="F282" s="29" t="str">
        <x:f>IF($A282="","",'Team Setup'!$E$29)</x:f>
      </x:c>
      <x:c r="G282" s="29" t="str">
        <x:f>IF($A282="","",IF(OR($E282="",$E282&lt;'Team Setup'!$D$4,$E282&gt;'Team Setup'!$F$4),"No",IF(WEEKDAY($E282,2)&gt;5,"No","Yes")))</x:f>
      </x:c>
      <x:c r="H282" s="29" t="str">
        <x:f>IF($A282="","",IF(OR($G282&lt;&gt;"Yes",$E282=""),"No",IF(COUNTIFS('Time Off'!$A$9:$A$508,$E282,'Time Off'!$C$9:$C$508,$D282,'Time Off'!$D$9:$D$508,$C282)+COUNTIFS('Time Off'!$A$9:$A$508,$E282,'Time Off'!$C$9:$C$508,$D282,'Time Off'!$D$9:$D$508,"All")&gt;0,"Yes","No")))</x:f>
      </x:c>
      <x:c r="I282" s="29" t="str">
        <x:f>IF($A282="","",IF(OR($G282&lt;&gt;"Yes",$H282="Yes"),0,MIN($F282,SUMIFS('Time Off'!$I$9:$I$508,'Time Off'!$G$9:$G$508,$A282,'Time Off'!$H$9:$H$508,$E282))))</x:f>
      </x:c>
      <x:c r="J282" s="29" t="str">
        <x:f>IF($A282="","",IF(OR($G282&lt;&gt;"Yes",$H282="Yes"),0,MAX(0,$F282-$I282)))</x:f>
      </x:c>
    </x:row>
    <x:row r="283">
      <x:c r="A283" s="27" t="str">
        <x:f>IF('Team Setup'!$A$29="","",'Team Setup'!$A$29)</x:f>
      </x:c>
      <x:c r="B283" s="27" t="str">
        <x:f>IF($A283="","",'Team Setup'!$B$29)</x:f>
      </x:c>
      <x:c r="C283" s="27" t="str">
        <x:f>IF($A283="","",'Team Setup'!$C$29)</x:f>
      </x:c>
      <x:c r="D283" s="27" t="str">
        <x:f>IF($A283="","",'Team Setup'!$D$29)</x:f>
      </x:c>
      <x:c r="E283" s="28" t="str">
        <x:f>IF(OR('Team Setup'!$D$4="",NOT(ISNUMBER('Team Setup'!$D$4))),"",'Team Setup'!$D$4+12)</x:f>
      </x:c>
      <x:c r="F283" s="29" t="str">
        <x:f>IF($A283="","",'Team Setup'!$E$29)</x:f>
      </x:c>
      <x:c r="G283" s="29" t="str">
        <x:f>IF($A283="","",IF(OR($E283="",$E283&lt;'Team Setup'!$D$4,$E283&gt;'Team Setup'!$F$4),"No",IF(WEEKDAY($E283,2)&gt;5,"No","Yes")))</x:f>
      </x:c>
      <x:c r="H283" s="29" t="str">
        <x:f>IF($A283="","",IF(OR($G283&lt;&gt;"Yes",$E283=""),"No",IF(COUNTIFS('Time Off'!$A$9:$A$508,$E283,'Time Off'!$C$9:$C$508,$D283,'Time Off'!$D$9:$D$508,$C283)+COUNTIFS('Time Off'!$A$9:$A$508,$E283,'Time Off'!$C$9:$C$508,$D283,'Time Off'!$D$9:$D$508,"All")&gt;0,"Yes","No")))</x:f>
      </x:c>
      <x:c r="I283" s="29" t="str">
        <x:f>IF($A283="","",IF(OR($G283&lt;&gt;"Yes",$H283="Yes"),0,MIN($F283,SUMIFS('Time Off'!$I$9:$I$508,'Time Off'!$G$9:$G$508,$A283,'Time Off'!$H$9:$H$508,$E283))))</x:f>
      </x:c>
      <x:c r="J283" s="29" t="str">
        <x:f>IF($A283="","",IF(OR($G283&lt;&gt;"Yes",$H283="Yes"),0,MAX(0,$F283-$I283)))</x:f>
      </x:c>
    </x:row>
    <x:row r="284">
      <x:c r="A284" s="27" t="str">
        <x:f>IF('Team Setup'!$A$29="","",'Team Setup'!$A$29)</x:f>
      </x:c>
      <x:c r="B284" s="27" t="str">
        <x:f>IF($A284="","",'Team Setup'!$B$29)</x:f>
      </x:c>
      <x:c r="C284" s="27" t="str">
        <x:f>IF($A284="","",'Team Setup'!$C$29)</x:f>
      </x:c>
      <x:c r="D284" s="27" t="str">
        <x:f>IF($A284="","",'Team Setup'!$D$29)</x:f>
      </x:c>
      <x:c r="E284" s="28" t="str">
        <x:f>IF(OR('Team Setup'!$D$4="",NOT(ISNUMBER('Team Setup'!$D$4))),"",'Team Setup'!$D$4+13)</x:f>
      </x:c>
      <x:c r="F284" s="29" t="str">
        <x:f>IF($A284="","",'Team Setup'!$E$29)</x:f>
      </x:c>
      <x:c r="G284" s="29" t="str">
        <x:f>IF($A284="","",IF(OR($E284="",$E284&lt;'Team Setup'!$D$4,$E284&gt;'Team Setup'!$F$4),"No",IF(WEEKDAY($E284,2)&gt;5,"No","Yes")))</x:f>
      </x:c>
      <x:c r="H284" s="29" t="str">
        <x:f>IF($A284="","",IF(OR($G284&lt;&gt;"Yes",$E284=""),"No",IF(COUNTIFS('Time Off'!$A$9:$A$508,$E284,'Time Off'!$C$9:$C$508,$D284,'Time Off'!$D$9:$D$508,$C284)+COUNTIFS('Time Off'!$A$9:$A$508,$E284,'Time Off'!$C$9:$C$508,$D284,'Time Off'!$D$9:$D$508,"All")&gt;0,"Yes","No")))</x:f>
      </x:c>
      <x:c r="I284" s="29" t="str">
        <x:f>IF($A284="","",IF(OR($G284&lt;&gt;"Yes",$H284="Yes"),0,MIN($F284,SUMIFS('Time Off'!$I$9:$I$508,'Time Off'!$G$9:$G$508,$A284,'Time Off'!$H$9:$H$508,$E284))))</x:f>
      </x:c>
      <x:c r="J284" s="29" t="str">
        <x:f>IF($A284="","",IF(OR($G284&lt;&gt;"Yes",$H284="Yes"),0,MAX(0,$F284-$I284)))</x:f>
      </x:c>
    </x:row>
    <x:row r="285">
      <x:c r="A285" s="27" t="str">
        <x:f>IF('Team Setup'!$A$30="","",'Team Setup'!$A$30)</x:f>
      </x:c>
      <x:c r="B285" s="27" t="str">
        <x:f>IF($A285="","",'Team Setup'!$B$30)</x:f>
      </x:c>
      <x:c r="C285" s="27" t="str">
        <x:f>IF($A285="","",'Team Setup'!$C$30)</x:f>
      </x:c>
      <x:c r="D285" s="27" t="str">
        <x:f>IF($A285="","",'Team Setup'!$D$30)</x:f>
      </x:c>
      <x:c r="E285" s="28" t="str">
        <x:f>IF(OR('Team Setup'!$D$4="",NOT(ISNUMBER('Team Setup'!$D$4))),"",'Team Setup'!$D$4+0)</x:f>
      </x:c>
      <x:c r="F285" s="29" t="str">
        <x:f>IF($A285="","",'Team Setup'!$E$30)</x:f>
      </x:c>
      <x:c r="G285" s="29" t="str">
        <x:f>IF($A285="","",IF(OR($E285="",$E285&lt;'Team Setup'!$D$4,$E285&gt;'Team Setup'!$F$4),"No",IF(WEEKDAY($E285,2)&gt;5,"No","Yes")))</x:f>
      </x:c>
      <x:c r="H285" s="29" t="str">
        <x:f>IF($A285="","",IF(OR($G285&lt;&gt;"Yes",$E285=""),"No",IF(COUNTIFS('Time Off'!$A$9:$A$508,$E285,'Time Off'!$C$9:$C$508,$D285,'Time Off'!$D$9:$D$508,$C285)+COUNTIFS('Time Off'!$A$9:$A$508,$E285,'Time Off'!$C$9:$C$508,$D285,'Time Off'!$D$9:$D$508,"All")&gt;0,"Yes","No")))</x:f>
      </x:c>
      <x:c r="I285" s="29" t="str">
        <x:f>IF($A285="","",IF(OR($G285&lt;&gt;"Yes",$H285="Yes"),0,MIN($F285,SUMIFS('Time Off'!$I$9:$I$508,'Time Off'!$G$9:$G$508,$A285,'Time Off'!$H$9:$H$508,$E285))))</x:f>
      </x:c>
      <x:c r="J285" s="29" t="str">
        <x:f>IF($A285="","",IF(OR($G285&lt;&gt;"Yes",$H285="Yes"),0,MAX(0,$F285-$I285)))</x:f>
      </x:c>
    </x:row>
    <x:row r="286">
      <x:c r="A286" s="27" t="str">
        <x:f>IF('Team Setup'!$A$30="","",'Team Setup'!$A$30)</x:f>
      </x:c>
      <x:c r="B286" s="27" t="str">
        <x:f>IF($A286="","",'Team Setup'!$B$30)</x:f>
      </x:c>
      <x:c r="C286" s="27" t="str">
        <x:f>IF($A286="","",'Team Setup'!$C$30)</x:f>
      </x:c>
      <x:c r="D286" s="27" t="str">
        <x:f>IF($A286="","",'Team Setup'!$D$30)</x:f>
      </x:c>
      <x:c r="E286" s="28" t="str">
        <x:f>IF(OR('Team Setup'!$D$4="",NOT(ISNUMBER('Team Setup'!$D$4))),"",'Team Setup'!$D$4+1)</x:f>
      </x:c>
      <x:c r="F286" s="29" t="str">
        <x:f>IF($A286="","",'Team Setup'!$E$30)</x:f>
      </x:c>
      <x:c r="G286" s="29" t="str">
        <x:f>IF($A286="","",IF(OR($E286="",$E286&lt;'Team Setup'!$D$4,$E286&gt;'Team Setup'!$F$4),"No",IF(WEEKDAY($E286,2)&gt;5,"No","Yes")))</x:f>
      </x:c>
      <x:c r="H286" s="29" t="str">
        <x:f>IF($A286="","",IF(OR($G286&lt;&gt;"Yes",$E286=""),"No",IF(COUNTIFS('Time Off'!$A$9:$A$508,$E286,'Time Off'!$C$9:$C$508,$D286,'Time Off'!$D$9:$D$508,$C286)+COUNTIFS('Time Off'!$A$9:$A$508,$E286,'Time Off'!$C$9:$C$508,$D286,'Time Off'!$D$9:$D$508,"All")&gt;0,"Yes","No")))</x:f>
      </x:c>
      <x:c r="I286" s="29" t="str">
        <x:f>IF($A286="","",IF(OR($G286&lt;&gt;"Yes",$H286="Yes"),0,MIN($F286,SUMIFS('Time Off'!$I$9:$I$508,'Time Off'!$G$9:$G$508,$A286,'Time Off'!$H$9:$H$508,$E286))))</x:f>
      </x:c>
      <x:c r="J286" s="29" t="str">
        <x:f>IF($A286="","",IF(OR($G286&lt;&gt;"Yes",$H286="Yes"),0,MAX(0,$F286-$I286)))</x:f>
      </x:c>
    </x:row>
    <x:row r="287">
      <x:c r="A287" s="27" t="str">
        <x:f>IF('Team Setup'!$A$30="","",'Team Setup'!$A$30)</x:f>
      </x:c>
      <x:c r="B287" s="27" t="str">
        <x:f>IF($A287="","",'Team Setup'!$B$30)</x:f>
      </x:c>
      <x:c r="C287" s="27" t="str">
        <x:f>IF($A287="","",'Team Setup'!$C$30)</x:f>
      </x:c>
      <x:c r="D287" s="27" t="str">
        <x:f>IF($A287="","",'Team Setup'!$D$30)</x:f>
      </x:c>
      <x:c r="E287" s="28" t="str">
        <x:f>IF(OR('Team Setup'!$D$4="",NOT(ISNUMBER('Team Setup'!$D$4))),"",'Team Setup'!$D$4+2)</x:f>
      </x:c>
      <x:c r="F287" s="29" t="str">
        <x:f>IF($A287="","",'Team Setup'!$E$30)</x:f>
      </x:c>
      <x:c r="G287" s="29" t="str">
        <x:f>IF($A287="","",IF(OR($E287="",$E287&lt;'Team Setup'!$D$4,$E287&gt;'Team Setup'!$F$4),"No",IF(WEEKDAY($E287,2)&gt;5,"No","Yes")))</x:f>
      </x:c>
      <x:c r="H287" s="29" t="str">
        <x:f>IF($A287="","",IF(OR($G287&lt;&gt;"Yes",$E287=""),"No",IF(COUNTIFS('Time Off'!$A$9:$A$508,$E287,'Time Off'!$C$9:$C$508,$D287,'Time Off'!$D$9:$D$508,$C287)+COUNTIFS('Time Off'!$A$9:$A$508,$E287,'Time Off'!$C$9:$C$508,$D287,'Time Off'!$D$9:$D$508,"All")&gt;0,"Yes","No")))</x:f>
      </x:c>
      <x:c r="I287" s="29" t="str">
        <x:f>IF($A287="","",IF(OR($G287&lt;&gt;"Yes",$H287="Yes"),0,MIN($F287,SUMIFS('Time Off'!$I$9:$I$508,'Time Off'!$G$9:$G$508,$A287,'Time Off'!$H$9:$H$508,$E287))))</x:f>
      </x:c>
      <x:c r="J287" s="29" t="str">
        <x:f>IF($A287="","",IF(OR($G287&lt;&gt;"Yes",$H287="Yes"),0,MAX(0,$F287-$I287)))</x:f>
      </x:c>
    </x:row>
    <x:row r="288">
      <x:c r="A288" s="27" t="str">
        <x:f>IF('Team Setup'!$A$30="","",'Team Setup'!$A$30)</x:f>
      </x:c>
      <x:c r="B288" s="27" t="str">
        <x:f>IF($A288="","",'Team Setup'!$B$30)</x:f>
      </x:c>
      <x:c r="C288" s="27" t="str">
        <x:f>IF($A288="","",'Team Setup'!$C$30)</x:f>
      </x:c>
      <x:c r="D288" s="27" t="str">
        <x:f>IF($A288="","",'Team Setup'!$D$30)</x:f>
      </x:c>
      <x:c r="E288" s="28" t="str">
        <x:f>IF(OR('Team Setup'!$D$4="",NOT(ISNUMBER('Team Setup'!$D$4))),"",'Team Setup'!$D$4+3)</x:f>
      </x:c>
      <x:c r="F288" s="29" t="str">
        <x:f>IF($A288="","",'Team Setup'!$E$30)</x:f>
      </x:c>
      <x:c r="G288" s="29" t="str">
        <x:f>IF($A288="","",IF(OR($E288="",$E288&lt;'Team Setup'!$D$4,$E288&gt;'Team Setup'!$F$4),"No",IF(WEEKDAY($E288,2)&gt;5,"No","Yes")))</x:f>
      </x:c>
      <x:c r="H288" s="29" t="str">
        <x:f>IF($A288="","",IF(OR($G288&lt;&gt;"Yes",$E288=""),"No",IF(COUNTIFS('Time Off'!$A$9:$A$508,$E288,'Time Off'!$C$9:$C$508,$D288,'Time Off'!$D$9:$D$508,$C288)+COUNTIFS('Time Off'!$A$9:$A$508,$E288,'Time Off'!$C$9:$C$508,$D288,'Time Off'!$D$9:$D$508,"All")&gt;0,"Yes","No")))</x:f>
      </x:c>
      <x:c r="I288" s="29" t="str">
        <x:f>IF($A288="","",IF(OR($G288&lt;&gt;"Yes",$H288="Yes"),0,MIN($F288,SUMIFS('Time Off'!$I$9:$I$508,'Time Off'!$G$9:$G$508,$A288,'Time Off'!$H$9:$H$508,$E288))))</x:f>
      </x:c>
      <x:c r="J288" s="29" t="str">
        <x:f>IF($A288="","",IF(OR($G288&lt;&gt;"Yes",$H288="Yes"),0,MAX(0,$F288-$I288)))</x:f>
      </x:c>
    </x:row>
    <x:row r="289">
      <x:c r="A289" s="27" t="str">
        <x:f>IF('Team Setup'!$A$30="","",'Team Setup'!$A$30)</x:f>
      </x:c>
      <x:c r="B289" s="27" t="str">
        <x:f>IF($A289="","",'Team Setup'!$B$30)</x:f>
      </x:c>
      <x:c r="C289" s="27" t="str">
        <x:f>IF($A289="","",'Team Setup'!$C$30)</x:f>
      </x:c>
      <x:c r="D289" s="27" t="str">
        <x:f>IF($A289="","",'Team Setup'!$D$30)</x:f>
      </x:c>
      <x:c r="E289" s="28" t="str">
        <x:f>IF(OR('Team Setup'!$D$4="",NOT(ISNUMBER('Team Setup'!$D$4))),"",'Team Setup'!$D$4+4)</x:f>
      </x:c>
      <x:c r="F289" s="29" t="str">
        <x:f>IF($A289="","",'Team Setup'!$E$30)</x:f>
      </x:c>
      <x:c r="G289" s="29" t="str">
        <x:f>IF($A289="","",IF(OR($E289="",$E289&lt;'Team Setup'!$D$4,$E289&gt;'Team Setup'!$F$4),"No",IF(WEEKDAY($E289,2)&gt;5,"No","Yes")))</x:f>
      </x:c>
      <x:c r="H289" s="29" t="str">
        <x:f>IF($A289="","",IF(OR($G289&lt;&gt;"Yes",$E289=""),"No",IF(COUNTIFS('Time Off'!$A$9:$A$508,$E289,'Time Off'!$C$9:$C$508,$D289,'Time Off'!$D$9:$D$508,$C289)+COUNTIFS('Time Off'!$A$9:$A$508,$E289,'Time Off'!$C$9:$C$508,$D289,'Time Off'!$D$9:$D$508,"All")&gt;0,"Yes","No")))</x:f>
      </x:c>
      <x:c r="I289" s="29" t="str">
        <x:f>IF($A289="","",IF(OR($G289&lt;&gt;"Yes",$H289="Yes"),0,MIN($F289,SUMIFS('Time Off'!$I$9:$I$508,'Time Off'!$G$9:$G$508,$A289,'Time Off'!$H$9:$H$508,$E289))))</x:f>
      </x:c>
      <x:c r="J289" s="29" t="str">
        <x:f>IF($A289="","",IF(OR($G289&lt;&gt;"Yes",$H289="Yes"),0,MAX(0,$F289-$I289)))</x:f>
      </x:c>
    </x:row>
    <x:row r="290">
      <x:c r="A290" s="27" t="str">
        <x:f>IF('Team Setup'!$A$30="","",'Team Setup'!$A$30)</x:f>
      </x:c>
      <x:c r="B290" s="27" t="str">
        <x:f>IF($A290="","",'Team Setup'!$B$30)</x:f>
      </x:c>
      <x:c r="C290" s="27" t="str">
        <x:f>IF($A290="","",'Team Setup'!$C$30)</x:f>
      </x:c>
      <x:c r="D290" s="27" t="str">
        <x:f>IF($A290="","",'Team Setup'!$D$30)</x:f>
      </x:c>
      <x:c r="E290" s="28" t="str">
        <x:f>IF(OR('Team Setup'!$D$4="",NOT(ISNUMBER('Team Setup'!$D$4))),"",'Team Setup'!$D$4+5)</x:f>
      </x:c>
      <x:c r="F290" s="29" t="str">
        <x:f>IF($A290="","",'Team Setup'!$E$30)</x:f>
      </x:c>
      <x:c r="G290" s="29" t="str">
        <x:f>IF($A290="","",IF(OR($E290="",$E290&lt;'Team Setup'!$D$4,$E290&gt;'Team Setup'!$F$4),"No",IF(WEEKDAY($E290,2)&gt;5,"No","Yes")))</x:f>
      </x:c>
      <x:c r="H290" s="29" t="str">
        <x:f>IF($A290="","",IF(OR($G290&lt;&gt;"Yes",$E290=""),"No",IF(COUNTIFS('Time Off'!$A$9:$A$508,$E290,'Time Off'!$C$9:$C$508,$D290,'Time Off'!$D$9:$D$508,$C290)+COUNTIFS('Time Off'!$A$9:$A$508,$E290,'Time Off'!$C$9:$C$508,$D290,'Time Off'!$D$9:$D$508,"All")&gt;0,"Yes","No")))</x:f>
      </x:c>
      <x:c r="I290" s="29" t="str">
        <x:f>IF($A290="","",IF(OR($G290&lt;&gt;"Yes",$H290="Yes"),0,MIN($F290,SUMIFS('Time Off'!$I$9:$I$508,'Time Off'!$G$9:$G$508,$A290,'Time Off'!$H$9:$H$508,$E290))))</x:f>
      </x:c>
      <x:c r="J290" s="29" t="str">
        <x:f>IF($A290="","",IF(OR($G290&lt;&gt;"Yes",$H290="Yes"),0,MAX(0,$F290-$I290)))</x:f>
      </x:c>
    </x:row>
    <x:row r="291">
      <x:c r="A291" s="27" t="str">
        <x:f>IF('Team Setup'!$A$30="","",'Team Setup'!$A$30)</x:f>
      </x:c>
      <x:c r="B291" s="27" t="str">
        <x:f>IF($A291="","",'Team Setup'!$B$30)</x:f>
      </x:c>
      <x:c r="C291" s="27" t="str">
        <x:f>IF($A291="","",'Team Setup'!$C$30)</x:f>
      </x:c>
      <x:c r="D291" s="27" t="str">
        <x:f>IF($A291="","",'Team Setup'!$D$30)</x:f>
      </x:c>
      <x:c r="E291" s="28" t="str">
        <x:f>IF(OR('Team Setup'!$D$4="",NOT(ISNUMBER('Team Setup'!$D$4))),"",'Team Setup'!$D$4+6)</x:f>
      </x:c>
      <x:c r="F291" s="29" t="str">
        <x:f>IF($A291="","",'Team Setup'!$E$30)</x:f>
      </x:c>
      <x:c r="G291" s="29" t="str">
        <x:f>IF($A291="","",IF(OR($E291="",$E291&lt;'Team Setup'!$D$4,$E291&gt;'Team Setup'!$F$4),"No",IF(WEEKDAY($E291,2)&gt;5,"No","Yes")))</x:f>
      </x:c>
      <x:c r="H291" s="29" t="str">
        <x:f>IF($A291="","",IF(OR($G291&lt;&gt;"Yes",$E291=""),"No",IF(COUNTIFS('Time Off'!$A$9:$A$508,$E291,'Time Off'!$C$9:$C$508,$D291,'Time Off'!$D$9:$D$508,$C291)+COUNTIFS('Time Off'!$A$9:$A$508,$E291,'Time Off'!$C$9:$C$508,$D291,'Time Off'!$D$9:$D$508,"All")&gt;0,"Yes","No")))</x:f>
      </x:c>
      <x:c r="I291" s="29" t="str">
        <x:f>IF($A291="","",IF(OR($G291&lt;&gt;"Yes",$H291="Yes"),0,MIN($F291,SUMIFS('Time Off'!$I$9:$I$508,'Time Off'!$G$9:$G$508,$A291,'Time Off'!$H$9:$H$508,$E291))))</x:f>
      </x:c>
      <x:c r="J291" s="29" t="str">
        <x:f>IF($A291="","",IF(OR($G291&lt;&gt;"Yes",$H291="Yes"),0,MAX(0,$F291-$I291)))</x:f>
      </x:c>
    </x:row>
    <x:row r="292">
      <x:c r="A292" s="27" t="str">
        <x:f>IF('Team Setup'!$A$30="","",'Team Setup'!$A$30)</x:f>
      </x:c>
      <x:c r="B292" s="27" t="str">
        <x:f>IF($A292="","",'Team Setup'!$B$30)</x:f>
      </x:c>
      <x:c r="C292" s="27" t="str">
        <x:f>IF($A292="","",'Team Setup'!$C$30)</x:f>
      </x:c>
      <x:c r="D292" s="27" t="str">
        <x:f>IF($A292="","",'Team Setup'!$D$30)</x:f>
      </x:c>
      <x:c r="E292" s="28" t="str">
        <x:f>IF(OR('Team Setup'!$D$4="",NOT(ISNUMBER('Team Setup'!$D$4))),"",'Team Setup'!$D$4+7)</x:f>
      </x:c>
      <x:c r="F292" s="29" t="str">
        <x:f>IF($A292="","",'Team Setup'!$E$30)</x:f>
      </x:c>
      <x:c r="G292" s="29" t="str">
        <x:f>IF($A292="","",IF(OR($E292="",$E292&lt;'Team Setup'!$D$4,$E292&gt;'Team Setup'!$F$4),"No",IF(WEEKDAY($E292,2)&gt;5,"No","Yes")))</x:f>
      </x:c>
      <x:c r="H292" s="29" t="str">
        <x:f>IF($A292="","",IF(OR($G292&lt;&gt;"Yes",$E292=""),"No",IF(COUNTIFS('Time Off'!$A$9:$A$508,$E292,'Time Off'!$C$9:$C$508,$D292,'Time Off'!$D$9:$D$508,$C292)+COUNTIFS('Time Off'!$A$9:$A$508,$E292,'Time Off'!$C$9:$C$508,$D292,'Time Off'!$D$9:$D$508,"All")&gt;0,"Yes","No")))</x:f>
      </x:c>
      <x:c r="I292" s="29" t="str">
        <x:f>IF($A292="","",IF(OR($G292&lt;&gt;"Yes",$H292="Yes"),0,MIN($F292,SUMIFS('Time Off'!$I$9:$I$508,'Time Off'!$G$9:$G$508,$A292,'Time Off'!$H$9:$H$508,$E292))))</x:f>
      </x:c>
      <x:c r="J292" s="29" t="str">
        <x:f>IF($A292="","",IF(OR($G292&lt;&gt;"Yes",$H292="Yes"),0,MAX(0,$F292-$I292)))</x:f>
      </x:c>
    </x:row>
    <x:row r="293">
      <x:c r="A293" s="27" t="str">
        <x:f>IF('Team Setup'!$A$30="","",'Team Setup'!$A$30)</x:f>
      </x:c>
      <x:c r="B293" s="27" t="str">
        <x:f>IF($A293="","",'Team Setup'!$B$30)</x:f>
      </x:c>
      <x:c r="C293" s="27" t="str">
        <x:f>IF($A293="","",'Team Setup'!$C$30)</x:f>
      </x:c>
      <x:c r="D293" s="27" t="str">
        <x:f>IF($A293="","",'Team Setup'!$D$30)</x:f>
      </x:c>
      <x:c r="E293" s="28" t="str">
        <x:f>IF(OR('Team Setup'!$D$4="",NOT(ISNUMBER('Team Setup'!$D$4))),"",'Team Setup'!$D$4+8)</x:f>
      </x:c>
      <x:c r="F293" s="29" t="str">
        <x:f>IF($A293="","",'Team Setup'!$E$30)</x:f>
      </x:c>
      <x:c r="G293" s="29" t="str">
        <x:f>IF($A293="","",IF(OR($E293="",$E293&lt;'Team Setup'!$D$4,$E293&gt;'Team Setup'!$F$4),"No",IF(WEEKDAY($E293,2)&gt;5,"No","Yes")))</x:f>
      </x:c>
      <x:c r="H293" s="29" t="str">
        <x:f>IF($A293="","",IF(OR($G293&lt;&gt;"Yes",$E293=""),"No",IF(COUNTIFS('Time Off'!$A$9:$A$508,$E293,'Time Off'!$C$9:$C$508,$D293,'Time Off'!$D$9:$D$508,$C293)+COUNTIFS('Time Off'!$A$9:$A$508,$E293,'Time Off'!$C$9:$C$508,$D293,'Time Off'!$D$9:$D$508,"All")&gt;0,"Yes","No")))</x:f>
      </x:c>
      <x:c r="I293" s="29" t="str">
        <x:f>IF($A293="","",IF(OR($G293&lt;&gt;"Yes",$H293="Yes"),0,MIN($F293,SUMIFS('Time Off'!$I$9:$I$508,'Time Off'!$G$9:$G$508,$A293,'Time Off'!$H$9:$H$508,$E293))))</x:f>
      </x:c>
      <x:c r="J293" s="29" t="str">
        <x:f>IF($A293="","",IF(OR($G293&lt;&gt;"Yes",$H293="Yes"),0,MAX(0,$F293-$I293)))</x:f>
      </x:c>
    </x:row>
    <x:row r="294">
      <x:c r="A294" s="27" t="str">
        <x:f>IF('Team Setup'!$A$30="","",'Team Setup'!$A$30)</x:f>
      </x:c>
      <x:c r="B294" s="27" t="str">
        <x:f>IF($A294="","",'Team Setup'!$B$30)</x:f>
      </x:c>
      <x:c r="C294" s="27" t="str">
        <x:f>IF($A294="","",'Team Setup'!$C$30)</x:f>
      </x:c>
      <x:c r="D294" s="27" t="str">
        <x:f>IF($A294="","",'Team Setup'!$D$30)</x:f>
      </x:c>
      <x:c r="E294" s="28" t="str">
        <x:f>IF(OR('Team Setup'!$D$4="",NOT(ISNUMBER('Team Setup'!$D$4))),"",'Team Setup'!$D$4+9)</x:f>
      </x:c>
      <x:c r="F294" s="29" t="str">
        <x:f>IF($A294="","",'Team Setup'!$E$30)</x:f>
      </x:c>
      <x:c r="G294" s="29" t="str">
        <x:f>IF($A294="","",IF(OR($E294="",$E294&lt;'Team Setup'!$D$4,$E294&gt;'Team Setup'!$F$4),"No",IF(WEEKDAY($E294,2)&gt;5,"No","Yes")))</x:f>
      </x:c>
      <x:c r="H294" s="29" t="str">
        <x:f>IF($A294="","",IF(OR($G294&lt;&gt;"Yes",$E294=""),"No",IF(COUNTIFS('Time Off'!$A$9:$A$508,$E294,'Time Off'!$C$9:$C$508,$D294,'Time Off'!$D$9:$D$508,$C294)+COUNTIFS('Time Off'!$A$9:$A$508,$E294,'Time Off'!$C$9:$C$508,$D294,'Time Off'!$D$9:$D$508,"All")&gt;0,"Yes","No")))</x:f>
      </x:c>
      <x:c r="I294" s="29" t="str">
        <x:f>IF($A294="","",IF(OR($G294&lt;&gt;"Yes",$H294="Yes"),0,MIN($F294,SUMIFS('Time Off'!$I$9:$I$508,'Time Off'!$G$9:$G$508,$A294,'Time Off'!$H$9:$H$508,$E294))))</x:f>
      </x:c>
      <x:c r="J294" s="29" t="str">
        <x:f>IF($A294="","",IF(OR($G294&lt;&gt;"Yes",$H294="Yes"),0,MAX(0,$F294-$I294)))</x:f>
      </x:c>
    </x:row>
    <x:row r="295">
      <x:c r="A295" s="27" t="str">
        <x:f>IF('Team Setup'!$A$30="","",'Team Setup'!$A$30)</x:f>
      </x:c>
      <x:c r="B295" s="27" t="str">
        <x:f>IF($A295="","",'Team Setup'!$B$30)</x:f>
      </x:c>
      <x:c r="C295" s="27" t="str">
        <x:f>IF($A295="","",'Team Setup'!$C$30)</x:f>
      </x:c>
      <x:c r="D295" s="27" t="str">
        <x:f>IF($A295="","",'Team Setup'!$D$30)</x:f>
      </x:c>
      <x:c r="E295" s="28" t="str">
        <x:f>IF(OR('Team Setup'!$D$4="",NOT(ISNUMBER('Team Setup'!$D$4))),"",'Team Setup'!$D$4+10)</x:f>
      </x:c>
      <x:c r="F295" s="29" t="str">
        <x:f>IF($A295="","",'Team Setup'!$E$30)</x:f>
      </x:c>
      <x:c r="G295" s="29" t="str">
        <x:f>IF($A295="","",IF(OR($E295="",$E295&lt;'Team Setup'!$D$4,$E295&gt;'Team Setup'!$F$4),"No",IF(WEEKDAY($E295,2)&gt;5,"No","Yes")))</x:f>
      </x:c>
      <x:c r="H295" s="29" t="str">
        <x:f>IF($A295="","",IF(OR($G295&lt;&gt;"Yes",$E295=""),"No",IF(COUNTIFS('Time Off'!$A$9:$A$508,$E295,'Time Off'!$C$9:$C$508,$D295,'Time Off'!$D$9:$D$508,$C295)+COUNTIFS('Time Off'!$A$9:$A$508,$E295,'Time Off'!$C$9:$C$508,$D295,'Time Off'!$D$9:$D$508,"All")&gt;0,"Yes","No")))</x:f>
      </x:c>
      <x:c r="I295" s="29" t="str">
        <x:f>IF($A295="","",IF(OR($G295&lt;&gt;"Yes",$H295="Yes"),0,MIN($F295,SUMIFS('Time Off'!$I$9:$I$508,'Time Off'!$G$9:$G$508,$A295,'Time Off'!$H$9:$H$508,$E295))))</x:f>
      </x:c>
      <x:c r="J295" s="29" t="str">
        <x:f>IF($A295="","",IF(OR($G295&lt;&gt;"Yes",$H295="Yes"),0,MAX(0,$F295-$I295)))</x:f>
      </x:c>
    </x:row>
    <x:row r="296">
      <x:c r="A296" s="27" t="str">
        <x:f>IF('Team Setup'!$A$30="","",'Team Setup'!$A$30)</x:f>
      </x:c>
      <x:c r="B296" s="27" t="str">
        <x:f>IF($A296="","",'Team Setup'!$B$30)</x:f>
      </x:c>
      <x:c r="C296" s="27" t="str">
        <x:f>IF($A296="","",'Team Setup'!$C$30)</x:f>
      </x:c>
      <x:c r="D296" s="27" t="str">
        <x:f>IF($A296="","",'Team Setup'!$D$30)</x:f>
      </x:c>
      <x:c r="E296" s="28" t="str">
        <x:f>IF(OR('Team Setup'!$D$4="",NOT(ISNUMBER('Team Setup'!$D$4))),"",'Team Setup'!$D$4+11)</x:f>
      </x:c>
      <x:c r="F296" s="29" t="str">
        <x:f>IF($A296="","",'Team Setup'!$E$30)</x:f>
      </x:c>
      <x:c r="G296" s="29" t="str">
        <x:f>IF($A296="","",IF(OR($E296="",$E296&lt;'Team Setup'!$D$4,$E296&gt;'Team Setup'!$F$4),"No",IF(WEEKDAY($E296,2)&gt;5,"No","Yes")))</x:f>
      </x:c>
      <x:c r="H296" s="29" t="str">
        <x:f>IF($A296="","",IF(OR($G296&lt;&gt;"Yes",$E296=""),"No",IF(COUNTIFS('Time Off'!$A$9:$A$508,$E296,'Time Off'!$C$9:$C$508,$D296,'Time Off'!$D$9:$D$508,$C296)+COUNTIFS('Time Off'!$A$9:$A$508,$E296,'Time Off'!$C$9:$C$508,$D296,'Time Off'!$D$9:$D$508,"All")&gt;0,"Yes","No")))</x:f>
      </x:c>
      <x:c r="I296" s="29" t="str">
        <x:f>IF($A296="","",IF(OR($G296&lt;&gt;"Yes",$H296="Yes"),0,MIN($F296,SUMIFS('Time Off'!$I$9:$I$508,'Time Off'!$G$9:$G$508,$A296,'Time Off'!$H$9:$H$508,$E296))))</x:f>
      </x:c>
      <x:c r="J296" s="29" t="str">
        <x:f>IF($A296="","",IF(OR($G296&lt;&gt;"Yes",$H296="Yes"),0,MAX(0,$F296-$I296)))</x:f>
      </x:c>
    </x:row>
    <x:row r="297">
      <x:c r="A297" s="27" t="str">
        <x:f>IF('Team Setup'!$A$30="","",'Team Setup'!$A$30)</x:f>
      </x:c>
      <x:c r="B297" s="27" t="str">
        <x:f>IF($A297="","",'Team Setup'!$B$30)</x:f>
      </x:c>
      <x:c r="C297" s="27" t="str">
        <x:f>IF($A297="","",'Team Setup'!$C$30)</x:f>
      </x:c>
      <x:c r="D297" s="27" t="str">
        <x:f>IF($A297="","",'Team Setup'!$D$30)</x:f>
      </x:c>
      <x:c r="E297" s="28" t="str">
        <x:f>IF(OR('Team Setup'!$D$4="",NOT(ISNUMBER('Team Setup'!$D$4))),"",'Team Setup'!$D$4+12)</x:f>
      </x:c>
      <x:c r="F297" s="29" t="str">
        <x:f>IF($A297="","",'Team Setup'!$E$30)</x:f>
      </x:c>
      <x:c r="G297" s="29" t="str">
        <x:f>IF($A297="","",IF(OR($E297="",$E297&lt;'Team Setup'!$D$4,$E297&gt;'Team Setup'!$F$4),"No",IF(WEEKDAY($E297,2)&gt;5,"No","Yes")))</x:f>
      </x:c>
      <x:c r="H297" s="29" t="str">
        <x:f>IF($A297="","",IF(OR($G297&lt;&gt;"Yes",$E297=""),"No",IF(COUNTIFS('Time Off'!$A$9:$A$508,$E297,'Time Off'!$C$9:$C$508,$D297,'Time Off'!$D$9:$D$508,$C297)+COUNTIFS('Time Off'!$A$9:$A$508,$E297,'Time Off'!$C$9:$C$508,$D297,'Time Off'!$D$9:$D$508,"All")&gt;0,"Yes","No")))</x:f>
      </x:c>
      <x:c r="I297" s="29" t="str">
        <x:f>IF($A297="","",IF(OR($G297&lt;&gt;"Yes",$H297="Yes"),0,MIN($F297,SUMIFS('Time Off'!$I$9:$I$508,'Time Off'!$G$9:$G$508,$A297,'Time Off'!$H$9:$H$508,$E297))))</x:f>
      </x:c>
      <x:c r="J297" s="29" t="str">
        <x:f>IF($A297="","",IF(OR($G297&lt;&gt;"Yes",$H297="Yes"),0,MAX(0,$F297-$I297)))</x:f>
      </x:c>
    </x:row>
    <x:row r="298">
      <x:c r="A298" s="27" t="str">
        <x:f>IF('Team Setup'!$A$30="","",'Team Setup'!$A$30)</x:f>
      </x:c>
      <x:c r="B298" s="27" t="str">
        <x:f>IF($A298="","",'Team Setup'!$B$30)</x:f>
      </x:c>
      <x:c r="C298" s="27" t="str">
        <x:f>IF($A298="","",'Team Setup'!$C$30)</x:f>
      </x:c>
      <x:c r="D298" s="27" t="str">
        <x:f>IF($A298="","",'Team Setup'!$D$30)</x:f>
      </x:c>
      <x:c r="E298" s="28" t="str">
        <x:f>IF(OR('Team Setup'!$D$4="",NOT(ISNUMBER('Team Setup'!$D$4))),"",'Team Setup'!$D$4+13)</x:f>
      </x:c>
      <x:c r="F298" s="29" t="str">
        <x:f>IF($A298="","",'Team Setup'!$E$30)</x:f>
      </x:c>
      <x:c r="G298" s="29" t="str">
        <x:f>IF($A298="","",IF(OR($E298="",$E298&lt;'Team Setup'!$D$4,$E298&gt;'Team Setup'!$F$4),"No",IF(WEEKDAY($E298,2)&gt;5,"No","Yes")))</x:f>
      </x:c>
      <x:c r="H298" s="29" t="str">
        <x:f>IF($A298="","",IF(OR($G298&lt;&gt;"Yes",$E298=""),"No",IF(COUNTIFS('Time Off'!$A$9:$A$508,$E298,'Time Off'!$C$9:$C$508,$D298,'Time Off'!$D$9:$D$508,$C298)+COUNTIFS('Time Off'!$A$9:$A$508,$E298,'Time Off'!$C$9:$C$508,$D298,'Time Off'!$D$9:$D$508,"All")&gt;0,"Yes","No")))</x:f>
      </x:c>
      <x:c r="I298" s="29" t="str">
        <x:f>IF($A298="","",IF(OR($G298&lt;&gt;"Yes",$H298="Yes"),0,MIN($F298,SUMIFS('Time Off'!$I$9:$I$508,'Time Off'!$G$9:$G$508,$A298,'Time Off'!$H$9:$H$508,$E298))))</x:f>
      </x:c>
      <x:c r="J298" s="29" t="str">
        <x:f>IF($A298="","",IF(OR($G298&lt;&gt;"Yes",$H298="Yes"),0,MAX(0,$F298-$I298)))</x:f>
      </x:c>
    </x:row>
    <x:row r="299">
      <x:c r="A299" s="27" t="str">
        <x:f>IF('Team Setup'!$A$31="","",'Team Setup'!$A$31)</x:f>
      </x:c>
      <x:c r="B299" s="27" t="str">
        <x:f>IF($A299="","",'Team Setup'!$B$31)</x:f>
      </x:c>
      <x:c r="C299" s="27" t="str">
        <x:f>IF($A299="","",'Team Setup'!$C$31)</x:f>
      </x:c>
      <x:c r="D299" s="27" t="str">
        <x:f>IF($A299="","",'Team Setup'!$D$31)</x:f>
      </x:c>
      <x:c r="E299" s="28" t="str">
        <x:f>IF(OR('Team Setup'!$D$4="",NOT(ISNUMBER('Team Setup'!$D$4))),"",'Team Setup'!$D$4+0)</x:f>
      </x:c>
      <x:c r="F299" s="29" t="str">
        <x:f>IF($A299="","",'Team Setup'!$E$31)</x:f>
      </x:c>
      <x:c r="G299" s="29" t="str">
        <x:f>IF($A299="","",IF(OR($E299="",$E299&lt;'Team Setup'!$D$4,$E299&gt;'Team Setup'!$F$4),"No",IF(WEEKDAY($E299,2)&gt;5,"No","Yes")))</x:f>
      </x:c>
      <x:c r="H299" s="29" t="str">
        <x:f>IF($A299="","",IF(OR($G299&lt;&gt;"Yes",$E299=""),"No",IF(COUNTIFS('Time Off'!$A$9:$A$508,$E299,'Time Off'!$C$9:$C$508,$D299,'Time Off'!$D$9:$D$508,$C299)+COUNTIFS('Time Off'!$A$9:$A$508,$E299,'Time Off'!$C$9:$C$508,$D299,'Time Off'!$D$9:$D$508,"All")&gt;0,"Yes","No")))</x:f>
      </x:c>
      <x:c r="I299" s="29" t="str">
        <x:f>IF($A299="","",IF(OR($G299&lt;&gt;"Yes",$H299="Yes"),0,MIN($F299,SUMIFS('Time Off'!$I$9:$I$508,'Time Off'!$G$9:$G$508,$A299,'Time Off'!$H$9:$H$508,$E299))))</x:f>
      </x:c>
      <x:c r="J299" s="29" t="str">
        <x:f>IF($A299="","",IF(OR($G299&lt;&gt;"Yes",$H299="Yes"),0,MAX(0,$F299-$I299)))</x:f>
      </x:c>
    </x:row>
    <x:row r="300">
      <x:c r="A300" s="27" t="str">
        <x:f>IF('Team Setup'!$A$31="","",'Team Setup'!$A$31)</x:f>
      </x:c>
      <x:c r="B300" s="27" t="str">
        <x:f>IF($A300="","",'Team Setup'!$B$31)</x:f>
      </x:c>
      <x:c r="C300" s="27" t="str">
        <x:f>IF($A300="","",'Team Setup'!$C$31)</x:f>
      </x:c>
      <x:c r="D300" s="27" t="str">
        <x:f>IF($A300="","",'Team Setup'!$D$31)</x:f>
      </x:c>
      <x:c r="E300" s="28" t="str">
        <x:f>IF(OR('Team Setup'!$D$4="",NOT(ISNUMBER('Team Setup'!$D$4))),"",'Team Setup'!$D$4+1)</x:f>
      </x:c>
      <x:c r="F300" s="29" t="str">
        <x:f>IF($A300="","",'Team Setup'!$E$31)</x:f>
      </x:c>
      <x:c r="G300" s="29" t="str">
        <x:f>IF($A300="","",IF(OR($E300="",$E300&lt;'Team Setup'!$D$4,$E300&gt;'Team Setup'!$F$4),"No",IF(WEEKDAY($E300,2)&gt;5,"No","Yes")))</x:f>
      </x:c>
      <x:c r="H300" s="29" t="str">
        <x:f>IF($A300="","",IF(OR($G300&lt;&gt;"Yes",$E300=""),"No",IF(COUNTIFS('Time Off'!$A$9:$A$508,$E300,'Time Off'!$C$9:$C$508,$D300,'Time Off'!$D$9:$D$508,$C300)+COUNTIFS('Time Off'!$A$9:$A$508,$E300,'Time Off'!$C$9:$C$508,$D300,'Time Off'!$D$9:$D$508,"All")&gt;0,"Yes","No")))</x:f>
      </x:c>
      <x:c r="I300" s="29" t="str">
        <x:f>IF($A300="","",IF(OR($G300&lt;&gt;"Yes",$H300="Yes"),0,MIN($F300,SUMIFS('Time Off'!$I$9:$I$508,'Time Off'!$G$9:$G$508,$A300,'Time Off'!$H$9:$H$508,$E300))))</x:f>
      </x:c>
      <x:c r="J300" s="29" t="str">
        <x:f>IF($A300="","",IF(OR($G300&lt;&gt;"Yes",$H300="Yes"),0,MAX(0,$F300-$I300)))</x:f>
      </x:c>
    </x:row>
    <x:row r="301">
      <x:c r="A301" s="27" t="str">
        <x:f>IF('Team Setup'!$A$31="","",'Team Setup'!$A$31)</x:f>
      </x:c>
      <x:c r="B301" s="27" t="str">
        <x:f>IF($A301="","",'Team Setup'!$B$31)</x:f>
      </x:c>
      <x:c r="C301" s="27" t="str">
        <x:f>IF($A301="","",'Team Setup'!$C$31)</x:f>
      </x:c>
      <x:c r="D301" s="27" t="str">
        <x:f>IF($A301="","",'Team Setup'!$D$31)</x:f>
      </x:c>
      <x:c r="E301" s="28" t="str">
        <x:f>IF(OR('Team Setup'!$D$4="",NOT(ISNUMBER('Team Setup'!$D$4))),"",'Team Setup'!$D$4+2)</x:f>
      </x:c>
      <x:c r="F301" s="29" t="str">
        <x:f>IF($A301="","",'Team Setup'!$E$31)</x:f>
      </x:c>
      <x:c r="G301" s="29" t="str">
        <x:f>IF($A301="","",IF(OR($E301="",$E301&lt;'Team Setup'!$D$4,$E301&gt;'Team Setup'!$F$4),"No",IF(WEEKDAY($E301,2)&gt;5,"No","Yes")))</x:f>
      </x:c>
      <x:c r="H301" s="29" t="str">
        <x:f>IF($A301="","",IF(OR($G301&lt;&gt;"Yes",$E301=""),"No",IF(COUNTIFS('Time Off'!$A$9:$A$508,$E301,'Time Off'!$C$9:$C$508,$D301,'Time Off'!$D$9:$D$508,$C301)+COUNTIFS('Time Off'!$A$9:$A$508,$E301,'Time Off'!$C$9:$C$508,$D301,'Time Off'!$D$9:$D$508,"All")&gt;0,"Yes","No")))</x:f>
      </x:c>
      <x:c r="I301" s="29" t="str">
        <x:f>IF($A301="","",IF(OR($G301&lt;&gt;"Yes",$H301="Yes"),0,MIN($F301,SUMIFS('Time Off'!$I$9:$I$508,'Time Off'!$G$9:$G$508,$A301,'Time Off'!$H$9:$H$508,$E301))))</x:f>
      </x:c>
      <x:c r="J301" s="29" t="str">
        <x:f>IF($A301="","",IF(OR($G301&lt;&gt;"Yes",$H301="Yes"),0,MAX(0,$F301-$I301)))</x:f>
      </x:c>
    </x:row>
    <x:row r="302">
      <x:c r="A302" s="27" t="str">
        <x:f>IF('Team Setup'!$A$31="","",'Team Setup'!$A$31)</x:f>
      </x:c>
      <x:c r="B302" s="27" t="str">
        <x:f>IF($A302="","",'Team Setup'!$B$31)</x:f>
      </x:c>
      <x:c r="C302" s="27" t="str">
        <x:f>IF($A302="","",'Team Setup'!$C$31)</x:f>
      </x:c>
      <x:c r="D302" s="27" t="str">
        <x:f>IF($A302="","",'Team Setup'!$D$31)</x:f>
      </x:c>
      <x:c r="E302" s="28" t="str">
        <x:f>IF(OR('Team Setup'!$D$4="",NOT(ISNUMBER('Team Setup'!$D$4))),"",'Team Setup'!$D$4+3)</x:f>
      </x:c>
      <x:c r="F302" s="29" t="str">
        <x:f>IF($A302="","",'Team Setup'!$E$31)</x:f>
      </x:c>
      <x:c r="G302" s="29" t="str">
        <x:f>IF($A302="","",IF(OR($E302="",$E302&lt;'Team Setup'!$D$4,$E302&gt;'Team Setup'!$F$4),"No",IF(WEEKDAY($E302,2)&gt;5,"No","Yes")))</x:f>
      </x:c>
      <x:c r="H302" s="29" t="str">
        <x:f>IF($A302="","",IF(OR($G302&lt;&gt;"Yes",$E302=""),"No",IF(COUNTIFS('Time Off'!$A$9:$A$508,$E302,'Time Off'!$C$9:$C$508,$D302,'Time Off'!$D$9:$D$508,$C302)+COUNTIFS('Time Off'!$A$9:$A$508,$E302,'Time Off'!$C$9:$C$508,$D302,'Time Off'!$D$9:$D$508,"All")&gt;0,"Yes","No")))</x:f>
      </x:c>
      <x:c r="I302" s="29" t="str">
        <x:f>IF($A302="","",IF(OR($G302&lt;&gt;"Yes",$H302="Yes"),0,MIN($F302,SUMIFS('Time Off'!$I$9:$I$508,'Time Off'!$G$9:$G$508,$A302,'Time Off'!$H$9:$H$508,$E302))))</x:f>
      </x:c>
      <x:c r="J302" s="29" t="str">
        <x:f>IF($A302="","",IF(OR($G302&lt;&gt;"Yes",$H302="Yes"),0,MAX(0,$F302-$I302)))</x:f>
      </x:c>
    </x:row>
    <x:row r="303">
      <x:c r="A303" s="27" t="str">
        <x:f>IF('Team Setup'!$A$31="","",'Team Setup'!$A$31)</x:f>
      </x:c>
      <x:c r="B303" s="27" t="str">
        <x:f>IF($A303="","",'Team Setup'!$B$31)</x:f>
      </x:c>
      <x:c r="C303" s="27" t="str">
        <x:f>IF($A303="","",'Team Setup'!$C$31)</x:f>
      </x:c>
      <x:c r="D303" s="27" t="str">
        <x:f>IF($A303="","",'Team Setup'!$D$31)</x:f>
      </x:c>
      <x:c r="E303" s="28" t="str">
        <x:f>IF(OR('Team Setup'!$D$4="",NOT(ISNUMBER('Team Setup'!$D$4))),"",'Team Setup'!$D$4+4)</x:f>
      </x:c>
      <x:c r="F303" s="29" t="str">
        <x:f>IF($A303="","",'Team Setup'!$E$31)</x:f>
      </x:c>
      <x:c r="G303" s="29" t="str">
        <x:f>IF($A303="","",IF(OR($E303="",$E303&lt;'Team Setup'!$D$4,$E303&gt;'Team Setup'!$F$4),"No",IF(WEEKDAY($E303,2)&gt;5,"No","Yes")))</x:f>
      </x:c>
      <x:c r="H303" s="29" t="str">
        <x:f>IF($A303="","",IF(OR($G303&lt;&gt;"Yes",$E303=""),"No",IF(COUNTIFS('Time Off'!$A$9:$A$508,$E303,'Time Off'!$C$9:$C$508,$D303,'Time Off'!$D$9:$D$508,$C303)+COUNTIFS('Time Off'!$A$9:$A$508,$E303,'Time Off'!$C$9:$C$508,$D303,'Time Off'!$D$9:$D$508,"All")&gt;0,"Yes","No")))</x:f>
      </x:c>
      <x:c r="I303" s="29" t="str">
        <x:f>IF($A303="","",IF(OR($G303&lt;&gt;"Yes",$H303="Yes"),0,MIN($F303,SUMIFS('Time Off'!$I$9:$I$508,'Time Off'!$G$9:$G$508,$A303,'Time Off'!$H$9:$H$508,$E303))))</x:f>
      </x:c>
      <x:c r="J303" s="29" t="str">
        <x:f>IF($A303="","",IF(OR($G303&lt;&gt;"Yes",$H303="Yes"),0,MAX(0,$F303-$I303)))</x:f>
      </x:c>
    </x:row>
    <x:row r="304">
      <x:c r="A304" s="27" t="str">
        <x:f>IF('Team Setup'!$A$31="","",'Team Setup'!$A$31)</x:f>
      </x:c>
      <x:c r="B304" s="27" t="str">
        <x:f>IF($A304="","",'Team Setup'!$B$31)</x:f>
      </x:c>
      <x:c r="C304" s="27" t="str">
        <x:f>IF($A304="","",'Team Setup'!$C$31)</x:f>
      </x:c>
      <x:c r="D304" s="27" t="str">
        <x:f>IF($A304="","",'Team Setup'!$D$31)</x:f>
      </x:c>
      <x:c r="E304" s="28" t="str">
        <x:f>IF(OR('Team Setup'!$D$4="",NOT(ISNUMBER('Team Setup'!$D$4))),"",'Team Setup'!$D$4+5)</x:f>
      </x:c>
      <x:c r="F304" s="29" t="str">
        <x:f>IF($A304="","",'Team Setup'!$E$31)</x:f>
      </x:c>
      <x:c r="G304" s="29" t="str">
        <x:f>IF($A304="","",IF(OR($E304="",$E304&lt;'Team Setup'!$D$4,$E304&gt;'Team Setup'!$F$4),"No",IF(WEEKDAY($E304,2)&gt;5,"No","Yes")))</x:f>
      </x:c>
      <x:c r="H304" s="29" t="str">
        <x:f>IF($A304="","",IF(OR($G304&lt;&gt;"Yes",$E304=""),"No",IF(COUNTIFS('Time Off'!$A$9:$A$508,$E304,'Time Off'!$C$9:$C$508,$D304,'Time Off'!$D$9:$D$508,$C304)+COUNTIFS('Time Off'!$A$9:$A$508,$E304,'Time Off'!$C$9:$C$508,$D304,'Time Off'!$D$9:$D$508,"All")&gt;0,"Yes","No")))</x:f>
      </x:c>
      <x:c r="I304" s="29" t="str">
        <x:f>IF($A304="","",IF(OR($G304&lt;&gt;"Yes",$H304="Yes"),0,MIN($F304,SUMIFS('Time Off'!$I$9:$I$508,'Time Off'!$G$9:$G$508,$A304,'Time Off'!$H$9:$H$508,$E304))))</x:f>
      </x:c>
      <x:c r="J304" s="29" t="str">
        <x:f>IF($A304="","",IF(OR($G304&lt;&gt;"Yes",$H304="Yes"),0,MAX(0,$F304-$I304)))</x:f>
      </x:c>
    </x:row>
    <x:row r="305">
      <x:c r="A305" s="27" t="str">
        <x:f>IF('Team Setup'!$A$31="","",'Team Setup'!$A$31)</x:f>
      </x:c>
      <x:c r="B305" s="27" t="str">
        <x:f>IF($A305="","",'Team Setup'!$B$31)</x:f>
      </x:c>
      <x:c r="C305" s="27" t="str">
        <x:f>IF($A305="","",'Team Setup'!$C$31)</x:f>
      </x:c>
      <x:c r="D305" s="27" t="str">
        <x:f>IF($A305="","",'Team Setup'!$D$31)</x:f>
      </x:c>
      <x:c r="E305" s="28" t="str">
        <x:f>IF(OR('Team Setup'!$D$4="",NOT(ISNUMBER('Team Setup'!$D$4))),"",'Team Setup'!$D$4+6)</x:f>
      </x:c>
      <x:c r="F305" s="29" t="str">
        <x:f>IF($A305="","",'Team Setup'!$E$31)</x:f>
      </x:c>
      <x:c r="G305" s="29" t="str">
        <x:f>IF($A305="","",IF(OR($E305="",$E305&lt;'Team Setup'!$D$4,$E305&gt;'Team Setup'!$F$4),"No",IF(WEEKDAY($E305,2)&gt;5,"No","Yes")))</x:f>
      </x:c>
      <x:c r="H305" s="29" t="str">
        <x:f>IF($A305="","",IF(OR($G305&lt;&gt;"Yes",$E305=""),"No",IF(COUNTIFS('Time Off'!$A$9:$A$508,$E305,'Time Off'!$C$9:$C$508,$D305,'Time Off'!$D$9:$D$508,$C305)+COUNTIFS('Time Off'!$A$9:$A$508,$E305,'Time Off'!$C$9:$C$508,$D305,'Time Off'!$D$9:$D$508,"All")&gt;0,"Yes","No")))</x:f>
      </x:c>
      <x:c r="I305" s="29" t="str">
        <x:f>IF($A305="","",IF(OR($G305&lt;&gt;"Yes",$H305="Yes"),0,MIN($F305,SUMIFS('Time Off'!$I$9:$I$508,'Time Off'!$G$9:$G$508,$A305,'Time Off'!$H$9:$H$508,$E305))))</x:f>
      </x:c>
      <x:c r="J305" s="29" t="str">
        <x:f>IF($A305="","",IF(OR($G305&lt;&gt;"Yes",$H305="Yes"),0,MAX(0,$F305-$I305)))</x:f>
      </x:c>
    </x:row>
    <x:row r="306">
      <x:c r="A306" s="27" t="str">
        <x:f>IF('Team Setup'!$A$31="","",'Team Setup'!$A$31)</x:f>
      </x:c>
      <x:c r="B306" s="27" t="str">
        <x:f>IF($A306="","",'Team Setup'!$B$31)</x:f>
      </x:c>
      <x:c r="C306" s="27" t="str">
        <x:f>IF($A306="","",'Team Setup'!$C$31)</x:f>
      </x:c>
      <x:c r="D306" s="27" t="str">
        <x:f>IF($A306="","",'Team Setup'!$D$31)</x:f>
      </x:c>
      <x:c r="E306" s="28" t="str">
        <x:f>IF(OR('Team Setup'!$D$4="",NOT(ISNUMBER('Team Setup'!$D$4))),"",'Team Setup'!$D$4+7)</x:f>
      </x:c>
      <x:c r="F306" s="29" t="str">
        <x:f>IF($A306="","",'Team Setup'!$E$31)</x:f>
      </x:c>
      <x:c r="G306" s="29" t="str">
        <x:f>IF($A306="","",IF(OR($E306="",$E306&lt;'Team Setup'!$D$4,$E306&gt;'Team Setup'!$F$4),"No",IF(WEEKDAY($E306,2)&gt;5,"No","Yes")))</x:f>
      </x:c>
      <x:c r="H306" s="29" t="str">
        <x:f>IF($A306="","",IF(OR($G306&lt;&gt;"Yes",$E306=""),"No",IF(COUNTIFS('Time Off'!$A$9:$A$508,$E306,'Time Off'!$C$9:$C$508,$D306,'Time Off'!$D$9:$D$508,$C306)+COUNTIFS('Time Off'!$A$9:$A$508,$E306,'Time Off'!$C$9:$C$508,$D306,'Time Off'!$D$9:$D$508,"All")&gt;0,"Yes","No")))</x:f>
      </x:c>
      <x:c r="I306" s="29" t="str">
        <x:f>IF($A306="","",IF(OR($G306&lt;&gt;"Yes",$H306="Yes"),0,MIN($F306,SUMIFS('Time Off'!$I$9:$I$508,'Time Off'!$G$9:$G$508,$A306,'Time Off'!$H$9:$H$508,$E306))))</x:f>
      </x:c>
      <x:c r="J306" s="29" t="str">
        <x:f>IF($A306="","",IF(OR($G306&lt;&gt;"Yes",$H306="Yes"),0,MAX(0,$F306-$I306)))</x:f>
      </x:c>
    </x:row>
    <x:row r="307">
      <x:c r="A307" s="27" t="str">
        <x:f>IF('Team Setup'!$A$31="","",'Team Setup'!$A$31)</x:f>
      </x:c>
      <x:c r="B307" s="27" t="str">
        <x:f>IF($A307="","",'Team Setup'!$B$31)</x:f>
      </x:c>
      <x:c r="C307" s="27" t="str">
        <x:f>IF($A307="","",'Team Setup'!$C$31)</x:f>
      </x:c>
      <x:c r="D307" s="27" t="str">
        <x:f>IF($A307="","",'Team Setup'!$D$31)</x:f>
      </x:c>
      <x:c r="E307" s="28" t="str">
        <x:f>IF(OR('Team Setup'!$D$4="",NOT(ISNUMBER('Team Setup'!$D$4))),"",'Team Setup'!$D$4+8)</x:f>
      </x:c>
      <x:c r="F307" s="29" t="str">
        <x:f>IF($A307="","",'Team Setup'!$E$31)</x:f>
      </x:c>
      <x:c r="G307" s="29" t="str">
        <x:f>IF($A307="","",IF(OR($E307="",$E307&lt;'Team Setup'!$D$4,$E307&gt;'Team Setup'!$F$4),"No",IF(WEEKDAY($E307,2)&gt;5,"No","Yes")))</x:f>
      </x:c>
      <x:c r="H307" s="29" t="str">
        <x:f>IF($A307="","",IF(OR($G307&lt;&gt;"Yes",$E307=""),"No",IF(COUNTIFS('Time Off'!$A$9:$A$508,$E307,'Time Off'!$C$9:$C$508,$D307,'Time Off'!$D$9:$D$508,$C307)+COUNTIFS('Time Off'!$A$9:$A$508,$E307,'Time Off'!$C$9:$C$508,$D307,'Time Off'!$D$9:$D$508,"All")&gt;0,"Yes","No")))</x:f>
      </x:c>
      <x:c r="I307" s="29" t="str">
        <x:f>IF($A307="","",IF(OR($G307&lt;&gt;"Yes",$H307="Yes"),0,MIN($F307,SUMIFS('Time Off'!$I$9:$I$508,'Time Off'!$G$9:$G$508,$A307,'Time Off'!$H$9:$H$508,$E307))))</x:f>
      </x:c>
      <x:c r="J307" s="29" t="str">
        <x:f>IF($A307="","",IF(OR($G307&lt;&gt;"Yes",$H307="Yes"),0,MAX(0,$F307-$I307)))</x:f>
      </x:c>
    </x:row>
    <x:row r="308">
      <x:c r="A308" s="27" t="str">
        <x:f>IF('Team Setup'!$A$31="","",'Team Setup'!$A$31)</x:f>
      </x:c>
      <x:c r="B308" s="27" t="str">
        <x:f>IF($A308="","",'Team Setup'!$B$31)</x:f>
      </x:c>
      <x:c r="C308" s="27" t="str">
        <x:f>IF($A308="","",'Team Setup'!$C$31)</x:f>
      </x:c>
      <x:c r="D308" s="27" t="str">
        <x:f>IF($A308="","",'Team Setup'!$D$31)</x:f>
      </x:c>
      <x:c r="E308" s="28" t="str">
        <x:f>IF(OR('Team Setup'!$D$4="",NOT(ISNUMBER('Team Setup'!$D$4))),"",'Team Setup'!$D$4+9)</x:f>
      </x:c>
      <x:c r="F308" s="29" t="str">
        <x:f>IF($A308="","",'Team Setup'!$E$31)</x:f>
      </x:c>
      <x:c r="G308" s="29" t="str">
        <x:f>IF($A308="","",IF(OR($E308="",$E308&lt;'Team Setup'!$D$4,$E308&gt;'Team Setup'!$F$4),"No",IF(WEEKDAY($E308,2)&gt;5,"No","Yes")))</x:f>
      </x:c>
      <x:c r="H308" s="29" t="str">
        <x:f>IF($A308="","",IF(OR($G308&lt;&gt;"Yes",$E308=""),"No",IF(COUNTIFS('Time Off'!$A$9:$A$508,$E308,'Time Off'!$C$9:$C$508,$D308,'Time Off'!$D$9:$D$508,$C308)+COUNTIFS('Time Off'!$A$9:$A$508,$E308,'Time Off'!$C$9:$C$508,$D308,'Time Off'!$D$9:$D$508,"All")&gt;0,"Yes","No")))</x:f>
      </x:c>
      <x:c r="I308" s="29" t="str">
        <x:f>IF($A308="","",IF(OR($G308&lt;&gt;"Yes",$H308="Yes"),0,MIN($F308,SUMIFS('Time Off'!$I$9:$I$508,'Time Off'!$G$9:$G$508,$A308,'Time Off'!$H$9:$H$508,$E308))))</x:f>
      </x:c>
      <x:c r="J308" s="29" t="str">
        <x:f>IF($A308="","",IF(OR($G308&lt;&gt;"Yes",$H308="Yes"),0,MAX(0,$F308-$I308)))</x:f>
      </x:c>
    </x:row>
    <x:row r="309">
      <x:c r="A309" s="27" t="str">
        <x:f>IF('Team Setup'!$A$31="","",'Team Setup'!$A$31)</x:f>
      </x:c>
      <x:c r="B309" s="27" t="str">
        <x:f>IF($A309="","",'Team Setup'!$B$31)</x:f>
      </x:c>
      <x:c r="C309" s="27" t="str">
        <x:f>IF($A309="","",'Team Setup'!$C$31)</x:f>
      </x:c>
      <x:c r="D309" s="27" t="str">
        <x:f>IF($A309="","",'Team Setup'!$D$31)</x:f>
      </x:c>
      <x:c r="E309" s="28" t="str">
        <x:f>IF(OR('Team Setup'!$D$4="",NOT(ISNUMBER('Team Setup'!$D$4))),"",'Team Setup'!$D$4+10)</x:f>
      </x:c>
      <x:c r="F309" s="29" t="str">
        <x:f>IF($A309="","",'Team Setup'!$E$31)</x:f>
      </x:c>
      <x:c r="G309" s="29" t="str">
        <x:f>IF($A309="","",IF(OR($E309="",$E309&lt;'Team Setup'!$D$4,$E309&gt;'Team Setup'!$F$4),"No",IF(WEEKDAY($E309,2)&gt;5,"No","Yes")))</x:f>
      </x:c>
      <x:c r="H309" s="29" t="str">
        <x:f>IF($A309="","",IF(OR($G309&lt;&gt;"Yes",$E309=""),"No",IF(COUNTIFS('Time Off'!$A$9:$A$508,$E309,'Time Off'!$C$9:$C$508,$D309,'Time Off'!$D$9:$D$508,$C309)+COUNTIFS('Time Off'!$A$9:$A$508,$E309,'Time Off'!$C$9:$C$508,$D309,'Time Off'!$D$9:$D$508,"All")&gt;0,"Yes","No")))</x:f>
      </x:c>
      <x:c r="I309" s="29" t="str">
        <x:f>IF($A309="","",IF(OR($G309&lt;&gt;"Yes",$H309="Yes"),0,MIN($F309,SUMIFS('Time Off'!$I$9:$I$508,'Time Off'!$G$9:$G$508,$A309,'Time Off'!$H$9:$H$508,$E309))))</x:f>
      </x:c>
      <x:c r="J309" s="29" t="str">
        <x:f>IF($A309="","",IF(OR($G309&lt;&gt;"Yes",$H309="Yes"),0,MAX(0,$F309-$I309)))</x:f>
      </x:c>
    </x:row>
    <x:row r="310">
      <x:c r="A310" s="27" t="str">
        <x:f>IF('Team Setup'!$A$31="","",'Team Setup'!$A$31)</x:f>
      </x:c>
      <x:c r="B310" s="27" t="str">
        <x:f>IF($A310="","",'Team Setup'!$B$31)</x:f>
      </x:c>
      <x:c r="C310" s="27" t="str">
        <x:f>IF($A310="","",'Team Setup'!$C$31)</x:f>
      </x:c>
      <x:c r="D310" s="27" t="str">
        <x:f>IF($A310="","",'Team Setup'!$D$31)</x:f>
      </x:c>
      <x:c r="E310" s="28" t="str">
        <x:f>IF(OR('Team Setup'!$D$4="",NOT(ISNUMBER('Team Setup'!$D$4))),"",'Team Setup'!$D$4+11)</x:f>
      </x:c>
      <x:c r="F310" s="29" t="str">
        <x:f>IF($A310="","",'Team Setup'!$E$31)</x:f>
      </x:c>
      <x:c r="G310" s="29" t="str">
        <x:f>IF($A310="","",IF(OR($E310="",$E310&lt;'Team Setup'!$D$4,$E310&gt;'Team Setup'!$F$4),"No",IF(WEEKDAY($E310,2)&gt;5,"No","Yes")))</x:f>
      </x:c>
      <x:c r="H310" s="29" t="str">
        <x:f>IF($A310="","",IF(OR($G310&lt;&gt;"Yes",$E310=""),"No",IF(COUNTIFS('Time Off'!$A$9:$A$508,$E310,'Time Off'!$C$9:$C$508,$D310,'Time Off'!$D$9:$D$508,$C310)+COUNTIFS('Time Off'!$A$9:$A$508,$E310,'Time Off'!$C$9:$C$508,$D310,'Time Off'!$D$9:$D$508,"All")&gt;0,"Yes","No")))</x:f>
      </x:c>
      <x:c r="I310" s="29" t="str">
        <x:f>IF($A310="","",IF(OR($G310&lt;&gt;"Yes",$H310="Yes"),0,MIN($F310,SUMIFS('Time Off'!$I$9:$I$508,'Time Off'!$G$9:$G$508,$A310,'Time Off'!$H$9:$H$508,$E310))))</x:f>
      </x:c>
      <x:c r="J310" s="29" t="str">
        <x:f>IF($A310="","",IF(OR($G310&lt;&gt;"Yes",$H310="Yes"),0,MAX(0,$F310-$I310)))</x:f>
      </x:c>
    </x:row>
    <x:row r="311">
      <x:c r="A311" s="27" t="str">
        <x:f>IF('Team Setup'!$A$31="","",'Team Setup'!$A$31)</x:f>
      </x:c>
      <x:c r="B311" s="27" t="str">
        <x:f>IF($A311="","",'Team Setup'!$B$31)</x:f>
      </x:c>
      <x:c r="C311" s="27" t="str">
        <x:f>IF($A311="","",'Team Setup'!$C$31)</x:f>
      </x:c>
      <x:c r="D311" s="27" t="str">
        <x:f>IF($A311="","",'Team Setup'!$D$31)</x:f>
      </x:c>
      <x:c r="E311" s="28" t="str">
        <x:f>IF(OR('Team Setup'!$D$4="",NOT(ISNUMBER('Team Setup'!$D$4))),"",'Team Setup'!$D$4+12)</x:f>
      </x:c>
      <x:c r="F311" s="29" t="str">
        <x:f>IF($A311="","",'Team Setup'!$E$31)</x:f>
      </x:c>
      <x:c r="G311" s="29" t="str">
        <x:f>IF($A311="","",IF(OR($E311="",$E311&lt;'Team Setup'!$D$4,$E311&gt;'Team Setup'!$F$4),"No",IF(WEEKDAY($E311,2)&gt;5,"No","Yes")))</x:f>
      </x:c>
      <x:c r="H311" s="29" t="str">
        <x:f>IF($A311="","",IF(OR($G311&lt;&gt;"Yes",$E311=""),"No",IF(COUNTIFS('Time Off'!$A$9:$A$508,$E311,'Time Off'!$C$9:$C$508,$D311,'Time Off'!$D$9:$D$508,$C311)+COUNTIFS('Time Off'!$A$9:$A$508,$E311,'Time Off'!$C$9:$C$508,$D311,'Time Off'!$D$9:$D$508,"All")&gt;0,"Yes","No")))</x:f>
      </x:c>
      <x:c r="I311" s="29" t="str">
        <x:f>IF($A311="","",IF(OR($G311&lt;&gt;"Yes",$H311="Yes"),0,MIN($F311,SUMIFS('Time Off'!$I$9:$I$508,'Time Off'!$G$9:$G$508,$A311,'Time Off'!$H$9:$H$508,$E311))))</x:f>
      </x:c>
      <x:c r="J311" s="29" t="str">
        <x:f>IF($A311="","",IF(OR($G311&lt;&gt;"Yes",$H311="Yes"),0,MAX(0,$F311-$I311)))</x:f>
      </x:c>
    </x:row>
    <x:row r="312">
      <x:c r="A312" s="27" t="str">
        <x:f>IF('Team Setup'!$A$31="","",'Team Setup'!$A$31)</x:f>
      </x:c>
      <x:c r="B312" s="27" t="str">
        <x:f>IF($A312="","",'Team Setup'!$B$31)</x:f>
      </x:c>
      <x:c r="C312" s="27" t="str">
        <x:f>IF($A312="","",'Team Setup'!$C$31)</x:f>
      </x:c>
      <x:c r="D312" s="27" t="str">
        <x:f>IF($A312="","",'Team Setup'!$D$31)</x:f>
      </x:c>
      <x:c r="E312" s="28" t="str">
        <x:f>IF(OR('Team Setup'!$D$4="",NOT(ISNUMBER('Team Setup'!$D$4))),"",'Team Setup'!$D$4+13)</x:f>
      </x:c>
      <x:c r="F312" s="29" t="str">
        <x:f>IF($A312="","",'Team Setup'!$E$31)</x:f>
      </x:c>
      <x:c r="G312" s="29" t="str">
        <x:f>IF($A312="","",IF(OR($E312="",$E312&lt;'Team Setup'!$D$4,$E312&gt;'Team Setup'!$F$4),"No",IF(WEEKDAY($E312,2)&gt;5,"No","Yes")))</x:f>
      </x:c>
      <x:c r="H312" s="29" t="str">
        <x:f>IF($A312="","",IF(OR($G312&lt;&gt;"Yes",$E312=""),"No",IF(COUNTIFS('Time Off'!$A$9:$A$508,$E312,'Time Off'!$C$9:$C$508,$D312,'Time Off'!$D$9:$D$508,$C312)+COUNTIFS('Time Off'!$A$9:$A$508,$E312,'Time Off'!$C$9:$C$508,$D312,'Time Off'!$D$9:$D$508,"All")&gt;0,"Yes","No")))</x:f>
      </x:c>
      <x:c r="I312" s="29" t="str">
        <x:f>IF($A312="","",IF(OR($G312&lt;&gt;"Yes",$H312="Yes"),0,MIN($F312,SUMIFS('Time Off'!$I$9:$I$508,'Time Off'!$G$9:$G$508,$A312,'Time Off'!$H$9:$H$508,$E312))))</x:f>
      </x:c>
      <x:c r="J312" s="29" t="str">
        <x:f>IF($A312="","",IF(OR($G312&lt;&gt;"Yes",$H312="Yes"),0,MAX(0,$F312-$I312)))</x:f>
      </x:c>
    </x:row>
    <x:row r="313">
      <x:c r="A313" s="27" t="str">
        <x:f>IF('Team Setup'!$A$32="","",'Team Setup'!$A$32)</x:f>
      </x:c>
      <x:c r="B313" s="27" t="str">
        <x:f>IF($A313="","",'Team Setup'!$B$32)</x:f>
      </x:c>
      <x:c r="C313" s="27" t="str">
        <x:f>IF($A313="","",'Team Setup'!$C$32)</x:f>
      </x:c>
      <x:c r="D313" s="27" t="str">
        <x:f>IF($A313="","",'Team Setup'!$D$32)</x:f>
      </x:c>
      <x:c r="E313" s="28" t="str">
        <x:f>IF(OR('Team Setup'!$D$4="",NOT(ISNUMBER('Team Setup'!$D$4))),"",'Team Setup'!$D$4+0)</x:f>
      </x:c>
      <x:c r="F313" s="29" t="str">
        <x:f>IF($A313="","",'Team Setup'!$E$32)</x:f>
      </x:c>
      <x:c r="G313" s="29" t="str">
        <x:f>IF($A313="","",IF(OR($E313="",$E313&lt;'Team Setup'!$D$4,$E313&gt;'Team Setup'!$F$4),"No",IF(WEEKDAY($E313,2)&gt;5,"No","Yes")))</x:f>
      </x:c>
      <x:c r="H313" s="29" t="str">
        <x:f>IF($A313="","",IF(OR($G313&lt;&gt;"Yes",$E313=""),"No",IF(COUNTIFS('Time Off'!$A$9:$A$508,$E313,'Time Off'!$C$9:$C$508,$D313,'Time Off'!$D$9:$D$508,$C313)+COUNTIFS('Time Off'!$A$9:$A$508,$E313,'Time Off'!$C$9:$C$508,$D313,'Time Off'!$D$9:$D$508,"All")&gt;0,"Yes","No")))</x:f>
      </x:c>
      <x:c r="I313" s="29" t="str">
        <x:f>IF($A313="","",IF(OR($G313&lt;&gt;"Yes",$H313="Yes"),0,MIN($F313,SUMIFS('Time Off'!$I$9:$I$508,'Time Off'!$G$9:$G$508,$A313,'Time Off'!$H$9:$H$508,$E313))))</x:f>
      </x:c>
      <x:c r="J313" s="29" t="str">
        <x:f>IF($A313="","",IF(OR($G313&lt;&gt;"Yes",$H313="Yes"),0,MAX(0,$F313-$I313)))</x:f>
      </x:c>
    </x:row>
    <x:row r="314">
      <x:c r="A314" s="27" t="str">
        <x:f>IF('Team Setup'!$A$32="","",'Team Setup'!$A$32)</x:f>
      </x:c>
      <x:c r="B314" s="27" t="str">
        <x:f>IF($A314="","",'Team Setup'!$B$32)</x:f>
      </x:c>
      <x:c r="C314" s="27" t="str">
        <x:f>IF($A314="","",'Team Setup'!$C$32)</x:f>
      </x:c>
      <x:c r="D314" s="27" t="str">
        <x:f>IF($A314="","",'Team Setup'!$D$32)</x:f>
      </x:c>
      <x:c r="E314" s="28" t="str">
        <x:f>IF(OR('Team Setup'!$D$4="",NOT(ISNUMBER('Team Setup'!$D$4))),"",'Team Setup'!$D$4+1)</x:f>
      </x:c>
      <x:c r="F314" s="29" t="str">
        <x:f>IF($A314="","",'Team Setup'!$E$32)</x:f>
      </x:c>
      <x:c r="G314" s="29" t="str">
        <x:f>IF($A314="","",IF(OR($E314="",$E314&lt;'Team Setup'!$D$4,$E314&gt;'Team Setup'!$F$4),"No",IF(WEEKDAY($E314,2)&gt;5,"No","Yes")))</x:f>
      </x:c>
      <x:c r="H314" s="29" t="str">
        <x:f>IF($A314="","",IF(OR($G314&lt;&gt;"Yes",$E314=""),"No",IF(COUNTIFS('Time Off'!$A$9:$A$508,$E314,'Time Off'!$C$9:$C$508,$D314,'Time Off'!$D$9:$D$508,$C314)+COUNTIFS('Time Off'!$A$9:$A$508,$E314,'Time Off'!$C$9:$C$508,$D314,'Time Off'!$D$9:$D$508,"All")&gt;0,"Yes","No")))</x:f>
      </x:c>
      <x:c r="I314" s="29" t="str">
        <x:f>IF($A314="","",IF(OR($G314&lt;&gt;"Yes",$H314="Yes"),0,MIN($F314,SUMIFS('Time Off'!$I$9:$I$508,'Time Off'!$G$9:$G$508,$A314,'Time Off'!$H$9:$H$508,$E314))))</x:f>
      </x:c>
      <x:c r="J314" s="29" t="str">
        <x:f>IF($A314="","",IF(OR($G314&lt;&gt;"Yes",$H314="Yes"),0,MAX(0,$F314-$I314)))</x:f>
      </x:c>
    </x:row>
    <x:row r="315">
      <x:c r="A315" s="27" t="str">
        <x:f>IF('Team Setup'!$A$32="","",'Team Setup'!$A$32)</x:f>
      </x:c>
      <x:c r="B315" s="27" t="str">
        <x:f>IF($A315="","",'Team Setup'!$B$32)</x:f>
      </x:c>
      <x:c r="C315" s="27" t="str">
        <x:f>IF($A315="","",'Team Setup'!$C$32)</x:f>
      </x:c>
      <x:c r="D315" s="27" t="str">
        <x:f>IF($A315="","",'Team Setup'!$D$32)</x:f>
      </x:c>
      <x:c r="E315" s="28" t="str">
        <x:f>IF(OR('Team Setup'!$D$4="",NOT(ISNUMBER('Team Setup'!$D$4))),"",'Team Setup'!$D$4+2)</x:f>
      </x:c>
      <x:c r="F315" s="29" t="str">
        <x:f>IF($A315="","",'Team Setup'!$E$32)</x:f>
      </x:c>
      <x:c r="G315" s="29" t="str">
        <x:f>IF($A315="","",IF(OR($E315="",$E315&lt;'Team Setup'!$D$4,$E315&gt;'Team Setup'!$F$4),"No",IF(WEEKDAY($E315,2)&gt;5,"No","Yes")))</x:f>
      </x:c>
      <x:c r="H315" s="29" t="str">
        <x:f>IF($A315="","",IF(OR($G315&lt;&gt;"Yes",$E315=""),"No",IF(COUNTIFS('Time Off'!$A$9:$A$508,$E315,'Time Off'!$C$9:$C$508,$D315,'Time Off'!$D$9:$D$508,$C315)+COUNTIFS('Time Off'!$A$9:$A$508,$E315,'Time Off'!$C$9:$C$508,$D315,'Time Off'!$D$9:$D$508,"All")&gt;0,"Yes","No")))</x:f>
      </x:c>
      <x:c r="I315" s="29" t="str">
        <x:f>IF($A315="","",IF(OR($G315&lt;&gt;"Yes",$H315="Yes"),0,MIN($F315,SUMIFS('Time Off'!$I$9:$I$508,'Time Off'!$G$9:$G$508,$A315,'Time Off'!$H$9:$H$508,$E315))))</x:f>
      </x:c>
      <x:c r="J315" s="29" t="str">
        <x:f>IF($A315="","",IF(OR($G315&lt;&gt;"Yes",$H315="Yes"),0,MAX(0,$F315-$I315)))</x:f>
      </x:c>
    </x:row>
    <x:row r="316">
      <x:c r="A316" s="27" t="str">
        <x:f>IF('Team Setup'!$A$32="","",'Team Setup'!$A$32)</x:f>
      </x:c>
      <x:c r="B316" s="27" t="str">
        <x:f>IF($A316="","",'Team Setup'!$B$32)</x:f>
      </x:c>
      <x:c r="C316" s="27" t="str">
        <x:f>IF($A316="","",'Team Setup'!$C$32)</x:f>
      </x:c>
      <x:c r="D316" s="27" t="str">
        <x:f>IF($A316="","",'Team Setup'!$D$32)</x:f>
      </x:c>
      <x:c r="E316" s="28" t="str">
        <x:f>IF(OR('Team Setup'!$D$4="",NOT(ISNUMBER('Team Setup'!$D$4))),"",'Team Setup'!$D$4+3)</x:f>
      </x:c>
      <x:c r="F316" s="29" t="str">
        <x:f>IF($A316="","",'Team Setup'!$E$32)</x:f>
      </x:c>
      <x:c r="G316" s="29" t="str">
        <x:f>IF($A316="","",IF(OR($E316="",$E316&lt;'Team Setup'!$D$4,$E316&gt;'Team Setup'!$F$4),"No",IF(WEEKDAY($E316,2)&gt;5,"No","Yes")))</x:f>
      </x:c>
      <x:c r="H316" s="29" t="str">
        <x:f>IF($A316="","",IF(OR($G316&lt;&gt;"Yes",$E316=""),"No",IF(COUNTIFS('Time Off'!$A$9:$A$508,$E316,'Time Off'!$C$9:$C$508,$D316,'Time Off'!$D$9:$D$508,$C316)+COUNTIFS('Time Off'!$A$9:$A$508,$E316,'Time Off'!$C$9:$C$508,$D316,'Time Off'!$D$9:$D$508,"All")&gt;0,"Yes","No")))</x:f>
      </x:c>
      <x:c r="I316" s="29" t="str">
        <x:f>IF($A316="","",IF(OR($G316&lt;&gt;"Yes",$H316="Yes"),0,MIN($F316,SUMIFS('Time Off'!$I$9:$I$508,'Time Off'!$G$9:$G$508,$A316,'Time Off'!$H$9:$H$508,$E316))))</x:f>
      </x:c>
      <x:c r="J316" s="29" t="str">
        <x:f>IF($A316="","",IF(OR($G316&lt;&gt;"Yes",$H316="Yes"),0,MAX(0,$F316-$I316)))</x:f>
      </x:c>
    </x:row>
    <x:row r="317">
      <x:c r="A317" s="27" t="str">
        <x:f>IF('Team Setup'!$A$32="","",'Team Setup'!$A$32)</x:f>
      </x:c>
      <x:c r="B317" s="27" t="str">
        <x:f>IF($A317="","",'Team Setup'!$B$32)</x:f>
      </x:c>
      <x:c r="C317" s="27" t="str">
        <x:f>IF($A317="","",'Team Setup'!$C$32)</x:f>
      </x:c>
      <x:c r="D317" s="27" t="str">
        <x:f>IF($A317="","",'Team Setup'!$D$32)</x:f>
      </x:c>
      <x:c r="E317" s="28" t="str">
        <x:f>IF(OR('Team Setup'!$D$4="",NOT(ISNUMBER('Team Setup'!$D$4))),"",'Team Setup'!$D$4+4)</x:f>
      </x:c>
      <x:c r="F317" s="29" t="str">
        <x:f>IF($A317="","",'Team Setup'!$E$32)</x:f>
      </x:c>
      <x:c r="G317" s="29" t="str">
        <x:f>IF($A317="","",IF(OR($E317="",$E317&lt;'Team Setup'!$D$4,$E317&gt;'Team Setup'!$F$4),"No",IF(WEEKDAY($E317,2)&gt;5,"No","Yes")))</x:f>
      </x:c>
      <x:c r="H317" s="29" t="str">
        <x:f>IF($A317="","",IF(OR($G317&lt;&gt;"Yes",$E317=""),"No",IF(COUNTIFS('Time Off'!$A$9:$A$508,$E317,'Time Off'!$C$9:$C$508,$D317,'Time Off'!$D$9:$D$508,$C317)+COUNTIFS('Time Off'!$A$9:$A$508,$E317,'Time Off'!$C$9:$C$508,$D317,'Time Off'!$D$9:$D$508,"All")&gt;0,"Yes","No")))</x:f>
      </x:c>
      <x:c r="I317" s="29" t="str">
        <x:f>IF($A317="","",IF(OR($G317&lt;&gt;"Yes",$H317="Yes"),0,MIN($F317,SUMIFS('Time Off'!$I$9:$I$508,'Time Off'!$G$9:$G$508,$A317,'Time Off'!$H$9:$H$508,$E317))))</x:f>
      </x:c>
      <x:c r="J317" s="29" t="str">
        <x:f>IF($A317="","",IF(OR($G317&lt;&gt;"Yes",$H317="Yes"),0,MAX(0,$F317-$I317)))</x:f>
      </x:c>
    </x:row>
    <x:row r="318">
      <x:c r="A318" s="27" t="str">
        <x:f>IF('Team Setup'!$A$32="","",'Team Setup'!$A$32)</x:f>
      </x:c>
      <x:c r="B318" s="27" t="str">
        <x:f>IF($A318="","",'Team Setup'!$B$32)</x:f>
      </x:c>
      <x:c r="C318" s="27" t="str">
        <x:f>IF($A318="","",'Team Setup'!$C$32)</x:f>
      </x:c>
      <x:c r="D318" s="27" t="str">
        <x:f>IF($A318="","",'Team Setup'!$D$32)</x:f>
      </x:c>
      <x:c r="E318" s="28" t="str">
        <x:f>IF(OR('Team Setup'!$D$4="",NOT(ISNUMBER('Team Setup'!$D$4))),"",'Team Setup'!$D$4+5)</x:f>
      </x:c>
      <x:c r="F318" s="29" t="str">
        <x:f>IF($A318="","",'Team Setup'!$E$32)</x:f>
      </x:c>
      <x:c r="G318" s="29" t="str">
        <x:f>IF($A318="","",IF(OR($E318="",$E318&lt;'Team Setup'!$D$4,$E318&gt;'Team Setup'!$F$4),"No",IF(WEEKDAY($E318,2)&gt;5,"No","Yes")))</x:f>
      </x:c>
      <x:c r="H318" s="29" t="str">
        <x:f>IF($A318="","",IF(OR($G318&lt;&gt;"Yes",$E318=""),"No",IF(COUNTIFS('Time Off'!$A$9:$A$508,$E318,'Time Off'!$C$9:$C$508,$D318,'Time Off'!$D$9:$D$508,$C318)+COUNTIFS('Time Off'!$A$9:$A$508,$E318,'Time Off'!$C$9:$C$508,$D318,'Time Off'!$D$9:$D$508,"All")&gt;0,"Yes","No")))</x:f>
      </x:c>
      <x:c r="I318" s="29" t="str">
        <x:f>IF($A318="","",IF(OR($G318&lt;&gt;"Yes",$H318="Yes"),0,MIN($F318,SUMIFS('Time Off'!$I$9:$I$508,'Time Off'!$G$9:$G$508,$A318,'Time Off'!$H$9:$H$508,$E318))))</x:f>
      </x:c>
      <x:c r="J318" s="29" t="str">
        <x:f>IF($A318="","",IF(OR($G318&lt;&gt;"Yes",$H318="Yes"),0,MAX(0,$F318-$I318)))</x:f>
      </x:c>
    </x:row>
    <x:row r="319">
      <x:c r="A319" s="27" t="str">
        <x:f>IF('Team Setup'!$A$32="","",'Team Setup'!$A$32)</x:f>
      </x:c>
      <x:c r="B319" s="27" t="str">
        <x:f>IF($A319="","",'Team Setup'!$B$32)</x:f>
      </x:c>
      <x:c r="C319" s="27" t="str">
        <x:f>IF($A319="","",'Team Setup'!$C$32)</x:f>
      </x:c>
      <x:c r="D319" s="27" t="str">
        <x:f>IF($A319="","",'Team Setup'!$D$32)</x:f>
      </x:c>
      <x:c r="E319" s="28" t="str">
        <x:f>IF(OR('Team Setup'!$D$4="",NOT(ISNUMBER('Team Setup'!$D$4))),"",'Team Setup'!$D$4+6)</x:f>
      </x:c>
      <x:c r="F319" s="29" t="str">
        <x:f>IF($A319="","",'Team Setup'!$E$32)</x:f>
      </x:c>
      <x:c r="G319" s="29" t="str">
        <x:f>IF($A319="","",IF(OR($E319="",$E319&lt;'Team Setup'!$D$4,$E319&gt;'Team Setup'!$F$4),"No",IF(WEEKDAY($E319,2)&gt;5,"No","Yes")))</x:f>
      </x:c>
      <x:c r="H319" s="29" t="str">
        <x:f>IF($A319="","",IF(OR($G319&lt;&gt;"Yes",$E319=""),"No",IF(COUNTIFS('Time Off'!$A$9:$A$508,$E319,'Time Off'!$C$9:$C$508,$D319,'Time Off'!$D$9:$D$508,$C319)+COUNTIFS('Time Off'!$A$9:$A$508,$E319,'Time Off'!$C$9:$C$508,$D319,'Time Off'!$D$9:$D$508,"All")&gt;0,"Yes","No")))</x:f>
      </x:c>
      <x:c r="I319" s="29" t="str">
        <x:f>IF($A319="","",IF(OR($G319&lt;&gt;"Yes",$H319="Yes"),0,MIN($F319,SUMIFS('Time Off'!$I$9:$I$508,'Time Off'!$G$9:$G$508,$A319,'Time Off'!$H$9:$H$508,$E319))))</x:f>
      </x:c>
      <x:c r="J319" s="29" t="str">
        <x:f>IF($A319="","",IF(OR($G319&lt;&gt;"Yes",$H319="Yes"),0,MAX(0,$F319-$I319)))</x:f>
      </x:c>
    </x:row>
    <x:row r="320">
      <x:c r="A320" s="27" t="str">
        <x:f>IF('Team Setup'!$A$32="","",'Team Setup'!$A$32)</x:f>
      </x:c>
      <x:c r="B320" s="27" t="str">
        <x:f>IF($A320="","",'Team Setup'!$B$32)</x:f>
      </x:c>
      <x:c r="C320" s="27" t="str">
        <x:f>IF($A320="","",'Team Setup'!$C$32)</x:f>
      </x:c>
      <x:c r="D320" s="27" t="str">
        <x:f>IF($A320="","",'Team Setup'!$D$32)</x:f>
      </x:c>
      <x:c r="E320" s="28" t="str">
        <x:f>IF(OR('Team Setup'!$D$4="",NOT(ISNUMBER('Team Setup'!$D$4))),"",'Team Setup'!$D$4+7)</x:f>
      </x:c>
      <x:c r="F320" s="29" t="str">
        <x:f>IF($A320="","",'Team Setup'!$E$32)</x:f>
      </x:c>
      <x:c r="G320" s="29" t="str">
        <x:f>IF($A320="","",IF(OR($E320="",$E320&lt;'Team Setup'!$D$4,$E320&gt;'Team Setup'!$F$4),"No",IF(WEEKDAY($E320,2)&gt;5,"No","Yes")))</x:f>
      </x:c>
      <x:c r="H320" s="29" t="str">
        <x:f>IF($A320="","",IF(OR($G320&lt;&gt;"Yes",$E320=""),"No",IF(COUNTIFS('Time Off'!$A$9:$A$508,$E320,'Time Off'!$C$9:$C$508,$D320,'Time Off'!$D$9:$D$508,$C320)+COUNTIFS('Time Off'!$A$9:$A$508,$E320,'Time Off'!$C$9:$C$508,$D320,'Time Off'!$D$9:$D$508,"All")&gt;0,"Yes","No")))</x:f>
      </x:c>
      <x:c r="I320" s="29" t="str">
        <x:f>IF($A320="","",IF(OR($G320&lt;&gt;"Yes",$H320="Yes"),0,MIN($F320,SUMIFS('Time Off'!$I$9:$I$508,'Time Off'!$G$9:$G$508,$A320,'Time Off'!$H$9:$H$508,$E320))))</x:f>
      </x:c>
      <x:c r="J320" s="29" t="str">
        <x:f>IF($A320="","",IF(OR($G320&lt;&gt;"Yes",$H320="Yes"),0,MAX(0,$F320-$I320)))</x:f>
      </x:c>
    </x:row>
    <x:row r="321">
      <x:c r="A321" s="27" t="str">
        <x:f>IF('Team Setup'!$A$32="","",'Team Setup'!$A$32)</x:f>
      </x:c>
      <x:c r="B321" s="27" t="str">
        <x:f>IF($A321="","",'Team Setup'!$B$32)</x:f>
      </x:c>
      <x:c r="C321" s="27" t="str">
        <x:f>IF($A321="","",'Team Setup'!$C$32)</x:f>
      </x:c>
      <x:c r="D321" s="27" t="str">
        <x:f>IF($A321="","",'Team Setup'!$D$32)</x:f>
      </x:c>
      <x:c r="E321" s="28" t="str">
        <x:f>IF(OR('Team Setup'!$D$4="",NOT(ISNUMBER('Team Setup'!$D$4))),"",'Team Setup'!$D$4+8)</x:f>
      </x:c>
      <x:c r="F321" s="29" t="str">
        <x:f>IF($A321="","",'Team Setup'!$E$32)</x:f>
      </x:c>
      <x:c r="G321" s="29" t="str">
        <x:f>IF($A321="","",IF(OR($E321="",$E321&lt;'Team Setup'!$D$4,$E321&gt;'Team Setup'!$F$4),"No",IF(WEEKDAY($E321,2)&gt;5,"No","Yes")))</x:f>
      </x:c>
      <x:c r="H321" s="29" t="str">
        <x:f>IF($A321="","",IF(OR($G321&lt;&gt;"Yes",$E321=""),"No",IF(COUNTIFS('Time Off'!$A$9:$A$508,$E321,'Time Off'!$C$9:$C$508,$D321,'Time Off'!$D$9:$D$508,$C321)+COUNTIFS('Time Off'!$A$9:$A$508,$E321,'Time Off'!$C$9:$C$508,$D321,'Time Off'!$D$9:$D$508,"All")&gt;0,"Yes","No")))</x:f>
      </x:c>
      <x:c r="I321" s="29" t="str">
        <x:f>IF($A321="","",IF(OR($G321&lt;&gt;"Yes",$H321="Yes"),0,MIN($F321,SUMIFS('Time Off'!$I$9:$I$508,'Time Off'!$G$9:$G$508,$A321,'Time Off'!$H$9:$H$508,$E321))))</x:f>
      </x:c>
      <x:c r="J321" s="29" t="str">
        <x:f>IF($A321="","",IF(OR($G321&lt;&gt;"Yes",$H321="Yes"),0,MAX(0,$F321-$I321)))</x:f>
      </x:c>
    </x:row>
    <x:row r="322">
      <x:c r="A322" s="27" t="str">
        <x:f>IF('Team Setup'!$A$32="","",'Team Setup'!$A$32)</x:f>
      </x:c>
      <x:c r="B322" s="27" t="str">
        <x:f>IF($A322="","",'Team Setup'!$B$32)</x:f>
      </x:c>
      <x:c r="C322" s="27" t="str">
        <x:f>IF($A322="","",'Team Setup'!$C$32)</x:f>
      </x:c>
      <x:c r="D322" s="27" t="str">
        <x:f>IF($A322="","",'Team Setup'!$D$32)</x:f>
      </x:c>
      <x:c r="E322" s="28" t="str">
        <x:f>IF(OR('Team Setup'!$D$4="",NOT(ISNUMBER('Team Setup'!$D$4))),"",'Team Setup'!$D$4+9)</x:f>
      </x:c>
      <x:c r="F322" s="29" t="str">
        <x:f>IF($A322="","",'Team Setup'!$E$32)</x:f>
      </x:c>
      <x:c r="G322" s="29" t="str">
        <x:f>IF($A322="","",IF(OR($E322="",$E322&lt;'Team Setup'!$D$4,$E322&gt;'Team Setup'!$F$4),"No",IF(WEEKDAY($E322,2)&gt;5,"No","Yes")))</x:f>
      </x:c>
      <x:c r="H322" s="29" t="str">
        <x:f>IF($A322="","",IF(OR($G322&lt;&gt;"Yes",$E322=""),"No",IF(COUNTIFS('Time Off'!$A$9:$A$508,$E322,'Time Off'!$C$9:$C$508,$D322,'Time Off'!$D$9:$D$508,$C322)+COUNTIFS('Time Off'!$A$9:$A$508,$E322,'Time Off'!$C$9:$C$508,$D322,'Time Off'!$D$9:$D$508,"All")&gt;0,"Yes","No")))</x:f>
      </x:c>
      <x:c r="I322" s="29" t="str">
        <x:f>IF($A322="","",IF(OR($G322&lt;&gt;"Yes",$H322="Yes"),0,MIN($F322,SUMIFS('Time Off'!$I$9:$I$508,'Time Off'!$G$9:$G$508,$A322,'Time Off'!$H$9:$H$508,$E322))))</x:f>
      </x:c>
      <x:c r="J322" s="29" t="str">
        <x:f>IF($A322="","",IF(OR($G322&lt;&gt;"Yes",$H322="Yes"),0,MAX(0,$F322-$I322)))</x:f>
      </x:c>
    </x:row>
    <x:row r="323">
      <x:c r="A323" s="27" t="str">
        <x:f>IF('Team Setup'!$A$32="","",'Team Setup'!$A$32)</x:f>
      </x:c>
      <x:c r="B323" s="27" t="str">
        <x:f>IF($A323="","",'Team Setup'!$B$32)</x:f>
      </x:c>
      <x:c r="C323" s="27" t="str">
        <x:f>IF($A323="","",'Team Setup'!$C$32)</x:f>
      </x:c>
      <x:c r="D323" s="27" t="str">
        <x:f>IF($A323="","",'Team Setup'!$D$32)</x:f>
      </x:c>
      <x:c r="E323" s="28" t="str">
        <x:f>IF(OR('Team Setup'!$D$4="",NOT(ISNUMBER('Team Setup'!$D$4))),"",'Team Setup'!$D$4+10)</x:f>
      </x:c>
      <x:c r="F323" s="29" t="str">
        <x:f>IF($A323="","",'Team Setup'!$E$32)</x:f>
      </x:c>
      <x:c r="G323" s="29" t="str">
        <x:f>IF($A323="","",IF(OR($E323="",$E323&lt;'Team Setup'!$D$4,$E323&gt;'Team Setup'!$F$4),"No",IF(WEEKDAY($E323,2)&gt;5,"No","Yes")))</x:f>
      </x:c>
      <x:c r="H323" s="29" t="str">
        <x:f>IF($A323="","",IF(OR($G323&lt;&gt;"Yes",$E323=""),"No",IF(COUNTIFS('Time Off'!$A$9:$A$508,$E323,'Time Off'!$C$9:$C$508,$D323,'Time Off'!$D$9:$D$508,$C323)+COUNTIFS('Time Off'!$A$9:$A$508,$E323,'Time Off'!$C$9:$C$508,$D323,'Time Off'!$D$9:$D$508,"All")&gt;0,"Yes","No")))</x:f>
      </x:c>
      <x:c r="I323" s="29" t="str">
        <x:f>IF($A323="","",IF(OR($G323&lt;&gt;"Yes",$H323="Yes"),0,MIN($F323,SUMIFS('Time Off'!$I$9:$I$508,'Time Off'!$G$9:$G$508,$A323,'Time Off'!$H$9:$H$508,$E323))))</x:f>
      </x:c>
      <x:c r="J323" s="29" t="str">
        <x:f>IF($A323="","",IF(OR($G323&lt;&gt;"Yes",$H323="Yes"),0,MAX(0,$F323-$I323)))</x:f>
      </x:c>
    </x:row>
    <x:row r="324">
      <x:c r="A324" s="27" t="str">
        <x:f>IF('Team Setup'!$A$32="","",'Team Setup'!$A$32)</x:f>
      </x:c>
      <x:c r="B324" s="27" t="str">
        <x:f>IF($A324="","",'Team Setup'!$B$32)</x:f>
      </x:c>
      <x:c r="C324" s="27" t="str">
        <x:f>IF($A324="","",'Team Setup'!$C$32)</x:f>
      </x:c>
      <x:c r="D324" s="27" t="str">
        <x:f>IF($A324="","",'Team Setup'!$D$32)</x:f>
      </x:c>
      <x:c r="E324" s="28" t="str">
        <x:f>IF(OR('Team Setup'!$D$4="",NOT(ISNUMBER('Team Setup'!$D$4))),"",'Team Setup'!$D$4+11)</x:f>
      </x:c>
      <x:c r="F324" s="29" t="str">
        <x:f>IF($A324="","",'Team Setup'!$E$32)</x:f>
      </x:c>
      <x:c r="G324" s="29" t="str">
        <x:f>IF($A324="","",IF(OR($E324="",$E324&lt;'Team Setup'!$D$4,$E324&gt;'Team Setup'!$F$4),"No",IF(WEEKDAY($E324,2)&gt;5,"No","Yes")))</x:f>
      </x:c>
      <x:c r="H324" s="29" t="str">
        <x:f>IF($A324="","",IF(OR($G324&lt;&gt;"Yes",$E324=""),"No",IF(COUNTIFS('Time Off'!$A$9:$A$508,$E324,'Time Off'!$C$9:$C$508,$D324,'Time Off'!$D$9:$D$508,$C324)+COUNTIFS('Time Off'!$A$9:$A$508,$E324,'Time Off'!$C$9:$C$508,$D324,'Time Off'!$D$9:$D$508,"All")&gt;0,"Yes","No")))</x:f>
      </x:c>
      <x:c r="I324" s="29" t="str">
        <x:f>IF($A324="","",IF(OR($G324&lt;&gt;"Yes",$H324="Yes"),0,MIN($F324,SUMIFS('Time Off'!$I$9:$I$508,'Time Off'!$G$9:$G$508,$A324,'Time Off'!$H$9:$H$508,$E324))))</x:f>
      </x:c>
      <x:c r="J324" s="29" t="str">
        <x:f>IF($A324="","",IF(OR($G324&lt;&gt;"Yes",$H324="Yes"),0,MAX(0,$F324-$I324)))</x:f>
      </x:c>
    </x:row>
    <x:row r="325">
      <x:c r="A325" s="27" t="str">
        <x:f>IF('Team Setup'!$A$32="","",'Team Setup'!$A$32)</x:f>
      </x:c>
      <x:c r="B325" s="27" t="str">
        <x:f>IF($A325="","",'Team Setup'!$B$32)</x:f>
      </x:c>
      <x:c r="C325" s="27" t="str">
        <x:f>IF($A325="","",'Team Setup'!$C$32)</x:f>
      </x:c>
      <x:c r="D325" s="27" t="str">
        <x:f>IF($A325="","",'Team Setup'!$D$32)</x:f>
      </x:c>
      <x:c r="E325" s="28" t="str">
        <x:f>IF(OR('Team Setup'!$D$4="",NOT(ISNUMBER('Team Setup'!$D$4))),"",'Team Setup'!$D$4+12)</x:f>
      </x:c>
      <x:c r="F325" s="29" t="str">
        <x:f>IF($A325="","",'Team Setup'!$E$32)</x:f>
      </x:c>
      <x:c r="G325" s="29" t="str">
        <x:f>IF($A325="","",IF(OR($E325="",$E325&lt;'Team Setup'!$D$4,$E325&gt;'Team Setup'!$F$4),"No",IF(WEEKDAY($E325,2)&gt;5,"No","Yes")))</x:f>
      </x:c>
      <x:c r="H325" s="29" t="str">
        <x:f>IF($A325="","",IF(OR($G325&lt;&gt;"Yes",$E325=""),"No",IF(COUNTIFS('Time Off'!$A$9:$A$508,$E325,'Time Off'!$C$9:$C$508,$D325,'Time Off'!$D$9:$D$508,$C325)+COUNTIFS('Time Off'!$A$9:$A$508,$E325,'Time Off'!$C$9:$C$508,$D325,'Time Off'!$D$9:$D$508,"All")&gt;0,"Yes","No")))</x:f>
      </x:c>
      <x:c r="I325" s="29" t="str">
        <x:f>IF($A325="","",IF(OR($G325&lt;&gt;"Yes",$H325="Yes"),0,MIN($F325,SUMIFS('Time Off'!$I$9:$I$508,'Time Off'!$G$9:$G$508,$A325,'Time Off'!$H$9:$H$508,$E325))))</x:f>
      </x:c>
      <x:c r="J325" s="29" t="str">
        <x:f>IF($A325="","",IF(OR($G325&lt;&gt;"Yes",$H325="Yes"),0,MAX(0,$F325-$I325)))</x:f>
      </x:c>
    </x:row>
    <x:row r="326">
      <x:c r="A326" s="27" t="str">
        <x:f>IF('Team Setup'!$A$32="","",'Team Setup'!$A$32)</x:f>
      </x:c>
      <x:c r="B326" s="27" t="str">
        <x:f>IF($A326="","",'Team Setup'!$B$32)</x:f>
      </x:c>
      <x:c r="C326" s="27" t="str">
        <x:f>IF($A326="","",'Team Setup'!$C$32)</x:f>
      </x:c>
      <x:c r="D326" s="27" t="str">
        <x:f>IF($A326="","",'Team Setup'!$D$32)</x:f>
      </x:c>
      <x:c r="E326" s="28" t="str">
        <x:f>IF(OR('Team Setup'!$D$4="",NOT(ISNUMBER('Team Setup'!$D$4))),"",'Team Setup'!$D$4+13)</x:f>
      </x:c>
      <x:c r="F326" s="29" t="str">
        <x:f>IF($A326="","",'Team Setup'!$E$32)</x:f>
      </x:c>
      <x:c r="G326" s="29" t="str">
        <x:f>IF($A326="","",IF(OR($E326="",$E326&lt;'Team Setup'!$D$4,$E326&gt;'Team Setup'!$F$4),"No",IF(WEEKDAY($E326,2)&gt;5,"No","Yes")))</x:f>
      </x:c>
      <x:c r="H326" s="29" t="str">
        <x:f>IF($A326="","",IF(OR($G326&lt;&gt;"Yes",$E326=""),"No",IF(COUNTIFS('Time Off'!$A$9:$A$508,$E326,'Time Off'!$C$9:$C$508,$D326,'Time Off'!$D$9:$D$508,$C326)+COUNTIFS('Time Off'!$A$9:$A$508,$E326,'Time Off'!$C$9:$C$508,$D326,'Time Off'!$D$9:$D$508,"All")&gt;0,"Yes","No")))</x:f>
      </x:c>
      <x:c r="I326" s="29" t="str">
        <x:f>IF($A326="","",IF(OR($G326&lt;&gt;"Yes",$H326="Yes"),0,MIN($F326,SUMIFS('Time Off'!$I$9:$I$508,'Time Off'!$G$9:$G$508,$A326,'Time Off'!$H$9:$H$508,$E326))))</x:f>
      </x:c>
      <x:c r="J326" s="29" t="str">
        <x:f>IF($A326="","",IF(OR($G326&lt;&gt;"Yes",$H326="Yes"),0,MAX(0,$F326-$I326)))</x:f>
      </x:c>
    </x:row>
    <x:row r="327">
      <x:c r="A327" s="27" t="str">
        <x:f>IF('Team Setup'!$A$33="","",'Team Setup'!$A$33)</x:f>
      </x:c>
      <x:c r="B327" s="27" t="str">
        <x:f>IF($A327="","",'Team Setup'!$B$33)</x:f>
      </x:c>
      <x:c r="C327" s="27" t="str">
        <x:f>IF($A327="","",'Team Setup'!$C$33)</x:f>
      </x:c>
      <x:c r="D327" s="27" t="str">
        <x:f>IF($A327="","",'Team Setup'!$D$33)</x:f>
      </x:c>
      <x:c r="E327" s="28" t="str">
        <x:f>IF(OR('Team Setup'!$D$4="",NOT(ISNUMBER('Team Setup'!$D$4))),"",'Team Setup'!$D$4+0)</x:f>
      </x:c>
      <x:c r="F327" s="29" t="str">
        <x:f>IF($A327="","",'Team Setup'!$E$33)</x:f>
      </x:c>
      <x:c r="G327" s="29" t="str">
        <x:f>IF($A327="","",IF(OR($E327="",$E327&lt;'Team Setup'!$D$4,$E327&gt;'Team Setup'!$F$4),"No",IF(WEEKDAY($E327,2)&gt;5,"No","Yes")))</x:f>
      </x:c>
      <x:c r="H327" s="29" t="str">
        <x:f>IF($A327="","",IF(OR($G327&lt;&gt;"Yes",$E327=""),"No",IF(COUNTIFS('Time Off'!$A$9:$A$508,$E327,'Time Off'!$C$9:$C$508,$D327,'Time Off'!$D$9:$D$508,$C327)+COUNTIFS('Time Off'!$A$9:$A$508,$E327,'Time Off'!$C$9:$C$508,$D327,'Time Off'!$D$9:$D$508,"All")&gt;0,"Yes","No")))</x:f>
      </x:c>
      <x:c r="I327" s="29" t="str">
        <x:f>IF($A327="","",IF(OR($G327&lt;&gt;"Yes",$H327="Yes"),0,MIN($F327,SUMIFS('Time Off'!$I$9:$I$508,'Time Off'!$G$9:$G$508,$A327,'Time Off'!$H$9:$H$508,$E327))))</x:f>
      </x:c>
      <x:c r="J327" s="29" t="str">
        <x:f>IF($A327="","",IF(OR($G327&lt;&gt;"Yes",$H327="Yes"),0,MAX(0,$F327-$I327)))</x:f>
      </x:c>
    </x:row>
    <x:row r="328">
      <x:c r="A328" s="27" t="str">
        <x:f>IF('Team Setup'!$A$33="","",'Team Setup'!$A$33)</x:f>
      </x:c>
      <x:c r="B328" s="27" t="str">
        <x:f>IF($A328="","",'Team Setup'!$B$33)</x:f>
      </x:c>
      <x:c r="C328" s="27" t="str">
        <x:f>IF($A328="","",'Team Setup'!$C$33)</x:f>
      </x:c>
      <x:c r="D328" s="27" t="str">
        <x:f>IF($A328="","",'Team Setup'!$D$33)</x:f>
      </x:c>
      <x:c r="E328" s="28" t="str">
        <x:f>IF(OR('Team Setup'!$D$4="",NOT(ISNUMBER('Team Setup'!$D$4))),"",'Team Setup'!$D$4+1)</x:f>
      </x:c>
      <x:c r="F328" s="29" t="str">
        <x:f>IF($A328="","",'Team Setup'!$E$33)</x:f>
      </x:c>
      <x:c r="G328" s="29" t="str">
        <x:f>IF($A328="","",IF(OR($E328="",$E328&lt;'Team Setup'!$D$4,$E328&gt;'Team Setup'!$F$4),"No",IF(WEEKDAY($E328,2)&gt;5,"No","Yes")))</x:f>
      </x:c>
      <x:c r="H328" s="29" t="str">
        <x:f>IF($A328="","",IF(OR($G328&lt;&gt;"Yes",$E328=""),"No",IF(COUNTIFS('Time Off'!$A$9:$A$508,$E328,'Time Off'!$C$9:$C$508,$D328,'Time Off'!$D$9:$D$508,$C328)+COUNTIFS('Time Off'!$A$9:$A$508,$E328,'Time Off'!$C$9:$C$508,$D328,'Time Off'!$D$9:$D$508,"All")&gt;0,"Yes","No")))</x:f>
      </x:c>
      <x:c r="I328" s="29" t="str">
        <x:f>IF($A328="","",IF(OR($G328&lt;&gt;"Yes",$H328="Yes"),0,MIN($F328,SUMIFS('Time Off'!$I$9:$I$508,'Time Off'!$G$9:$G$508,$A328,'Time Off'!$H$9:$H$508,$E328))))</x:f>
      </x:c>
      <x:c r="J328" s="29" t="str">
        <x:f>IF($A328="","",IF(OR($G328&lt;&gt;"Yes",$H328="Yes"),0,MAX(0,$F328-$I328)))</x:f>
      </x:c>
    </x:row>
    <x:row r="329">
      <x:c r="A329" s="27" t="str">
        <x:f>IF('Team Setup'!$A$33="","",'Team Setup'!$A$33)</x:f>
      </x:c>
      <x:c r="B329" s="27" t="str">
        <x:f>IF($A329="","",'Team Setup'!$B$33)</x:f>
      </x:c>
      <x:c r="C329" s="27" t="str">
        <x:f>IF($A329="","",'Team Setup'!$C$33)</x:f>
      </x:c>
      <x:c r="D329" s="27" t="str">
        <x:f>IF($A329="","",'Team Setup'!$D$33)</x:f>
      </x:c>
      <x:c r="E329" s="28" t="str">
        <x:f>IF(OR('Team Setup'!$D$4="",NOT(ISNUMBER('Team Setup'!$D$4))),"",'Team Setup'!$D$4+2)</x:f>
      </x:c>
      <x:c r="F329" s="29" t="str">
        <x:f>IF($A329="","",'Team Setup'!$E$33)</x:f>
      </x:c>
      <x:c r="G329" s="29" t="str">
        <x:f>IF($A329="","",IF(OR($E329="",$E329&lt;'Team Setup'!$D$4,$E329&gt;'Team Setup'!$F$4),"No",IF(WEEKDAY($E329,2)&gt;5,"No","Yes")))</x:f>
      </x:c>
      <x:c r="H329" s="29" t="str">
        <x:f>IF($A329="","",IF(OR($G329&lt;&gt;"Yes",$E329=""),"No",IF(COUNTIFS('Time Off'!$A$9:$A$508,$E329,'Time Off'!$C$9:$C$508,$D329,'Time Off'!$D$9:$D$508,$C329)+COUNTIFS('Time Off'!$A$9:$A$508,$E329,'Time Off'!$C$9:$C$508,$D329,'Time Off'!$D$9:$D$508,"All")&gt;0,"Yes","No")))</x:f>
      </x:c>
      <x:c r="I329" s="29" t="str">
        <x:f>IF($A329="","",IF(OR($G329&lt;&gt;"Yes",$H329="Yes"),0,MIN($F329,SUMIFS('Time Off'!$I$9:$I$508,'Time Off'!$G$9:$G$508,$A329,'Time Off'!$H$9:$H$508,$E329))))</x:f>
      </x:c>
      <x:c r="J329" s="29" t="str">
        <x:f>IF($A329="","",IF(OR($G329&lt;&gt;"Yes",$H329="Yes"),0,MAX(0,$F329-$I329)))</x:f>
      </x:c>
    </x:row>
    <x:row r="330">
      <x:c r="A330" s="27" t="str">
        <x:f>IF('Team Setup'!$A$33="","",'Team Setup'!$A$33)</x:f>
      </x:c>
      <x:c r="B330" s="27" t="str">
        <x:f>IF($A330="","",'Team Setup'!$B$33)</x:f>
      </x:c>
      <x:c r="C330" s="27" t="str">
        <x:f>IF($A330="","",'Team Setup'!$C$33)</x:f>
      </x:c>
      <x:c r="D330" s="27" t="str">
        <x:f>IF($A330="","",'Team Setup'!$D$33)</x:f>
      </x:c>
      <x:c r="E330" s="28" t="str">
        <x:f>IF(OR('Team Setup'!$D$4="",NOT(ISNUMBER('Team Setup'!$D$4))),"",'Team Setup'!$D$4+3)</x:f>
      </x:c>
      <x:c r="F330" s="29" t="str">
        <x:f>IF($A330="","",'Team Setup'!$E$33)</x:f>
      </x:c>
      <x:c r="G330" s="29" t="str">
        <x:f>IF($A330="","",IF(OR($E330="",$E330&lt;'Team Setup'!$D$4,$E330&gt;'Team Setup'!$F$4),"No",IF(WEEKDAY($E330,2)&gt;5,"No","Yes")))</x:f>
      </x:c>
      <x:c r="H330" s="29" t="str">
        <x:f>IF($A330="","",IF(OR($G330&lt;&gt;"Yes",$E330=""),"No",IF(COUNTIFS('Time Off'!$A$9:$A$508,$E330,'Time Off'!$C$9:$C$508,$D330,'Time Off'!$D$9:$D$508,$C330)+COUNTIFS('Time Off'!$A$9:$A$508,$E330,'Time Off'!$C$9:$C$508,$D330,'Time Off'!$D$9:$D$508,"All")&gt;0,"Yes","No")))</x:f>
      </x:c>
      <x:c r="I330" s="29" t="str">
        <x:f>IF($A330="","",IF(OR($G330&lt;&gt;"Yes",$H330="Yes"),0,MIN($F330,SUMIFS('Time Off'!$I$9:$I$508,'Time Off'!$G$9:$G$508,$A330,'Time Off'!$H$9:$H$508,$E330))))</x:f>
      </x:c>
      <x:c r="J330" s="29" t="str">
        <x:f>IF($A330="","",IF(OR($G330&lt;&gt;"Yes",$H330="Yes"),0,MAX(0,$F330-$I330)))</x:f>
      </x:c>
    </x:row>
    <x:row r="331">
      <x:c r="A331" s="27" t="str">
        <x:f>IF('Team Setup'!$A$33="","",'Team Setup'!$A$33)</x:f>
      </x:c>
      <x:c r="B331" s="27" t="str">
        <x:f>IF($A331="","",'Team Setup'!$B$33)</x:f>
      </x:c>
      <x:c r="C331" s="27" t="str">
        <x:f>IF($A331="","",'Team Setup'!$C$33)</x:f>
      </x:c>
      <x:c r="D331" s="27" t="str">
        <x:f>IF($A331="","",'Team Setup'!$D$33)</x:f>
      </x:c>
      <x:c r="E331" s="28" t="str">
        <x:f>IF(OR('Team Setup'!$D$4="",NOT(ISNUMBER('Team Setup'!$D$4))),"",'Team Setup'!$D$4+4)</x:f>
      </x:c>
      <x:c r="F331" s="29" t="str">
        <x:f>IF($A331="","",'Team Setup'!$E$33)</x:f>
      </x:c>
      <x:c r="G331" s="29" t="str">
        <x:f>IF($A331="","",IF(OR($E331="",$E331&lt;'Team Setup'!$D$4,$E331&gt;'Team Setup'!$F$4),"No",IF(WEEKDAY($E331,2)&gt;5,"No","Yes")))</x:f>
      </x:c>
      <x:c r="H331" s="29" t="str">
        <x:f>IF($A331="","",IF(OR($G331&lt;&gt;"Yes",$E331=""),"No",IF(COUNTIFS('Time Off'!$A$9:$A$508,$E331,'Time Off'!$C$9:$C$508,$D331,'Time Off'!$D$9:$D$508,$C331)+COUNTIFS('Time Off'!$A$9:$A$508,$E331,'Time Off'!$C$9:$C$508,$D331,'Time Off'!$D$9:$D$508,"All")&gt;0,"Yes","No")))</x:f>
      </x:c>
      <x:c r="I331" s="29" t="str">
        <x:f>IF($A331="","",IF(OR($G331&lt;&gt;"Yes",$H331="Yes"),0,MIN($F331,SUMIFS('Time Off'!$I$9:$I$508,'Time Off'!$G$9:$G$508,$A331,'Time Off'!$H$9:$H$508,$E331))))</x:f>
      </x:c>
      <x:c r="J331" s="29" t="str">
        <x:f>IF($A331="","",IF(OR($G331&lt;&gt;"Yes",$H331="Yes"),0,MAX(0,$F331-$I331)))</x:f>
      </x:c>
    </x:row>
    <x:row r="332">
      <x:c r="A332" s="27" t="str">
        <x:f>IF('Team Setup'!$A$33="","",'Team Setup'!$A$33)</x:f>
      </x:c>
      <x:c r="B332" s="27" t="str">
        <x:f>IF($A332="","",'Team Setup'!$B$33)</x:f>
      </x:c>
      <x:c r="C332" s="27" t="str">
        <x:f>IF($A332="","",'Team Setup'!$C$33)</x:f>
      </x:c>
      <x:c r="D332" s="27" t="str">
        <x:f>IF($A332="","",'Team Setup'!$D$33)</x:f>
      </x:c>
      <x:c r="E332" s="28" t="str">
        <x:f>IF(OR('Team Setup'!$D$4="",NOT(ISNUMBER('Team Setup'!$D$4))),"",'Team Setup'!$D$4+5)</x:f>
      </x:c>
      <x:c r="F332" s="29" t="str">
        <x:f>IF($A332="","",'Team Setup'!$E$33)</x:f>
      </x:c>
      <x:c r="G332" s="29" t="str">
        <x:f>IF($A332="","",IF(OR($E332="",$E332&lt;'Team Setup'!$D$4,$E332&gt;'Team Setup'!$F$4),"No",IF(WEEKDAY($E332,2)&gt;5,"No","Yes")))</x:f>
      </x:c>
      <x:c r="H332" s="29" t="str">
        <x:f>IF($A332="","",IF(OR($G332&lt;&gt;"Yes",$E332=""),"No",IF(COUNTIFS('Time Off'!$A$9:$A$508,$E332,'Time Off'!$C$9:$C$508,$D332,'Time Off'!$D$9:$D$508,$C332)+COUNTIFS('Time Off'!$A$9:$A$508,$E332,'Time Off'!$C$9:$C$508,$D332,'Time Off'!$D$9:$D$508,"All")&gt;0,"Yes","No")))</x:f>
      </x:c>
      <x:c r="I332" s="29" t="str">
        <x:f>IF($A332="","",IF(OR($G332&lt;&gt;"Yes",$H332="Yes"),0,MIN($F332,SUMIFS('Time Off'!$I$9:$I$508,'Time Off'!$G$9:$G$508,$A332,'Time Off'!$H$9:$H$508,$E332))))</x:f>
      </x:c>
      <x:c r="J332" s="29" t="str">
        <x:f>IF($A332="","",IF(OR($G332&lt;&gt;"Yes",$H332="Yes"),0,MAX(0,$F332-$I332)))</x:f>
      </x:c>
    </x:row>
    <x:row r="333">
      <x:c r="A333" s="27" t="str">
        <x:f>IF('Team Setup'!$A$33="","",'Team Setup'!$A$33)</x:f>
      </x:c>
      <x:c r="B333" s="27" t="str">
        <x:f>IF($A333="","",'Team Setup'!$B$33)</x:f>
      </x:c>
      <x:c r="C333" s="27" t="str">
        <x:f>IF($A333="","",'Team Setup'!$C$33)</x:f>
      </x:c>
      <x:c r="D333" s="27" t="str">
        <x:f>IF($A333="","",'Team Setup'!$D$33)</x:f>
      </x:c>
      <x:c r="E333" s="28" t="str">
        <x:f>IF(OR('Team Setup'!$D$4="",NOT(ISNUMBER('Team Setup'!$D$4))),"",'Team Setup'!$D$4+6)</x:f>
      </x:c>
      <x:c r="F333" s="29" t="str">
        <x:f>IF($A333="","",'Team Setup'!$E$33)</x:f>
      </x:c>
      <x:c r="G333" s="29" t="str">
        <x:f>IF($A333="","",IF(OR($E333="",$E333&lt;'Team Setup'!$D$4,$E333&gt;'Team Setup'!$F$4),"No",IF(WEEKDAY($E333,2)&gt;5,"No","Yes")))</x:f>
      </x:c>
      <x:c r="H333" s="29" t="str">
        <x:f>IF($A333="","",IF(OR($G333&lt;&gt;"Yes",$E333=""),"No",IF(COUNTIFS('Time Off'!$A$9:$A$508,$E333,'Time Off'!$C$9:$C$508,$D333,'Time Off'!$D$9:$D$508,$C333)+COUNTIFS('Time Off'!$A$9:$A$508,$E333,'Time Off'!$C$9:$C$508,$D333,'Time Off'!$D$9:$D$508,"All")&gt;0,"Yes","No")))</x:f>
      </x:c>
      <x:c r="I333" s="29" t="str">
        <x:f>IF($A333="","",IF(OR($G333&lt;&gt;"Yes",$H333="Yes"),0,MIN($F333,SUMIFS('Time Off'!$I$9:$I$508,'Time Off'!$G$9:$G$508,$A333,'Time Off'!$H$9:$H$508,$E333))))</x:f>
      </x:c>
      <x:c r="J333" s="29" t="str">
        <x:f>IF($A333="","",IF(OR($G333&lt;&gt;"Yes",$H333="Yes"),0,MAX(0,$F333-$I333)))</x:f>
      </x:c>
    </x:row>
    <x:row r="334">
      <x:c r="A334" s="27" t="str">
        <x:f>IF('Team Setup'!$A$33="","",'Team Setup'!$A$33)</x:f>
      </x:c>
      <x:c r="B334" s="27" t="str">
        <x:f>IF($A334="","",'Team Setup'!$B$33)</x:f>
      </x:c>
      <x:c r="C334" s="27" t="str">
        <x:f>IF($A334="","",'Team Setup'!$C$33)</x:f>
      </x:c>
      <x:c r="D334" s="27" t="str">
        <x:f>IF($A334="","",'Team Setup'!$D$33)</x:f>
      </x:c>
      <x:c r="E334" s="28" t="str">
        <x:f>IF(OR('Team Setup'!$D$4="",NOT(ISNUMBER('Team Setup'!$D$4))),"",'Team Setup'!$D$4+7)</x:f>
      </x:c>
      <x:c r="F334" s="29" t="str">
        <x:f>IF($A334="","",'Team Setup'!$E$33)</x:f>
      </x:c>
      <x:c r="G334" s="29" t="str">
        <x:f>IF($A334="","",IF(OR($E334="",$E334&lt;'Team Setup'!$D$4,$E334&gt;'Team Setup'!$F$4),"No",IF(WEEKDAY($E334,2)&gt;5,"No","Yes")))</x:f>
      </x:c>
      <x:c r="H334" s="29" t="str">
        <x:f>IF($A334="","",IF(OR($G334&lt;&gt;"Yes",$E334=""),"No",IF(COUNTIFS('Time Off'!$A$9:$A$508,$E334,'Time Off'!$C$9:$C$508,$D334,'Time Off'!$D$9:$D$508,$C334)+COUNTIFS('Time Off'!$A$9:$A$508,$E334,'Time Off'!$C$9:$C$508,$D334,'Time Off'!$D$9:$D$508,"All")&gt;0,"Yes","No")))</x:f>
      </x:c>
      <x:c r="I334" s="29" t="str">
        <x:f>IF($A334="","",IF(OR($G334&lt;&gt;"Yes",$H334="Yes"),0,MIN($F334,SUMIFS('Time Off'!$I$9:$I$508,'Time Off'!$G$9:$G$508,$A334,'Time Off'!$H$9:$H$508,$E334))))</x:f>
      </x:c>
      <x:c r="J334" s="29" t="str">
        <x:f>IF($A334="","",IF(OR($G334&lt;&gt;"Yes",$H334="Yes"),0,MAX(0,$F334-$I334)))</x:f>
      </x:c>
    </x:row>
    <x:row r="335">
      <x:c r="A335" s="27" t="str">
        <x:f>IF('Team Setup'!$A$33="","",'Team Setup'!$A$33)</x:f>
      </x:c>
      <x:c r="B335" s="27" t="str">
        <x:f>IF($A335="","",'Team Setup'!$B$33)</x:f>
      </x:c>
      <x:c r="C335" s="27" t="str">
        <x:f>IF($A335="","",'Team Setup'!$C$33)</x:f>
      </x:c>
      <x:c r="D335" s="27" t="str">
        <x:f>IF($A335="","",'Team Setup'!$D$33)</x:f>
      </x:c>
      <x:c r="E335" s="28" t="str">
        <x:f>IF(OR('Team Setup'!$D$4="",NOT(ISNUMBER('Team Setup'!$D$4))),"",'Team Setup'!$D$4+8)</x:f>
      </x:c>
      <x:c r="F335" s="29" t="str">
        <x:f>IF($A335="","",'Team Setup'!$E$33)</x:f>
      </x:c>
      <x:c r="G335" s="29" t="str">
        <x:f>IF($A335="","",IF(OR($E335="",$E335&lt;'Team Setup'!$D$4,$E335&gt;'Team Setup'!$F$4),"No",IF(WEEKDAY($E335,2)&gt;5,"No","Yes")))</x:f>
      </x:c>
      <x:c r="H335" s="29" t="str">
        <x:f>IF($A335="","",IF(OR($G335&lt;&gt;"Yes",$E335=""),"No",IF(COUNTIFS('Time Off'!$A$9:$A$508,$E335,'Time Off'!$C$9:$C$508,$D335,'Time Off'!$D$9:$D$508,$C335)+COUNTIFS('Time Off'!$A$9:$A$508,$E335,'Time Off'!$C$9:$C$508,$D335,'Time Off'!$D$9:$D$508,"All")&gt;0,"Yes","No")))</x:f>
      </x:c>
      <x:c r="I335" s="29" t="str">
        <x:f>IF($A335="","",IF(OR($G335&lt;&gt;"Yes",$H335="Yes"),0,MIN($F335,SUMIFS('Time Off'!$I$9:$I$508,'Time Off'!$G$9:$G$508,$A335,'Time Off'!$H$9:$H$508,$E335))))</x:f>
      </x:c>
      <x:c r="J335" s="29" t="str">
        <x:f>IF($A335="","",IF(OR($G335&lt;&gt;"Yes",$H335="Yes"),0,MAX(0,$F335-$I335)))</x:f>
      </x:c>
    </x:row>
    <x:row r="336">
      <x:c r="A336" s="27" t="str">
        <x:f>IF('Team Setup'!$A$33="","",'Team Setup'!$A$33)</x:f>
      </x:c>
      <x:c r="B336" s="27" t="str">
        <x:f>IF($A336="","",'Team Setup'!$B$33)</x:f>
      </x:c>
      <x:c r="C336" s="27" t="str">
        <x:f>IF($A336="","",'Team Setup'!$C$33)</x:f>
      </x:c>
      <x:c r="D336" s="27" t="str">
        <x:f>IF($A336="","",'Team Setup'!$D$33)</x:f>
      </x:c>
      <x:c r="E336" s="28" t="str">
        <x:f>IF(OR('Team Setup'!$D$4="",NOT(ISNUMBER('Team Setup'!$D$4))),"",'Team Setup'!$D$4+9)</x:f>
      </x:c>
      <x:c r="F336" s="29" t="str">
        <x:f>IF($A336="","",'Team Setup'!$E$33)</x:f>
      </x:c>
      <x:c r="G336" s="29" t="str">
        <x:f>IF($A336="","",IF(OR($E336="",$E336&lt;'Team Setup'!$D$4,$E336&gt;'Team Setup'!$F$4),"No",IF(WEEKDAY($E336,2)&gt;5,"No","Yes")))</x:f>
      </x:c>
      <x:c r="H336" s="29" t="str">
        <x:f>IF($A336="","",IF(OR($G336&lt;&gt;"Yes",$E336=""),"No",IF(COUNTIFS('Time Off'!$A$9:$A$508,$E336,'Time Off'!$C$9:$C$508,$D336,'Time Off'!$D$9:$D$508,$C336)+COUNTIFS('Time Off'!$A$9:$A$508,$E336,'Time Off'!$C$9:$C$508,$D336,'Time Off'!$D$9:$D$508,"All")&gt;0,"Yes","No")))</x:f>
      </x:c>
      <x:c r="I336" s="29" t="str">
        <x:f>IF($A336="","",IF(OR($G336&lt;&gt;"Yes",$H336="Yes"),0,MIN($F336,SUMIFS('Time Off'!$I$9:$I$508,'Time Off'!$G$9:$G$508,$A336,'Time Off'!$H$9:$H$508,$E336))))</x:f>
      </x:c>
      <x:c r="J336" s="29" t="str">
        <x:f>IF($A336="","",IF(OR($G336&lt;&gt;"Yes",$H336="Yes"),0,MAX(0,$F336-$I336)))</x:f>
      </x:c>
    </x:row>
    <x:row r="337">
      <x:c r="A337" s="27" t="str">
        <x:f>IF('Team Setup'!$A$33="","",'Team Setup'!$A$33)</x:f>
      </x:c>
      <x:c r="B337" s="27" t="str">
        <x:f>IF($A337="","",'Team Setup'!$B$33)</x:f>
      </x:c>
      <x:c r="C337" s="27" t="str">
        <x:f>IF($A337="","",'Team Setup'!$C$33)</x:f>
      </x:c>
      <x:c r="D337" s="27" t="str">
        <x:f>IF($A337="","",'Team Setup'!$D$33)</x:f>
      </x:c>
      <x:c r="E337" s="28" t="str">
        <x:f>IF(OR('Team Setup'!$D$4="",NOT(ISNUMBER('Team Setup'!$D$4))),"",'Team Setup'!$D$4+10)</x:f>
      </x:c>
      <x:c r="F337" s="29" t="str">
        <x:f>IF($A337="","",'Team Setup'!$E$33)</x:f>
      </x:c>
      <x:c r="G337" s="29" t="str">
        <x:f>IF($A337="","",IF(OR($E337="",$E337&lt;'Team Setup'!$D$4,$E337&gt;'Team Setup'!$F$4),"No",IF(WEEKDAY($E337,2)&gt;5,"No","Yes")))</x:f>
      </x:c>
      <x:c r="H337" s="29" t="str">
        <x:f>IF($A337="","",IF(OR($G337&lt;&gt;"Yes",$E337=""),"No",IF(COUNTIFS('Time Off'!$A$9:$A$508,$E337,'Time Off'!$C$9:$C$508,$D337,'Time Off'!$D$9:$D$508,$C337)+COUNTIFS('Time Off'!$A$9:$A$508,$E337,'Time Off'!$C$9:$C$508,$D337,'Time Off'!$D$9:$D$508,"All")&gt;0,"Yes","No")))</x:f>
      </x:c>
      <x:c r="I337" s="29" t="str">
        <x:f>IF($A337="","",IF(OR($G337&lt;&gt;"Yes",$H337="Yes"),0,MIN($F337,SUMIFS('Time Off'!$I$9:$I$508,'Time Off'!$G$9:$G$508,$A337,'Time Off'!$H$9:$H$508,$E337))))</x:f>
      </x:c>
      <x:c r="J337" s="29" t="str">
        <x:f>IF($A337="","",IF(OR($G337&lt;&gt;"Yes",$H337="Yes"),0,MAX(0,$F337-$I337)))</x:f>
      </x:c>
    </x:row>
    <x:row r="338">
      <x:c r="A338" s="27" t="str">
        <x:f>IF('Team Setup'!$A$33="","",'Team Setup'!$A$33)</x:f>
      </x:c>
      <x:c r="B338" s="27" t="str">
        <x:f>IF($A338="","",'Team Setup'!$B$33)</x:f>
      </x:c>
      <x:c r="C338" s="27" t="str">
        <x:f>IF($A338="","",'Team Setup'!$C$33)</x:f>
      </x:c>
      <x:c r="D338" s="27" t="str">
        <x:f>IF($A338="","",'Team Setup'!$D$33)</x:f>
      </x:c>
      <x:c r="E338" s="28" t="str">
        <x:f>IF(OR('Team Setup'!$D$4="",NOT(ISNUMBER('Team Setup'!$D$4))),"",'Team Setup'!$D$4+11)</x:f>
      </x:c>
      <x:c r="F338" s="29" t="str">
        <x:f>IF($A338="","",'Team Setup'!$E$33)</x:f>
      </x:c>
      <x:c r="G338" s="29" t="str">
        <x:f>IF($A338="","",IF(OR($E338="",$E338&lt;'Team Setup'!$D$4,$E338&gt;'Team Setup'!$F$4),"No",IF(WEEKDAY($E338,2)&gt;5,"No","Yes")))</x:f>
      </x:c>
      <x:c r="H338" s="29" t="str">
        <x:f>IF($A338="","",IF(OR($G338&lt;&gt;"Yes",$E338=""),"No",IF(COUNTIFS('Time Off'!$A$9:$A$508,$E338,'Time Off'!$C$9:$C$508,$D338,'Time Off'!$D$9:$D$508,$C338)+COUNTIFS('Time Off'!$A$9:$A$508,$E338,'Time Off'!$C$9:$C$508,$D338,'Time Off'!$D$9:$D$508,"All")&gt;0,"Yes","No")))</x:f>
      </x:c>
      <x:c r="I338" s="29" t="str">
        <x:f>IF($A338="","",IF(OR($G338&lt;&gt;"Yes",$H338="Yes"),0,MIN($F338,SUMIFS('Time Off'!$I$9:$I$508,'Time Off'!$G$9:$G$508,$A338,'Time Off'!$H$9:$H$508,$E338))))</x:f>
      </x:c>
      <x:c r="J338" s="29" t="str">
        <x:f>IF($A338="","",IF(OR($G338&lt;&gt;"Yes",$H338="Yes"),0,MAX(0,$F338-$I338)))</x:f>
      </x:c>
    </x:row>
    <x:row r="339">
      <x:c r="A339" s="27" t="str">
        <x:f>IF('Team Setup'!$A$33="","",'Team Setup'!$A$33)</x:f>
      </x:c>
      <x:c r="B339" s="27" t="str">
        <x:f>IF($A339="","",'Team Setup'!$B$33)</x:f>
      </x:c>
      <x:c r="C339" s="27" t="str">
        <x:f>IF($A339="","",'Team Setup'!$C$33)</x:f>
      </x:c>
      <x:c r="D339" s="27" t="str">
        <x:f>IF($A339="","",'Team Setup'!$D$33)</x:f>
      </x:c>
      <x:c r="E339" s="28" t="str">
        <x:f>IF(OR('Team Setup'!$D$4="",NOT(ISNUMBER('Team Setup'!$D$4))),"",'Team Setup'!$D$4+12)</x:f>
      </x:c>
      <x:c r="F339" s="29" t="str">
        <x:f>IF($A339="","",'Team Setup'!$E$33)</x:f>
      </x:c>
      <x:c r="G339" s="29" t="str">
        <x:f>IF($A339="","",IF(OR($E339="",$E339&lt;'Team Setup'!$D$4,$E339&gt;'Team Setup'!$F$4),"No",IF(WEEKDAY($E339,2)&gt;5,"No","Yes")))</x:f>
      </x:c>
      <x:c r="H339" s="29" t="str">
        <x:f>IF($A339="","",IF(OR($G339&lt;&gt;"Yes",$E339=""),"No",IF(COUNTIFS('Time Off'!$A$9:$A$508,$E339,'Time Off'!$C$9:$C$508,$D339,'Time Off'!$D$9:$D$508,$C339)+COUNTIFS('Time Off'!$A$9:$A$508,$E339,'Time Off'!$C$9:$C$508,$D339,'Time Off'!$D$9:$D$508,"All")&gt;0,"Yes","No")))</x:f>
      </x:c>
      <x:c r="I339" s="29" t="str">
        <x:f>IF($A339="","",IF(OR($G339&lt;&gt;"Yes",$H339="Yes"),0,MIN($F339,SUMIFS('Time Off'!$I$9:$I$508,'Time Off'!$G$9:$G$508,$A339,'Time Off'!$H$9:$H$508,$E339))))</x:f>
      </x:c>
      <x:c r="J339" s="29" t="str">
        <x:f>IF($A339="","",IF(OR($G339&lt;&gt;"Yes",$H339="Yes"),0,MAX(0,$F339-$I339)))</x:f>
      </x:c>
    </x:row>
    <x:row r="340">
      <x:c r="A340" s="27" t="str">
        <x:f>IF('Team Setup'!$A$33="","",'Team Setup'!$A$33)</x:f>
      </x:c>
      <x:c r="B340" s="27" t="str">
        <x:f>IF($A340="","",'Team Setup'!$B$33)</x:f>
      </x:c>
      <x:c r="C340" s="27" t="str">
        <x:f>IF($A340="","",'Team Setup'!$C$33)</x:f>
      </x:c>
      <x:c r="D340" s="27" t="str">
        <x:f>IF($A340="","",'Team Setup'!$D$33)</x:f>
      </x:c>
      <x:c r="E340" s="28" t="str">
        <x:f>IF(OR('Team Setup'!$D$4="",NOT(ISNUMBER('Team Setup'!$D$4))),"",'Team Setup'!$D$4+13)</x:f>
      </x:c>
      <x:c r="F340" s="29" t="str">
        <x:f>IF($A340="","",'Team Setup'!$E$33)</x:f>
      </x:c>
      <x:c r="G340" s="29" t="str">
        <x:f>IF($A340="","",IF(OR($E340="",$E340&lt;'Team Setup'!$D$4,$E340&gt;'Team Setup'!$F$4),"No",IF(WEEKDAY($E340,2)&gt;5,"No","Yes")))</x:f>
      </x:c>
      <x:c r="H340" s="29" t="str">
        <x:f>IF($A340="","",IF(OR($G340&lt;&gt;"Yes",$E340=""),"No",IF(COUNTIFS('Time Off'!$A$9:$A$508,$E340,'Time Off'!$C$9:$C$508,$D340,'Time Off'!$D$9:$D$508,$C340)+COUNTIFS('Time Off'!$A$9:$A$508,$E340,'Time Off'!$C$9:$C$508,$D340,'Time Off'!$D$9:$D$508,"All")&gt;0,"Yes","No")))</x:f>
      </x:c>
      <x:c r="I340" s="29" t="str">
        <x:f>IF($A340="","",IF(OR($G340&lt;&gt;"Yes",$H340="Yes"),0,MIN($F340,SUMIFS('Time Off'!$I$9:$I$508,'Time Off'!$G$9:$G$508,$A340,'Time Off'!$H$9:$H$508,$E340))))</x:f>
      </x:c>
      <x:c r="J340" s="29" t="str">
        <x:f>IF($A340="","",IF(OR($G340&lt;&gt;"Yes",$H340="Yes"),0,MAX(0,$F340-$I340)))</x:f>
      </x:c>
    </x:row>
    <x:row r="341">
      <x:c r="A341" s="27" t="str">
        <x:f>IF('Team Setup'!$A$34="","",'Team Setup'!$A$34)</x:f>
      </x:c>
      <x:c r="B341" s="27" t="str">
        <x:f>IF($A341="","",'Team Setup'!$B$34)</x:f>
      </x:c>
      <x:c r="C341" s="27" t="str">
        <x:f>IF($A341="","",'Team Setup'!$C$34)</x:f>
      </x:c>
      <x:c r="D341" s="27" t="str">
        <x:f>IF($A341="","",'Team Setup'!$D$34)</x:f>
      </x:c>
      <x:c r="E341" s="28" t="str">
        <x:f>IF(OR('Team Setup'!$D$4="",NOT(ISNUMBER('Team Setup'!$D$4))),"",'Team Setup'!$D$4+0)</x:f>
      </x:c>
      <x:c r="F341" s="29" t="str">
        <x:f>IF($A341="","",'Team Setup'!$E$34)</x:f>
      </x:c>
      <x:c r="G341" s="29" t="str">
        <x:f>IF($A341="","",IF(OR($E341="",$E341&lt;'Team Setup'!$D$4,$E341&gt;'Team Setup'!$F$4),"No",IF(WEEKDAY($E341,2)&gt;5,"No","Yes")))</x:f>
      </x:c>
      <x:c r="H341" s="29" t="str">
        <x:f>IF($A341="","",IF(OR($G341&lt;&gt;"Yes",$E341=""),"No",IF(COUNTIFS('Time Off'!$A$9:$A$508,$E341,'Time Off'!$C$9:$C$508,$D341,'Time Off'!$D$9:$D$508,$C341)+COUNTIFS('Time Off'!$A$9:$A$508,$E341,'Time Off'!$C$9:$C$508,$D341,'Time Off'!$D$9:$D$508,"All")&gt;0,"Yes","No")))</x:f>
      </x:c>
      <x:c r="I341" s="29" t="str">
        <x:f>IF($A341="","",IF(OR($G341&lt;&gt;"Yes",$H341="Yes"),0,MIN($F341,SUMIFS('Time Off'!$I$9:$I$508,'Time Off'!$G$9:$G$508,$A341,'Time Off'!$H$9:$H$508,$E341))))</x:f>
      </x:c>
      <x:c r="J341" s="29" t="str">
        <x:f>IF($A341="","",IF(OR($G341&lt;&gt;"Yes",$H341="Yes"),0,MAX(0,$F341-$I341)))</x:f>
      </x:c>
    </x:row>
    <x:row r="342">
      <x:c r="A342" s="27" t="str">
        <x:f>IF('Team Setup'!$A$34="","",'Team Setup'!$A$34)</x:f>
      </x:c>
      <x:c r="B342" s="27" t="str">
        <x:f>IF($A342="","",'Team Setup'!$B$34)</x:f>
      </x:c>
      <x:c r="C342" s="27" t="str">
        <x:f>IF($A342="","",'Team Setup'!$C$34)</x:f>
      </x:c>
      <x:c r="D342" s="27" t="str">
        <x:f>IF($A342="","",'Team Setup'!$D$34)</x:f>
      </x:c>
      <x:c r="E342" s="28" t="str">
        <x:f>IF(OR('Team Setup'!$D$4="",NOT(ISNUMBER('Team Setup'!$D$4))),"",'Team Setup'!$D$4+1)</x:f>
      </x:c>
      <x:c r="F342" s="29" t="str">
        <x:f>IF($A342="","",'Team Setup'!$E$34)</x:f>
      </x:c>
      <x:c r="G342" s="29" t="str">
        <x:f>IF($A342="","",IF(OR($E342="",$E342&lt;'Team Setup'!$D$4,$E342&gt;'Team Setup'!$F$4),"No",IF(WEEKDAY($E342,2)&gt;5,"No","Yes")))</x:f>
      </x:c>
      <x:c r="H342" s="29" t="str">
        <x:f>IF($A342="","",IF(OR($G342&lt;&gt;"Yes",$E342=""),"No",IF(COUNTIFS('Time Off'!$A$9:$A$508,$E342,'Time Off'!$C$9:$C$508,$D342,'Time Off'!$D$9:$D$508,$C342)+COUNTIFS('Time Off'!$A$9:$A$508,$E342,'Time Off'!$C$9:$C$508,$D342,'Time Off'!$D$9:$D$508,"All")&gt;0,"Yes","No")))</x:f>
      </x:c>
      <x:c r="I342" s="29" t="str">
        <x:f>IF($A342="","",IF(OR($G342&lt;&gt;"Yes",$H342="Yes"),0,MIN($F342,SUMIFS('Time Off'!$I$9:$I$508,'Time Off'!$G$9:$G$508,$A342,'Time Off'!$H$9:$H$508,$E342))))</x:f>
      </x:c>
      <x:c r="J342" s="29" t="str">
        <x:f>IF($A342="","",IF(OR($G342&lt;&gt;"Yes",$H342="Yes"),0,MAX(0,$F342-$I342)))</x:f>
      </x:c>
    </x:row>
    <x:row r="343">
      <x:c r="A343" s="27" t="str">
        <x:f>IF('Team Setup'!$A$34="","",'Team Setup'!$A$34)</x:f>
      </x:c>
      <x:c r="B343" s="27" t="str">
        <x:f>IF($A343="","",'Team Setup'!$B$34)</x:f>
      </x:c>
      <x:c r="C343" s="27" t="str">
        <x:f>IF($A343="","",'Team Setup'!$C$34)</x:f>
      </x:c>
      <x:c r="D343" s="27" t="str">
        <x:f>IF($A343="","",'Team Setup'!$D$34)</x:f>
      </x:c>
      <x:c r="E343" s="28" t="str">
        <x:f>IF(OR('Team Setup'!$D$4="",NOT(ISNUMBER('Team Setup'!$D$4))),"",'Team Setup'!$D$4+2)</x:f>
      </x:c>
      <x:c r="F343" s="29" t="str">
        <x:f>IF($A343="","",'Team Setup'!$E$34)</x:f>
      </x:c>
      <x:c r="G343" s="29" t="str">
        <x:f>IF($A343="","",IF(OR($E343="",$E343&lt;'Team Setup'!$D$4,$E343&gt;'Team Setup'!$F$4),"No",IF(WEEKDAY($E343,2)&gt;5,"No","Yes")))</x:f>
      </x:c>
      <x:c r="H343" s="29" t="str">
        <x:f>IF($A343="","",IF(OR($G343&lt;&gt;"Yes",$E343=""),"No",IF(COUNTIFS('Time Off'!$A$9:$A$508,$E343,'Time Off'!$C$9:$C$508,$D343,'Time Off'!$D$9:$D$508,$C343)+COUNTIFS('Time Off'!$A$9:$A$508,$E343,'Time Off'!$C$9:$C$508,$D343,'Time Off'!$D$9:$D$508,"All")&gt;0,"Yes","No")))</x:f>
      </x:c>
      <x:c r="I343" s="29" t="str">
        <x:f>IF($A343="","",IF(OR($G343&lt;&gt;"Yes",$H343="Yes"),0,MIN($F343,SUMIFS('Time Off'!$I$9:$I$508,'Time Off'!$G$9:$G$508,$A343,'Time Off'!$H$9:$H$508,$E343))))</x:f>
      </x:c>
      <x:c r="J343" s="29" t="str">
        <x:f>IF($A343="","",IF(OR($G343&lt;&gt;"Yes",$H343="Yes"),0,MAX(0,$F343-$I343)))</x:f>
      </x:c>
    </x:row>
    <x:row r="344">
      <x:c r="A344" s="27" t="str">
        <x:f>IF('Team Setup'!$A$34="","",'Team Setup'!$A$34)</x:f>
      </x:c>
      <x:c r="B344" s="27" t="str">
        <x:f>IF($A344="","",'Team Setup'!$B$34)</x:f>
      </x:c>
      <x:c r="C344" s="27" t="str">
        <x:f>IF($A344="","",'Team Setup'!$C$34)</x:f>
      </x:c>
      <x:c r="D344" s="27" t="str">
        <x:f>IF($A344="","",'Team Setup'!$D$34)</x:f>
      </x:c>
      <x:c r="E344" s="28" t="str">
        <x:f>IF(OR('Team Setup'!$D$4="",NOT(ISNUMBER('Team Setup'!$D$4))),"",'Team Setup'!$D$4+3)</x:f>
      </x:c>
      <x:c r="F344" s="29" t="str">
        <x:f>IF($A344="","",'Team Setup'!$E$34)</x:f>
      </x:c>
      <x:c r="G344" s="29" t="str">
        <x:f>IF($A344="","",IF(OR($E344="",$E344&lt;'Team Setup'!$D$4,$E344&gt;'Team Setup'!$F$4),"No",IF(WEEKDAY($E344,2)&gt;5,"No","Yes")))</x:f>
      </x:c>
      <x:c r="H344" s="29" t="str">
        <x:f>IF($A344="","",IF(OR($G344&lt;&gt;"Yes",$E344=""),"No",IF(COUNTIFS('Time Off'!$A$9:$A$508,$E344,'Time Off'!$C$9:$C$508,$D344,'Time Off'!$D$9:$D$508,$C344)+COUNTIFS('Time Off'!$A$9:$A$508,$E344,'Time Off'!$C$9:$C$508,$D344,'Time Off'!$D$9:$D$508,"All")&gt;0,"Yes","No")))</x:f>
      </x:c>
      <x:c r="I344" s="29" t="str">
        <x:f>IF($A344="","",IF(OR($G344&lt;&gt;"Yes",$H344="Yes"),0,MIN($F344,SUMIFS('Time Off'!$I$9:$I$508,'Time Off'!$G$9:$G$508,$A344,'Time Off'!$H$9:$H$508,$E344))))</x:f>
      </x:c>
      <x:c r="J344" s="29" t="str">
        <x:f>IF($A344="","",IF(OR($G344&lt;&gt;"Yes",$H344="Yes"),0,MAX(0,$F344-$I344)))</x:f>
      </x:c>
    </x:row>
    <x:row r="345">
      <x:c r="A345" s="27" t="str">
        <x:f>IF('Team Setup'!$A$34="","",'Team Setup'!$A$34)</x:f>
      </x:c>
      <x:c r="B345" s="27" t="str">
        <x:f>IF($A345="","",'Team Setup'!$B$34)</x:f>
      </x:c>
      <x:c r="C345" s="27" t="str">
        <x:f>IF($A345="","",'Team Setup'!$C$34)</x:f>
      </x:c>
      <x:c r="D345" s="27" t="str">
        <x:f>IF($A345="","",'Team Setup'!$D$34)</x:f>
      </x:c>
      <x:c r="E345" s="28" t="str">
        <x:f>IF(OR('Team Setup'!$D$4="",NOT(ISNUMBER('Team Setup'!$D$4))),"",'Team Setup'!$D$4+4)</x:f>
      </x:c>
      <x:c r="F345" s="29" t="str">
        <x:f>IF($A345="","",'Team Setup'!$E$34)</x:f>
      </x:c>
      <x:c r="G345" s="29" t="str">
        <x:f>IF($A345="","",IF(OR($E345="",$E345&lt;'Team Setup'!$D$4,$E345&gt;'Team Setup'!$F$4),"No",IF(WEEKDAY($E345,2)&gt;5,"No","Yes")))</x:f>
      </x:c>
      <x:c r="H345" s="29" t="str">
        <x:f>IF($A345="","",IF(OR($G345&lt;&gt;"Yes",$E345=""),"No",IF(COUNTIFS('Time Off'!$A$9:$A$508,$E345,'Time Off'!$C$9:$C$508,$D345,'Time Off'!$D$9:$D$508,$C345)+COUNTIFS('Time Off'!$A$9:$A$508,$E345,'Time Off'!$C$9:$C$508,$D345,'Time Off'!$D$9:$D$508,"All")&gt;0,"Yes","No")))</x:f>
      </x:c>
      <x:c r="I345" s="29" t="str">
        <x:f>IF($A345="","",IF(OR($G345&lt;&gt;"Yes",$H345="Yes"),0,MIN($F345,SUMIFS('Time Off'!$I$9:$I$508,'Time Off'!$G$9:$G$508,$A345,'Time Off'!$H$9:$H$508,$E345))))</x:f>
      </x:c>
      <x:c r="J345" s="29" t="str">
        <x:f>IF($A345="","",IF(OR($G345&lt;&gt;"Yes",$H345="Yes"),0,MAX(0,$F345-$I345)))</x:f>
      </x:c>
    </x:row>
    <x:row r="346">
      <x:c r="A346" s="27" t="str">
        <x:f>IF('Team Setup'!$A$34="","",'Team Setup'!$A$34)</x:f>
      </x:c>
      <x:c r="B346" s="27" t="str">
        <x:f>IF($A346="","",'Team Setup'!$B$34)</x:f>
      </x:c>
      <x:c r="C346" s="27" t="str">
        <x:f>IF($A346="","",'Team Setup'!$C$34)</x:f>
      </x:c>
      <x:c r="D346" s="27" t="str">
        <x:f>IF($A346="","",'Team Setup'!$D$34)</x:f>
      </x:c>
      <x:c r="E346" s="28" t="str">
        <x:f>IF(OR('Team Setup'!$D$4="",NOT(ISNUMBER('Team Setup'!$D$4))),"",'Team Setup'!$D$4+5)</x:f>
      </x:c>
      <x:c r="F346" s="29" t="str">
        <x:f>IF($A346="","",'Team Setup'!$E$34)</x:f>
      </x:c>
      <x:c r="G346" s="29" t="str">
        <x:f>IF($A346="","",IF(OR($E346="",$E346&lt;'Team Setup'!$D$4,$E346&gt;'Team Setup'!$F$4),"No",IF(WEEKDAY($E346,2)&gt;5,"No","Yes")))</x:f>
      </x:c>
      <x:c r="H346" s="29" t="str">
        <x:f>IF($A346="","",IF(OR($G346&lt;&gt;"Yes",$E346=""),"No",IF(COUNTIFS('Time Off'!$A$9:$A$508,$E346,'Time Off'!$C$9:$C$508,$D346,'Time Off'!$D$9:$D$508,$C346)+COUNTIFS('Time Off'!$A$9:$A$508,$E346,'Time Off'!$C$9:$C$508,$D346,'Time Off'!$D$9:$D$508,"All")&gt;0,"Yes","No")))</x:f>
      </x:c>
      <x:c r="I346" s="29" t="str">
        <x:f>IF($A346="","",IF(OR($G346&lt;&gt;"Yes",$H346="Yes"),0,MIN($F346,SUMIFS('Time Off'!$I$9:$I$508,'Time Off'!$G$9:$G$508,$A346,'Time Off'!$H$9:$H$508,$E346))))</x:f>
      </x:c>
      <x:c r="J346" s="29" t="str">
        <x:f>IF($A346="","",IF(OR($G346&lt;&gt;"Yes",$H346="Yes"),0,MAX(0,$F346-$I346)))</x:f>
      </x:c>
    </x:row>
    <x:row r="347">
      <x:c r="A347" s="27" t="str">
        <x:f>IF('Team Setup'!$A$34="","",'Team Setup'!$A$34)</x:f>
      </x:c>
      <x:c r="B347" s="27" t="str">
        <x:f>IF($A347="","",'Team Setup'!$B$34)</x:f>
      </x:c>
      <x:c r="C347" s="27" t="str">
        <x:f>IF($A347="","",'Team Setup'!$C$34)</x:f>
      </x:c>
      <x:c r="D347" s="27" t="str">
        <x:f>IF($A347="","",'Team Setup'!$D$34)</x:f>
      </x:c>
      <x:c r="E347" s="28" t="str">
        <x:f>IF(OR('Team Setup'!$D$4="",NOT(ISNUMBER('Team Setup'!$D$4))),"",'Team Setup'!$D$4+6)</x:f>
      </x:c>
      <x:c r="F347" s="29" t="str">
        <x:f>IF($A347="","",'Team Setup'!$E$34)</x:f>
      </x:c>
      <x:c r="G347" s="29" t="str">
        <x:f>IF($A347="","",IF(OR($E347="",$E347&lt;'Team Setup'!$D$4,$E347&gt;'Team Setup'!$F$4),"No",IF(WEEKDAY($E347,2)&gt;5,"No","Yes")))</x:f>
      </x:c>
      <x:c r="H347" s="29" t="str">
        <x:f>IF($A347="","",IF(OR($G347&lt;&gt;"Yes",$E347=""),"No",IF(COUNTIFS('Time Off'!$A$9:$A$508,$E347,'Time Off'!$C$9:$C$508,$D347,'Time Off'!$D$9:$D$508,$C347)+COUNTIFS('Time Off'!$A$9:$A$508,$E347,'Time Off'!$C$9:$C$508,$D347,'Time Off'!$D$9:$D$508,"All")&gt;0,"Yes","No")))</x:f>
      </x:c>
      <x:c r="I347" s="29" t="str">
        <x:f>IF($A347="","",IF(OR($G347&lt;&gt;"Yes",$H347="Yes"),0,MIN($F347,SUMIFS('Time Off'!$I$9:$I$508,'Time Off'!$G$9:$G$508,$A347,'Time Off'!$H$9:$H$508,$E347))))</x:f>
      </x:c>
      <x:c r="J347" s="29" t="str">
        <x:f>IF($A347="","",IF(OR($G347&lt;&gt;"Yes",$H347="Yes"),0,MAX(0,$F347-$I347)))</x:f>
      </x:c>
    </x:row>
    <x:row r="348">
      <x:c r="A348" s="27" t="str">
        <x:f>IF('Team Setup'!$A$34="","",'Team Setup'!$A$34)</x:f>
      </x:c>
      <x:c r="B348" s="27" t="str">
        <x:f>IF($A348="","",'Team Setup'!$B$34)</x:f>
      </x:c>
      <x:c r="C348" s="27" t="str">
        <x:f>IF($A348="","",'Team Setup'!$C$34)</x:f>
      </x:c>
      <x:c r="D348" s="27" t="str">
        <x:f>IF($A348="","",'Team Setup'!$D$34)</x:f>
      </x:c>
      <x:c r="E348" s="28" t="str">
        <x:f>IF(OR('Team Setup'!$D$4="",NOT(ISNUMBER('Team Setup'!$D$4))),"",'Team Setup'!$D$4+7)</x:f>
      </x:c>
      <x:c r="F348" s="29" t="str">
        <x:f>IF($A348="","",'Team Setup'!$E$34)</x:f>
      </x:c>
      <x:c r="G348" s="29" t="str">
        <x:f>IF($A348="","",IF(OR($E348="",$E348&lt;'Team Setup'!$D$4,$E348&gt;'Team Setup'!$F$4),"No",IF(WEEKDAY($E348,2)&gt;5,"No","Yes")))</x:f>
      </x:c>
      <x:c r="H348" s="29" t="str">
        <x:f>IF($A348="","",IF(OR($G348&lt;&gt;"Yes",$E348=""),"No",IF(COUNTIFS('Time Off'!$A$9:$A$508,$E348,'Time Off'!$C$9:$C$508,$D348,'Time Off'!$D$9:$D$508,$C348)+COUNTIFS('Time Off'!$A$9:$A$508,$E348,'Time Off'!$C$9:$C$508,$D348,'Time Off'!$D$9:$D$508,"All")&gt;0,"Yes","No")))</x:f>
      </x:c>
      <x:c r="I348" s="29" t="str">
        <x:f>IF($A348="","",IF(OR($G348&lt;&gt;"Yes",$H348="Yes"),0,MIN($F348,SUMIFS('Time Off'!$I$9:$I$508,'Time Off'!$G$9:$G$508,$A348,'Time Off'!$H$9:$H$508,$E348))))</x:f>
      </x:c>
      <x:c r="J348" s="29" t="str">
        <x:f>IF($A348="","",IF(OR($G348&lt;&gt;"Yes",$H348="Yes"),0,MAX(0,$F348-$I348)))</x:f>
      </x:c>
    </x:row>
    <x:row r="349">
      <x:c r="A349" s="27" t="str">
        <x:f>IF('Team Setup'!$A$34="","",'Team Setup'!$A$34)</x:f>
      </x:c>
      <x:c r="B349" s="27" t="str">
        <x:f>IF($A349="","",'Team Setup'!$B$34)</x:f>
      </x:c>
      <x:c r="C349" s="27" t="str">
        <x:f>IF($A349="","",'Team Setup'!$C$34)</x:f>
      </x:c>
      <x:c r="D349" s="27" t="str">
        <x:f>IF($A349="","",'Team Setup'!$D$34)</x:f>
      </x:c>
      <x:c r="E349" s="28" t="str">
        <x:f>IF(OR('Team Setup'!$D$4="",NOT(ISNUMBER('Team Setup'!$D$4))),"",'Team Setup'!$D$4+8)</x:f>
      </x:c>
      <x:c r="F349" s="29" t="str">
        <x:f>IF($A349="","",'Team Setup'!$E$34)</x:f>
      </x:c>
      <x:c r="G349" s="29" t="str">
        <x:f>IF($A349="","",IF(OR($E349="",$E349&lt;'Team Setup'!$D$4,$E349&gt;'Team Setup'!$F$4),"No",IF(WEEKDAY($E349,2)&gt;5,"No","Yes")))</x:f>
      </x:c>
      <x:c r="H349" s="29" t="str">
        <x:f>IF($A349="","",IF(OR($G349&lt;&gt;"Yes",$E349=""),"No",IF(COUNTIFS('Time Off'!$A$9:$A$508,$E349,'Time Off'!$C$9:$C$508,$D349,'Time Off'!$D$9:$D$508,$C349)+COUNTIFS('Time Off'!$A$9:$A$508,$E349,'Time Off'!$C$9:$C$508,$D349,'Time Off'!$D$9:$D$508,"All")&gt;0,"Yes","No")))</x:f>
      </x:c>
      <x:c r="I349" s="29" t="str">
        <x:f>IF($A349="","",IF(OR($G349&lt;&gt;"Yes",$H349="Yes"),0,MIN($F349,SUMIFS('Time Off'!$I$9:$I$508,'Time Off'!$G$9:$G$508,$A349,'Time Off'!$H$9:$H$508,$E349))))</x:f>
      </x:c>
      <x:c r="J349" s="29" t="str">
        <x:f>IF($A349="","",IF(OR($G349&lt;&gt;"Yes",$H349="Yes"),0,MAX(0,$F349-$I349)))</x:f>
      </x:c>
    </x:row>
    <x:row r="350">
      <x:c r="A350" s="27" t="str">
        <x:f>IF('Team Setup'!$A$34="","",'Team Setup'!$A$34)</x:f>
      </x:c>
      <x:c r="B350" s="27" t="str">
        <x:f>IF($A350="","",'Team Setup'!$B$34)</x:f>
      </x:c>
      <x:c r="C350" s="27" t="str">
        <x:f>IF($A350="","",'Team Setup'!$C$34)</x:f>
      </x:c>
      <x:c r="D350" s="27" t="str">
        <x:f>IF($A350="","",'Team Setup'!$D$34)</x:f>
      </x:c>
      <x:c r="E350" s="28" t="str">
        <x:f>IF(OR('Team Setup'!$D$4="",NOT(ISNUMBER('Team Setup'!$D$4))),"",'Team Setup'!$D$4+9)</x:f>
      </x:c>
      <x:c r="F350" s="29" t="str">
        <x:f>IF($A350="","",'Team Setup'!$E$34)</x:f>
      </x:c>
      <x:c r="G350" s="29" t="str">
        <x:f>IF($A350="","",IF(OR($E350="",$E350&lt;'Team Setup'!$D$4,$E350&gt;'Team Setup'!$F$4),"No",IF(WEEKDAY($E350,2)&gt;5,"No","Yes")))</x:f>
      </x:c>
      <x:c r="H350" s="29" t="str">
        <x:f>IF($A350="","",IF(OR($G350&lt;&gt;"Yes",$E350=""),"No",IF(COUNTIFS('Time Off'!$A$9:$A$508,$E350,'Time Off'!$C$9:$C$508,$D350,'Time Off'!$D$9:$D$508,$C350)+COUNTIFS('Time Off'!$A$9:$A$508,$E350,'Time Off'!$C$9:$C$508,$D350,'Time Off'!$D$9:$D$508,"All")&gt;0,"Yes","No")))</x:f>
      </x:c>
      <x:c r="I350" s="29" t="str">
        <x:f>IF($A350="","",IF(OR($G350&lt;&gt;"Yes",$H350="Yes"),0,MIN($F350,SUMIFS('Time Off'!$I$9:$I$508,'Time Off'!$G$9:$G$508,$A350,'Time Off'!$H$9:$H$508,$E350))))</x:f>
      </x:c>
      <x:c r="J350" s="29" t="str">
        <x:f>IF($A350="","",IF(OR($G350&lt;&gt;"Yes",$H350="Yes"),0,MAX(0,$F350-$I350)))</x:f>
      </x:c>
    </x:row>
    <x:row r="351">
      <x:c r="A351" s="27" t="str">
        <x:f>IF('Team Setup'!$A$34="","",'Team Setup'!$A$34)</x:f>
      </x:c>
      <x:c r="B351" s="27" t="str">
        <x:f>IF($A351="","",'Team Setup'!$B$34)</x:f>
      </x:c>
      <x:c r="C351" s="27" t="str">
        <x:f>IF($A351="","",'Team Setup'!$C$34)</x:f>
      </x:c>
      <x:c r="D351" s="27" t="str">
        <x:f>IF($A351="","",'Team Setup'!$D$34)</x:f>
      </x:c>
      <x:c r="E351" s="28" t="str">
        <x:f>IF(OR('Team Setup'!$D$4="",NOT(ISNUMBER('Team Setup'!$D$4))),"",'Team Setup'!$D$4+10)</x:f>
      </x:c>
      <x:c r="F351" s="29" t="str">
        <x:f>IF($A351="","",'Team Setup'!$E$34)</x:f>
      </x:c>
      <x:c r="G351" s="29" t="str">
        <x:f>IF($A351="","",IF(OR($E351="",$E351&lt;'Team Setup'!$D$4,$E351&gt;'Team Setup'!$F$4),"No",IF(WEEKDAY($E351,2)&gt;5,"No","Yes")))</x:f>
      </x:c>
      <x:c r="H351" s="29" t="str">
        <x:f>IF($A351="","",IF(OR($G351&lt;&gt;"Yes",$E351=""),"No",IF(COUNTIFS('Time Off'!$A$9:$A$508,$E351,'Time Off'!$C$9:$C$508,$D351,'Time Off'!$D$9:$D$508,$C351)+COUNTIFS('Time Off'!$A$9:$A$508,$E351,'Time Off'!$C$9:$C$508,$D351,'Time Off'!$D$9:$D$508,"All")&gt;0,"Yes","No")))</x:f>
      </x:c>
      <x:c r="I351" s="29" t="str">
        <x:f>IF($A351="","",IF(OR($G351&lt;&gt;"Yes",$H351="Yes"),0,MIN($F351,SUMIFS('Time Off'!$I$9:$I$508,'Time Off'!$G$9:$G$508,$A351,'Time Off'!$H$9:$H$508,$E351))))</x:f>
      </x:c>
      <x:c r="J351" s="29" t="str">
        <x:f>IF($A351="","",IF(OR($G351&lt;&gt;"Yes",$H351="Yes"),0,MAX(0,$F351-$I351)))</x:f>
      </x:c>
    </x:row>
    <x:row r="352">
      <x:c r="A352" s="27" t="str">
        <x:f>IF('Team Setup'!$A$34="","",'Team Setup'!$A$34)</x:f>
      </x:c>
      <x:c r="B352" s="27" t="str">
        <x:f>IF($A352="","",'Team Setup'!$B$34)</x:f>
      </x:c>
      <x:c r="C352" s="27" t="str">
        <x:f>IF($A352="","",'Team Setup'!$C$34)</x:f>
      </x:c>
      <x:c r="D352" s="27" t="str">
        <x:f>IF($A352="","",'Team Setup'!$D$34)</x:f>
      </x:c>
      <x:c r="E352" s="28" t="str">
        <x:f>IF(OR('Team Setup'!$D$4="",NOT(ISNUMBER('Team Setup'!$D$4))),"",'Team Setup'!$D$4+11)</x:f>
      </x:c>
      <x:c r="F352" s="29" t="str">
        <x:f>IF($A352="","",'Team Setup'!$E$34)</x:f>
      </x:c>
      <x:c r="G352" s="29" t="str">
        <x:f>IF($A352="","",IF(OR($E352="",$E352&lt;'Team Setup'!$D$4,$E352&gt;'Team Setup'!$F$4),"No",IF(WEEKDAY($E352,2)&gt;5,"No","Yes")))</x:f>
      </x:c>
      <x:c r="H352" s="29" t="str">
        <x:f>IF($A352="","",IF(OR($G352&lt;&gt;"Yes",$E352=""),"No",IF(COUNTIFS('Time Off'!$A$9:$A$508,$E352,'Time Off'!$C$9:$C$508,$D352,'Time Off'!$D$9:$D$508,$C352)+COUNTIFS('Time Off'!$A$9:$A$508,$E352,'Time Off'!$C$9:$C$508,$D352,'Time Off'!$D$9:$D$508,"All")&gt;0,"Yes","No")))</x:f>
      </x:c>
      <x:c r="I352" s="29" t="str">
        <x:f>IF($A352="","",IF(OR($G352&lt;&gt;"Yes",$H352="Yes"),0,MIN($F352,SUMIFS('Time Off'!$I$9:$I$508,'Time Off'!$G$9:$G$508,$A352,'Time Off'!$H$9:$H$508,$E352))))</x:f>
      </x:c>
      <x:c r="J352" s="29" t="str">
        <x:f>IF($A352="","",IF(OR($G352&lt;&gt;"Yes",$H352="Yes"),0,MAX(0,$F352-$I352)))</x:f>
      </x:c>
    </x:row>
    <x:row r="353">
      <x:c r="A353" s="27" t="str">
        <x:f>IF('Team Setup'!$A$34="","",'Team Setup'!$A$34)</x:f>
      </x:c>
      <x:c r="B353" s="27" t="str">
        <x:f>IF($A353="","",'Team Setup'!$B$34)</x:f>
      </x:c>
      <x:c r="C353" s="27" t="str">
        <x:f>IF($A353="","",'Team Setup'!$C$34)</x:f>
      </x:c>
      <x:c r="D353" s="27" t="str">
        <x:f>IF($A353="","",'Team Setup'!$D$34)</x:f>
      </x:c>
      <x:c r="E353" s="28" t="str">
        <x:f>IF(OR('Team Setup'!$D$4="",NOT(ISNUMBER('Team Setup'!$D$4))),"",'Team Setup'!$D$4+12)</x:f>
      </x:c>
      <x:c r="F353" s="29" t="str">
        <x:f>IF($A353="","",'Team Setup'!$E$34)</x:f>
      </x:c>
      <x:c r="G353" s="29" t="str">
        <x:f>IF($A353="","",IF(OR($E353="",$E353&lt;'Team Setup'!$D$4,$E353&gt;'Team Setup'!$F$4),"No",IF(WEEKDAY($E353,2)&gt;5,"No","Yes")))</x:f>
      </x:c>
      <x:c r="H353" s="29" t="str">
        <x:f>IF($A353="","",IF(OR($G353&lt;&gt;"Yes",$E353=""),"No",IF(COUNTIFS('Time Off'!$A$9:$A$508,$E353,'Time Off'!$C$9:$C$508,$D353,'Time Off'!$D$9:$D$508,$C353)+COUNTIFS('Time Off'!$A$9:$A$508,$E353,'Time Off'!$C$9:$C$508,$D353,'Time Off'!$D$9:$D$508,"All")&gt;0,"Yes","No")))</x:f>
      </x:c>
      <x:c r="I353" s="29" t="str">
        <x:f>IF($A353="","",IF(OR($G353&lt;&gt;"Yes",$H353="Yes"),0,MIN($F353,SUMIFS('Time Off'!$I$9:$I$508,'Time Off'!$G$9:$G$508,$A353,'Time Off'!$H$9:$H$508,$E353))))</x:f>
      </x:c>
      <x:c r="J353" s="29" t="str">
        <x:f>IF($A353="","",IF(OR($G353&lt;&gt;"Yes",$H353="Yes"),0,MAX(0,$F353-$I353)))</x:f>
      </x:c>
    </x:row>
    <x:row r="354">
      <x:c r="A354" s="30" t="str">
        <x:f>IF('Team Setup'!$A$34="","",'Team Setup'!$A$34)</x:f>
      </x:c>
      <x:c r="B354" s="30" t="str">
        <x:f>IF($A354="","",'Team Setup'!$B$34)</x:f>
      </x:c>
      <x:c r="C354" s="30" t="str">
        <x:f>IF($A354="","",'Team Setup'!$C$34)</x:f>
      </x:c>
      <x:c r="D354" s="30" t="str">
        <x:f>IF($A354="","",'Team Setup'!$D$34)</x:f>
      </x:c>
      <x:c r="E354" s="31" t="str">
        <x:f>IF(OR('Team Setup'!$D$4="",NOT(ISNUMBER('Team Setup'!$D$4))),"",'Team Setup'!$D$4+13)</x:f>
      </x:c>
      <x:c r="F354" s="32" t="str">
        <x:f>IF($A354="","",'Team Setup'!$E$34)</x:f>
      </x:c>
      <x:c r="G354" s="32" t="str">
        <x:f>IF($A354="","",IF(OR($E354="",$E354&lt;'Team Setup'!$D$4,$E354&gt;'Team Setup'!$F$4),"No",IF(WEEKDAY($E354,2)&gt;5,"No","Yes")))</x:f>
      </x:c>
      <x:c r="H354" s="32" t="str">
        <x:f>IF($A354="","",IF(OR($G354&lt;&gt;"Yes",$E354=""),"No",IF(COUNTIFS('Time Off'!$A$9:$A$508,$E354,'Time Off'!$C$9:$C$508,$D354,'Time Off'!$D$9:$D$508,$C354)+COUNTIFS('Time Off'!$A$9:$A$508,$E354,'Time Off'!$C$9:$C$508,$D354,'Time Off'!$D$9:$D$508,"All")&gt;0,"Yes","No")))</x:f>
      </x:c>
      <x:c r="I354" s="32" t="str">
        <x:f>IF($A354="","",IF(OR($G354&lt;&gt;"Yes",$H354="Yes"),0,MIN($F354,SUMIFS('Time Off'!$I$9:$I$508,'Time Off'!$G$9:$G$508,$A354,'Time Off'!$H$9:$H$508,$E354))))</x:f>
      </x:c>
      <x:c r="J354" s="32" t="str">
        <x:f>IF($A354="","",IF(OR($G354&lt;&gt;"Yes",$H354="Yes"),0,MAX(0,$F354-$I354)))</x:f>
      </x:c>
    </x:row>
  </x:sheetData>
  <x:mergeCells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F9000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8" hidden="0" customWidth="1"/>
    <x:col min="2" max="2" width="21" hidden="0" customWidth="1"/>
    <x:col min="3" max="3" width="17" hidden="0" customWidth="1"/>
    <x:col min="4" max="4" width="19" hidden="0" customWidth="1"/>
    <x:col min="5" max="5" width="15" hidden="0" customWidth="1"/>
    <x:col min="6" max="6" width="29" hidden="0" customWidth="1"/>
    <x:col min="7" max="7" width="3" hidden="0" customWidth="1"/>
    <x:col min="8" max="8" width="23" hidden="0" customWidth="1"/>
    <x:col min="9" max="9" width="18" hidden="0" customWidth="1"/>
    <x:col min="10" max="10" width="27" hidden="0" customWidth="1"/>
  </x:cols>
  <x:sheetData>
    <x:row r="1" ht="27" customHeight="1">
      <x:c r="A1" s="3" t="str">
        <x:v>Team Setup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5" t="str">
        <x:v>Enter the Sprint, one row per person, each office location, and each group/location calendar. Match group and location names exactly.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6" t="str">
        <x:v>Sprint name</x:v>
      </x:c>
      <x:c r="B4" s="7"/>
      <x:c r="C4" s="6" t="str">
        <x:v>Start date</x:v>
      </x:c>
      <x:c r="D4" s="8"/>
      <x:c r="E4" s="6" t="str">
        <x:v>End date</x:v>
      </x:c>
      <x:c r="F4" s="8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>
      <x:c r="A7" s="11" t="str">
        <x:v>Team members</x:v>
      </x:c>
      <x:c r="B7" s="11"/>
      <x:c r="C7" s="11"/>
      <x:c r="D7" s="11"/>
      <x:c r="E7" s="11"/>
      <x:c r="F7" s="11"/>
      <x:c r="G7" s="2"/>
      <x:c r="H7" s="11" t="str">
        <x:v>Office locations</x:v>
      </x:c>
      <x:c r="I7" s="11"/>
      <x:c r="J7" s="11"/>
    </x:row>
    <x:row r="8" ht="32" customHeight="1">
      <x:c r="A8" s="2"/>
      <x:c r="B8" s="2"/>
      <x:c r="C8" s="2"/>
      <x:c r="D8" s="2"/>
      <x:c r="E8" s="2"/>
      <x:c r="F8" s="2"/>
      <x:c r="G8" s="2"/>
      <x:c r="H8" s="5" t="str">
        <x:v>Country code is a reference. Enter public holiday dates on Time Off, then mark the calendar checked.</x:v>
      </x:c>
      <x:c r="I8" s="2"/>
      <x:c r="J8" s="2"/>
    </x:row>
    <x:row r="9" ht="30" customHeight="1">
      <x:c r="A9" s="19" t="str">
        <x:v>Member</x:v>
      </x:c>
      <x:c r="B9" s="19" t="str">
        <x:v>Jira assignee</x:v>
      </x:c>
      <x:c r="C9" s="19" t="str">
        <x:v>Group</x:v>
      </x:c>
      <x:c r="D9" s="19" t="str">
        <x:v>Office location</x:v>
      </x:c>
      <x:c r="E9" s="19" t="str">
        <x:v>Hours per day</x:v>
      </x:c>
      <x:c r="F9" s="19" t="str">
        <x:v>Setup status</x:v>
      </x:c>
      <x:c r="G9" s="2"/>
      <x:c r="H9" s="19" t="str">
        <x:v>Office location</x:v>
      </x:c>
      <x:c r="I9" s="19" t="str">
        <x:v>Country code</x:v>
      </x:c>
      <x:c r="J9" s="19" t="str">
        <x:v>Public holidays checked?</x:v>
      </x:c>
    </x:row>
    <x:row r="10">
      <x:c r="A10" s="12"/>
      <x:c r="B10" s="12"/>
      <x:c r="C10" s="12"/>
      <x:c r="D10" s="12"/>
      <x:c r="E10" s="14"/>
      <x:c r="F10" s="13" t="str">
        <x:f>IF($A10="","",IF(COUNTIF($A$10:$A$34,$A10)&gt;1,"Duplicate member",IF(OR($B10="",$C10="",$D10="",NOT(ISNUMBER($E10)),$E10&lt;=0,$E10&gt;24),"Complete member fields",IF(COUNTIF($B$10:$B$34,$B10)&gt;1,"Duplicate Jira assignee",IF(COUNTIF($H$10:$H$59,$D10)&lt;&gt;1,"Add one office location",IF(COUNTIFS($H$10:$H$59,$D10,$I$10:$I$59,"&lt;&gt;")&lt;&gt;1,"Add country code",IF(COUNTIFS($H$10:$H$59,$D10,$J$10:$J$59,"Yes")&lt;&gt;1,"Confirm office holidays",IF(COUNTIFS($H$64:$H$163,$C10,$I$64:$I$163,$D10)&lt;&gt;1,"Add one group calendar",IF(COUNTIFS($H$64:$H$163,$C10,$I$64:$I$163,$D10,$J$64:$J$163,"Yes")&lt;&gt;1,"Confirm group holidays","Ready")))))))))</x:f>
      </x:c>
      <x:c r="G10" s="2"/>
      <x:c r="H10" s="12"/>
      <x:c r="I10" s="12"/>
      <x:c r="J10" s="12"/>
    </x:row>
    <x:row r="11">
      <x:c r="A11" s="12"/>
      <x:c r="B11" s="12"/>
      <x:c r="C11" s="12"/>
      <x:c r="D11" s="12"/>
      <x:c r="E11" s="14"/>
      <x:c r="F11" s="13" t="str">
        <x:f>IF($A11="","",IF(COUNTIF($A$10:$A$34,$A11)&gt;1,"Duplicate member",IF(OR($B11="",$C11="",$D11="",NOT(ISNUMBER($E11)),$E11&lt;=0,$E11&gt;24),"Complete member fields",IF(COUNTIF($B$10:$B$34,$B11)&gt;1,"Duplicate Jira assignee",IF(COUNTIF($H$10:$H$59,$D11)&lt;&gt;1,"Add one office location",IF(COUNTIFS($H$10:$H$59,$D11,$I$10:$I$59,"&lt;&gt;")&lt;&gt;1,"Add country code",IF(COUNTIFS($H$10:$H$59,$D11,$J$10:$J$59,"Yes")&lt;&gt;1,"Confirm office holidays",IF(COUNTIFS($H$64:$H$163,$C11,$I$64:$I$163,$D11)&lt;&gt;1,"Add one group calendar",IF(COUNTIFS($H$64:$H$163,$C11,$I$64:$I$163,$D11,$J$64:$J$163,"Yes")&lt;&gt;1,"Confirm group holidays","Ready")))))))))</x:f>
      </x:c>
      <x:c r="G11" s="2"/>
      <x:c r="H11" s="12"/>
      <x:c r="I11" s="12"/>
      <x:c r="J11" s="12"/>
    </x:row>
    <x:row r="12">
      <x:c r="A12" s="12"/>
      <x:c r="B12" s="12"/>
      <x:c r="C12" s="12"/>
      <x:c r="D12" s="12"/>
      <x:c r="E12" s="14"/>
      <x:c r="F12" s="13" t="str">
        <x:f>IF($A12="","",IF(COUNTIF($A$10:$A$34,$A12)&gt;1,"Duplicate member",IF(OR($B12="",$C12="",$D12="",NOT(ISNUMBER($E12)),$E12&lt;=0,$E12&gt;24),"Complete member fields",IF(COUNTIF($B$10:$B$34,$B12)&gt;1,"Duplicate Jira assignee",IF(COUNTIF($H$10:$H$59,$D12)&lt;&gt;1,"Add one office location",IF(COUNTIFS($H$10:$H$59,$D12,$I$10:$I$59,"&lt;&gt;")&lt;&gt;1,"Add country code",IF(COUNTIFS($H$10:$H$59,$D12,$J$10:$J$59,"Yes")&lt;&gt;1,"Confirm office holidays",IF(COUNTIFS($H$64:$H$163,$C12,$I$64:$I$163,$D12)&lt;&gt;1,"Add one group calendar",IF(COUNTIFS($H$64:$H$163,$C12,$I$64:$I$163,$D12,$J$64:$J$163,"Yes")&lt;&gt;1,"Confirm group holidays","Ready")))))))))</x:f>
      </x:c>
      <x:c r="G12" s="2"/>
      <x:c r="H12" s="12"/>
      <x:c r="I12" s="12"/>
      <x:c r="J12" s="12"/>
    </x:row>
    <x:row r="13">
      <x:c r="A13" s="12"/>
      <x:c r="B13" s="12"/>
      <x:c r="C13" s="12"/>
      <x:c r="D13" s="12"/>
      <x:c r="E13" s="14"/>
      <x:c r="F13" s="13" t="str">
        <x:f>IF($A13="","",IF(COUNTIF($A$10:$A$34,$A13)&gt;1,"Duplicate member",IF(OR($B13="",$C13="",$D13="",NOT(ISNUMBER($E13)),$E13&lt;=0,$E13&gt;24),"Complete member fields",IF(COUNTIF($B$10:$B$34,$B13)&gt;1,"Duplicate Jira assignee",IF(COUNTIF($H$10:$H$59,$D13)&lt;&gt;1,"Add one office location",IF(COUNTIFS($H$10:$H$59,$D13,$I$10:$I$59,"&lt;&gt;")&lt;&gt;1,"Add country code",IF(COUNTIFS($H$10:$H$59,$D13,$J$10:$J$59,"Yes")&lt;&gt;1,"Confirm office holidays",IF(COUNTIFS($H$64:$H$163,$C13,$I$64:$I$163,$D13)&lt;&gt;1,"Add one group calendar",IF(COUNTIFS($H$64:$H$163,$C13,$I$64:$I$163,$D13,$J$64:$J$163,"Yes")&lt;&gt;1,"Confirm group holidays","Ready")))))))))</x:f>
      </x:c>
      <x:c r="G13" s="2"/>
      <x:c r="H13" s="12"/>
      <x:c r="I13" s="12"/>
      <x:c r="J13" s="12"/>
    </x:row>
    <x:row r="14">
      <x:c r="A14" s="12"/>
      <x:c r="B14" s="12"/>
      <x:c r="C14" s="12"/>
      <x:c r="D14" s="12"/>
      <x:c r="E14" s="14"/>
      <x:c r="F14" s="13" t="str">
        <x:f>IF($A14="","",IF(COUNTIF($A$10:$A$34,$A14)&gt;1,"Duplicate member",IF(OR($B14="",$C14="",$D14="",NOT(ISNUMBER($E14)),$E14&lt;=0,$E14&gt;24),"Complete member fields",IF(COUNTIF($B$10:$B$34,$B14)&gt;1,"Duplicate Jira assignee",IF(COUNTIF($H$10:$H$59,$D14)&lt;&gt;1,"Add one office location",IF(COUNTIFS($H$10:$H$59,$D14,$I$10:$I$59,"&lt;&gt;")&lt;&gt;1,"Add country code",IF(COUNTIFS($H$10:$H$59,$D14,$J$10:$J$59,"Yes")&lt;&gt;1,"Confirm office holidays",IF(COUNTIFS($H$64:$H$163,$C14,$I$64:$I$163,$D14)&lt;&gt;1,"Add one group calendar",IF(COUNTIFS($H$64:$H$163,$C14,$I$64:$I$163,$D14,$J$64:$J$163,"Yes")&lt;&gt;1,"Confirm group holidays","Ready")))))))))</x:f>
      </x:c>
      <x:c r="G14" s="2"/>
      <x:c r="H14" s="12"/>
      <x:c r="I14" s="12"/>
      <x:c r="J14" s="12"/>
    </x:row>
    <x:row r="15">
      <x:c r="A15" s="12"/>
      <x:c r="B15" s="12"/>
      <x:c r="C15" s="12"/>
      <x:c r="D15" s="12"/>
      <x:c r="E15" s="14"/>
      <x:c r="F15" s="13" t="str">
        <x:f>IF($A15="","",IF(COUNTIF($A$10:$A$34,$A15)&gt;1,"Duplicate member",IF(OR($B15="",$C15="",$D15="",NOT(ISNUMBER($E15)),$E15&lt;=0,$E15&gt;24),"Complete member fields",IF(COUNTIF($B$10:$B$34,$B15)&gt;1,"Duplicate Jira assignee",IF(COUNTIF($H$10:$H$59,$D15)&lt;&gt;1,"Add one office location",IF(COUNTIFS($H$10:$H$59,$D15,$I$10:$I$59,"&lt;&gt;")&lt;&gt;1,"Add country code",IF(COUNTIFS($H$10:$H$59,$D15,$J$10:$J$59,"Yes")&lt;&gt;1,"Confirm office holidays",IF(COUNTIFS($H$64:$H$163,$C15,$I$64:$I$163,$D15)&lt;&gt;1,"Add one group calendar",IF(COUNTIFS($H$64:$H$163,$C15,$I$64:$I$163,$D15,$J$64:$J$163,"Yes")&lt;&gt;1,"Confirm group holidays","Ready")))))))))</x:f>
      </x:c>
      <x:c r="G15" s="2"/>
      <x:c r="H15" s="12"/>
      <x:c r="I15" s="12"/>
      <x:c r="J15" s="12"/>
    </x:row>
    <x:row r="16">
      <x:c r="A16" s="12"/>
      <x:c r="B16" s="12"/>
      <x:c r="C16" s="12"/>
      <x:c r="D16" s="12"/>
      <x:c r="E16" s="14"/>
      <x:c r="F16" s="13" t="str">
        <x:f>IF($A16="","",IF(COUNTIF($A$10:$A$34,$A16)&gt;1,"Duplicate member",IF(OR($B16="",$C16="",$D16="",NOT(ISNUMBER($E16)),$E16&lt;=0,$E16&gt;24),"Complete member fields",IF(COUNTIF($B$10:$B$34,$B16)&gt;1,"Duplicate Jira assignee",IF(COUNTIF($H$10:$H$59,$D16)&lt;&gt;1,"Add one office location",IF(COUNTIFS($H$10:$H$59,$D16,$I$10:$I$59,"&lt;&gt;")&lt;&gt;1,"Add country code",IF(COUNTIFS($H$10:$H$59,$D16,$J$10:$J$59,"Yes")&lt;&gt;1,"Confirm office holidays",IF(COUNTIFS($H$64:$H$163,$C16,$I$64:$I$163,$D16)&lt;&gt;1,"Add one group calendar",IF(COUNTIFS($H$64:$H$163,$C16,$I$64:$I$163,$D16,$J$64:$J$163,"Yes")&lt;&gt;1,"Confirm group holidays","Ready")))))))))</x:f>
      </x:c>
      <x:c r="G16" s="2"/>
      <x:c r="H16" s="12"/>
      <x:c r="I16" s="12"/>
      <x:c r="J16" s="12"/>
    </x:row>
    <x:row r="17">
      <x:c r="A17" s="12"/>
      <x:c r="B17" s="12"/>
      <x:c r="C17" s="12"/>
      <x:c r="D17" s="12"/>
      <x:c r="E17" s="14"/>
      <x:c r="F17" s="13" t="str">
        <x:f>IF($A17="","",IF(COUNTIF($A$10:$A$34,$A17)&gt;1,"Duplicate member",IF(OR($B17="",$C17="",$D17="",NOT(ISNUMBER($E17)),$E17&lt;=0,$E17&gt;24),"Complete member fields",IF(COUNTIF($B$10:$B$34,$B17)&gt;1,"Duplicate Jira assignee",IF(COUNTIF($H$10:$H$59,$D17)&lt;&gt;1,"Add one office location",IF(COUNTIFS($H$10:$H$59,$D17,$I$10:$I$59,"&lt;&gt;")&lt;&gt;1,"Add country code",IF(COUNTIFS($H$10:$H$59,$D17,$J$10:$J$59,"Yes")&lt;&gt;1,"Confirm office holidays",IF(COUNTIFS($H$64:$H$163,$C17,$I$64:$I$163,$D17)&lt;&gt;1,"Add one group calendar",IF(COUNTIFS($H$64:$H$163,$C17,$I$64:$I$163,$D17,$J$64:$J$163,"Yes")&lt;&gt;1,"Confirm group holidays","Ready")))))))))</x:f>
      </x:c>
      <x:c r="G17" s="2"/>
      <x:c r="H17" s="12"/>
      <x:c r="I17" s="12"/>
      <x:c r="J17" s="12"/>
    </x:row>
    <x:row r="18">
      <x:c r="A18" s="12"/>
      <x:c r="B18" s="12"/>
      <x:c r="C18" s="12"/>
      <x:c r="D18" s="12"/>
      <x:c r="E18" s="14"/>
      <x:c r="F18" s="13" t="str">
        <x:f>IF($A18="","",IF(COUNTIF($A$10:$A$34,$A18)&gt;1,"Duplicate member",IF(OR($B18="",$C18="",$D18="",NOT(ISNUMBER($E18)),$E18&lt;=0,$E18&gt;24),"Complete member fields",IF(COUNTIF($B$10:$B$34,$B18)&gt;1,"Duplicate Jira assignee",IF(COUNTIF($H$10:$H$59,$D18)&lt;&gt;1,"Add one office location",IF(COUNTIFS($H$10:$H$59,$D18,$I$10:$I$59,"&lt;&gt;")&lt;&gt;1,"Add country code",IF(COUNTIFS($H$10:$H$59,$D18,$J$10:$J$59,"Yes")&lt;&gt;1,"Confirm office holidays",IF(COUNTIFS($H$64:$H$163,$C18,$I$64:$I$163,$D18)&lt;&gt;1,"Add one group calendar",IF(COUNTIFS($H$64:$H$163,$C18,$I$64:$I$163,$D18,$J$64:$J$163,"Yes")&lt;&gt;1,"Confirm group holidays","Ready")))))))))</x:f>
      </x:c>
      <x:c r="G18" s="2"/>
      <x:c r="H18" s="12"/>
      <x:c r="I18" s="12"/>
      <x:c r="J18" s="12"/>
    </x:row>
    <x:row r="19">
      <x:c r="A19" s="12"/>
      <x:c r="B19" s="12"/>
      <x:c r="C19" s="12"/>
      <x:c r="D19" s="12"/>
      <x:c r="E19" s="14"/>
      <x:c r="F19" s="13" t="str">
        <x:f>IF($A19="","",IF(COUNTIF($A$10:$A$34,$A19)&gt;1,"Duplicate member",IF(OR($B19="",$C19="",$D19="",NOT(ISNUMBER($E19)),$E19&lt;=0,$E19&gt;24),"Complete member fields",IF(COUNTIF($B$10:$B$34,$B19)&gt;1,"Duplicate Jira assignee",IF(COUNTIF($H$10:$H$59,$D19)&lt;&gt;1,"Add one office location",IF(COUNTIFS($H$10:$H$59,$D19,$I$10:$I$59,"&lt;&gt;")&lt;&gt;1,"Add country code",IF(COUNTIFS($H$10:$H$59,$D19,$J$10:$J$59,"Yes")&lt;&gt;1,"Confirm office holidays",IF(COUNTIFS($H$64:$H$163,$C19,$I$64:$I$163,$D19)&lt;&gt;1,"Add one group calendar",IF(COUNTIFS($H$64:$H$163,$C19,$I$64:$I$163,$D19,$J$64:$J$163,"Yes")&lt;&gt;1,"Confirm group holidays","Ready")))))))))</x:f>
      </x:c>
      <x:c r="G19" s="2"/>
      <x:c r="H19" s="12"/>
      <x:c r="I19" s="12"/>
      <x:c r="J19" s="12"/>
    </x:row>
    <x:row r="20">
      <x:c r="A20" s="12"/>
      <x:c r="B20" s="12"/>
      <x:c r="C20" s="12"/>
      <x:c r="D20" s="12"/>
      <x:c r="E20" s="14"/>
      <x:c r="F20" s="13" t="str">
        <x:f>IF($A20="","",IF(COUNTIF($A$10:$A$34,$A20)&gt;1,"Duplicate member",IF(OR($B20="",$C20="",$D20="",NOT(ISNUMBER($E20)),$E20&lt;=0,$E20&gt;24),"Complete member fields",IF(COUNTIF($B$10:$B$34,$B20)&gt;1,"Duplicate Jira assignee",IF(COUNTIF($H$10:$H$59,$D20)&lt;&gt;1,"Add one office location",IF(COUNTIFS($H$10:$H$59,$D20,$I$10:$I$59,"&lt;&gt;")&lt;&gt;1,"Add country code",IF(COUNTIFS($H$10:$H$59,$D20,$J$10:$J$59,"Yes")&lt;&gt;1,"Confirm office holidays",IF(COUNTIFS($H$64:$H$163,$C20,$I$64:$I$163,$D20)&lt;&gt;1,"Add one group calendar",IF(COUNTIFS($H$64:$H$163,$C20,$I$64:$I$163,$D20,$J$64:$J$163,"Yes")&lt;&gt;1,"Confirm group holidays","Ready")))))))))</x:f>
      </x:c>
      <x:c r="G20" s="2"/>
      <x:c r="H20" s="12"/>
      <x:c r="I20" s="12"/>
      <x:c r="J20" s="12"/>
    </x:row>
    <x:row r="21">
      <x:c r="A21" s="12"/>
      <x:c r="B21" s="12"/>
      <x:c r="C21" s="12"/>
      <x:c r="D21" s="12"/>
      <x:c r="E21" s="14"/>
      <x:c r="F21" s="13" t="str">
        <x:f>IF($A21="","",IF(COUNTIF($A$10:$A$34,$A21)&gt;1,"Duplicate member",IF(OR($B21="",$C21="",$D21="",NOT(ISNUMBER($E21)),$E21&lt;=0,$E21&gt;24),"Complete member fields",IF(COUNTIF($B$10:$B$34,$B21)&gt;1,"Duplicate Jira assignee",IF(COUNTIF($H$10:$H$59,$D21)&lt;&gt;1,"Add one office location",IF(COUNTIFS($H$10:$H$59,$D21,$I$10:$I$59,"&lt;&gt;")&lt;&gt;1,"Add country code",IF(COUNTIFS($H$10:$H$59,$D21,$J$10:$J$59,"Yes")&lt;&gt;1,"Confirm office holidays",IF(COUNTIFS($H$64:$H$163,$C21,$I$64:$I$163,$D21)&lt;&gt;1,"Add one group calendar",IF(COUNTIFS($H$64:$H$163,$C21,$I$64:$I$163,$D21,$J$64:$J$163,"Yes")&lt;&gt;1,"Confirm group holidays","Ready")))))))))</x:f>
      </x:c>
      <x:c r="G21" s="2"/>
      <x:c r="H21" s="12"/>
      <x:c r="I21" s="12"/>
      <x:c r="J21" s="12"/>
    </x:row>
    <x:row r="22">
      <x:c r="A22" s="12"/>
      <x:c r="B22" s="12"/>
      <x:c r="C22" s="12"/>
      <x:c r="D22" s="12"/>
      <x:c r="E22" s="14"/>
      <x:c r="F22" s="13" t="str">
        <x:f>IF($A22="","",IF(COUNTIF($A$10:$A$34,$A22)&gt;1,"Duplicate member",IF(OR($B22="",$C22="",$D22="",NOT(ISNUMBER($E22)),$E22&lt;=0,$E22&gt;24),"Complete member fields",IF(COUNTIF($B$10:$B$34,$B22)&gt;1,"Duplicate Jira assignee",IF(COUNTIF($H$10:$H$59,$D22)&lt;&gt;1,"Add one office location",IF(COUNTIFS($H$10:$H$59,$D22,$I$10:$I$59,"&lt;&gt;")&lt;&gt;1,"Add country code",IF(COUNTIFS($H$10:$H$59,$D22,$J$10:$J$59,"Yes")&lt;&gt;1,"Confirm office holidays",IF(COUNTIFS($H$64:$H$163,$C22,$I$64:$I$163,$D22)&lt;&gt;1,"Add one group calendar",IF(COUNTIFS($H$64:$H$163,$C22,$I$64:$I$163,$D22,$J$64:$J$163,"Yes")&lt;&gt;1,"Confirm group holidays","Ready")))))))))</x:f>
      </x:c>
      <x:c r="G22" s="2"/>
      <x:c r="H22" s="12"/>
      <x:c r="I22" s="12"/>
      <x:c r="J22" s="12"/>
    </x:row>
    <x:row r="23">
      <x:c r="A23" s="12"/>
      <x:c r="B23" s="12"/>
      <x:c r="C23" s="12"/>
      <x:c r="D23" s="12"/>
      <x:c r="E23" s="14"/>
      <x:c r="F23" s="13" t="str">
        <x:f>IF($A23="","",IF(COUNTIF($A$10:$A$34,$A23)&gt;1,"Duplicate member",IF(OR($B23="",$C23="",$D23="",NOT(ISNUMBER($E23)),$E23&lt;=0,$E23&gt;24),"Complete member fields",IF(COUNTIF($B$10:$B$34,$B23)&gt;1,"Duplicate Jira assignee",IF(COUNTIF($H$10:$H$59,$D23)&lt;&gt;1,"Add one office location",IF(COUNTIFS($H$10:$H$59,$D23,$I$10:$I$59,"&lt;&gt;")&lt;&gt;1,"Add country code",IF(COUNTIFS($H$10:$H$59,$D23,$J$10:$J$59,"Yes")&lt;&gt;1,"Confirm office holidays",IF(COUNTIFS($H$64:$H$163,$C23,$I$64:$I$163,$D23)&lt;&gt;1,"Add one group calendar",IF(COUNTIFS($H$64:$H$163,$C23,$I$64:$I$163,$D23,$J$64:$J$163,"Yes")&lt;&gt;1,"Confirm group holidays","Ready")))))))))</x:f>
      </x:c>
      <x:c r="G23" s="2"/>
      <x:c r="H23" s="12"/>
      <x:c r="I23" s="12"/>
      <x:c r="J23" s="12"/>
    </x:row>
    <x:row r="24">
      <x:c r="A24" s="12"/>
      <x:c r="B24" s="12"/>
      <x:c r="C24" s="12"/>
      <x:c r="D24" s="12"/>
      <x:c r="E24" s="14"/>
      <x:c r="F24" s="13" t="str">
        <x:f>IF($A24="","",IF(COUNTIF($A$10:$A$34,$A24)&gt;1,"Duplicate member",IF(OR($B24="",$C24="",$D24="",NOT(ISNUMBER($E24)),$E24&lt;=0,$E24&gt;24),"Complete member fields",IF(COUNTIF($B$10:$B$34,$B24)&gt;1,"Duplicate Jira assignee",IF(COUNTIF($H$10:$H$59,$D24)&lt;&gt;1,"Add one office location",IF(COUNTIFS($H$10:$H$59,$D24,$I$10:$I$59,"&lt;&gt;")&lt;&gt;1,"Add country code",IF(COUNTIFS($H$10:$H$59,$D24,$J$10:$J$59,"Yes")&lt;&gt;1,"Confirm office holidays",IF(COUNTIFS($H$64:$H$163,$C24,$I$64:$I$163,$D24)&lt;&gt;1,"Add one group calendar",IF(COUNTIFS($H$64:$H$163,$C24,$I$64:$I$163,$D24,$J$64:$J$163,"Yes")&lt;&gt;1,"Confirm group holidays","Ready")))))))))</x:f>
      </x:c>
      <x:c r="G24" s="2"/>
      <x:c r="H24" s="12"/>
      <x:c r="I24" s="12"/>
      <x:c r="J24" s="12"/>
    </x:row>
    <x:row r="25">
      <x:c r="A25" s="12"/>
      <x:c r="B25" s="12"/>
      <x:c r="C25" s="12"/>
      <x:c r="D25" s="12"/>
      <x:c r="E25" s="14"/>
      <x:c r="F25" s="13" t="str">
        <x:f>IF($A25="","",IF(COUNTIF($A$10:$A$34,$A25)&gt;1,"Duplicate member",IF(OR($B25="",$C25="",$D25="",NOT(ISNUMBER($E25)),$E25&lt;=0,$E25&gt;24),"Complete member fields",IF(COUNTIF($B$10:$B$34,$B25)&gt;1,"Duplicate Jira assignee",IF(COUNTIF($H$10:$H$59,$D25)&lt;&gt;1,"Add one office location",IF(COUNTIFS($H$10:$H$59,$D25,$I$10:$I$59,"&lt;&gt;")&lt;&gt;1,"Add country code",IF(COUNTIFS($H$10:$H$59,$D25,$J$10:$J$59,"Yes")&lt;&gt;1,"Confirm office holidays",IF(COUNTIFS($H$64:$H$163,$C25,$I$64:$I$163,$D25)&lt;&gt;1,"Add one group calendar",IF(COUNTIFS($H$64:$H$163,$C25,$I$64:$I$163,$D25,$J$64:$J$163,"Yes")&lt;&gt;1,"Confirm group holidays","Ready")))))))))</x:f>
      </x:c>
      <x:c r="G25" s="2"/>
      <x:c r="H25" s="12"/>
      <x:c r="I25" s="12"/>
      <x:c r="J25" s="12"/>
    </x:row>
    <x:row r="26">
      <x:c r="A26" s="12"/>
      <x:c r="B26" s="12"/>
      <x:c r="C26" s="12"/>
      <x:c r="D26" s="12"/>
      <x:c r="E26" s="14"/>
      <x:c r="F26" s="13" t="str">
        <x:f>IF($A26="","",IF(COUNTIF($A$10:$A$34,$A26)&gt;1,"Duplicate member",IF(OR($B26="",$C26="",$D26="",NOT(ISNUMBER($E26)),$E26&lt;=0,$E26&gt;24),"Complete member fields",IF(COUNTIF($B$10:$B$34,$B26)&gt;1,"Duplicate Jira assignee",IF(COUNTIF($H$10:$H$59,$D26)&lt;&gt;1,"Add one office location",IF(COUNTIFS($H$10:$H$59,$D26,$I$10:$I$59,"&lt;&gt;")&lt;&gt;1,"Add country code",IF(COUNTIFS($H$10:$H$59,$D26,$J$10:$J$59,"Yes")&lt;&gt;1,"Confirm office holidays",IF(COUNTIFS($H$64:$H$163,$C26,$I$64:$I$163,$D26)&lt;&gt;1,"Add one group calendar",IF(COUNTIFS($H$64:$H$163,$C26,$I$64:$I$163,$D26,$J$64:$J$163,"Yes")&lt;&gt;1,"Confirm group holidays","Ready")))))))))</x:f>
      </x:c>
      <x:c r="G26" s="2"/>
      <x:c r="H26" s="12"/>
      <x:c r="I26" s="12"/>
      <x:c r="J26" s="12"/>
    </x:row>
    <x:row r="27">
      <x:c r="A27" s="12"/>
      <x:c r="B27" s="12"/>
      <x:c r="C27" s="12"/>
      <x:c r="D27" s="12"/>
      <x:c r="E27" s="14"/>
      <x:c r="F27" s="13" t="str">
        <x:f>IF($A27="","",IF(COUNTIF($A$10:$A$34,$A27)&gt;1,"Duplicate member",IF(OR($B27="",$C27="",$D27="",NOT(ISNUMBER($E27)),$E27&lt;=0,$E27&gt;24),"Complete member fields",IF(COUNTIF($B$10:$B$34,$B27)&gt;1,"Duplicate Jira assignee",IF(COUNTIF($H$10:$H$59,$D27)&lt;&gt;1,"Add one office location",IF(COUNTIFS($H$10:$H$59,$D27,$I$10:$I$59,"&lt;&gt;")&lt;&gt;1,"Add country code",IF(COUNTIFS($H$10:$H$59,$D27,$J$10:$J$59,"Yes")&lt;&gt;1,"Confirm office holidays",IF(COUNTIFS($H$64:$H$163,$C27,$I$64:$I$163,$D27)&lt;&gt;1,"Add one group calendar",IF(COUNTIFS($H$64:$H$163,$C27,$I$64:$I$163,$D27,$J$64:$J$163,"Yes")&lt;&gt;1,"Confirm group holidays","Ready")))))))))</x:f>
      </x:c>
      <x:c r="G27" s="2"/>
      <x:c r="H27" s="12"/>
      <x:c r="I27" s="12"/>
      <x:c r="J27" s="12"/>
    </x:row>
    <x:row r="28">
      <x:c r="A28" s="12"/>
      <x:c r="B28" s="12"/>
      <x:c r="C28" s="12"/>
      <x:c r="D28" s="12"/>
      <x:c r="E28" s="14"/>
      <x:c r="F28" s="13" t="str">
        <x:f>IF($A28="","",IF(COUNTIF($A$10:$A$34,$A28)&gt;1,"Duplicate member",IF(OR($B28="",$C28="",$D28="",NOT(ISNUMBER($E28)),$E28&lt;=0,$E28&gt;24),"Complete member fields",IF(COUNTIF($B$10:$B$34,$B28)&gt;1,"Duplicate Jira assignee",IF(COUNTIF($H$10:$H$59,$D28)&lt;&gt;1,"Add one office location",IF(COUNTIFS($H$10:$H$59,$D28,$I$10:$I$59,"&lt;&gt;")&lt;&gt;1,"Add country code",IF(COUNTIFS($H$10:$H$59,$D28,$J$10:$J$59,"Yes")&lt;&gt;1,"Confirm office holidays",IF(COUNTIFS($H$64:$H$163,$C28,$I$64:$I$163,$D28)&lt;&gt;1,"Add one group calendar",IF(COUNTIFS($H$64:$H$163,$C28,$I$64:$I$163,$D28,$J$64:$J$163,"Yes")&lt;&gt;1,"Confirm group holidays","Ready")))))))))</x:f>
      </x:c>
      <x:c r="G28" s="2"/>
      <x:c r="H28" s="12"/>
      <x:c r="I28" s="12"/>
      <x:c r="J28" s="12"/>
    </x:row>
    <x:row r="29">
      <x:c r="A29" s="12"/>
      <x:c r="B29" s="12"/>
      <x:c r="C29" s="12"/>
      <x:c r="D29" s="12"/>
      <x:c r="E29" s="14"/>
      <x:c r="F29" s="13" t="str">
        <x:f>IF($A29="","",IF(COUNTIF($A$10:$A$34,$A29)&gt;1,"Duplicate member",IF(OR($B29="",$C29="",$D29="",NOT(ISNUMBER($E29)),$E29&lt;=0,$E29&gt;24),"Complete member fields",IF(COUNTIF($B$10:$B$34,$B29)&gt;1,"Duplicate Jira assignee",IF(COUNTIF($H$10:$H$59,$D29)&lt;&gt;1,"Add one office location",IF(COUNTIFS($H$10:$H$59,$D29,$I$10:$I$59,"&lt;&gt;")&lt;&gt;1,"Add country code",IF(COUNTIFS($H$10:$H$59,$D29,$J$10:$J$59,"Yes")&lt;&gt;1,"Confirm office holidays",IF(COUNTIFS($H$64:$H$163,$C29,$I$64:$I$163,$D29)&lt;&gt;1,"Add one group calendar",IF(COUNTIFS($H$64:$H$163,$C29,$I$64:$I$163,$D29,$J$64:$J$163,"Yes")&lt;&gt;1,"Confirm group holidays","Ready")))))))))</x:f>
      </x:c>
      <x:c r="G29" s="2"/>
      <x:c r="H29" s="12"/>
      <x:c r="I29" s="12"/>
      <x:c r="J29" s="12"/>
    </x:row>
    <x:row r="30">
      <x:c r="A30" s="12"/>
      <x:c r="B30" s="12"/>
      <x:c r="C30" s="12"/>
      <x:c r="D30" s="12"/>
      <x:c r="E30" s="14"/>
      <x:c r="F30" s="13" t="str">
        <x:f>IF($A30="","",IF(COUNTIF($A$10:$A$34,$A30)&gt;1,"Duplicate member",IF(OR($B30="",$C30="",$D30="",NOT(ISNUMBER($E30)),$E30&lt;=0,$E30&gt;24),"Complete member fields",IF(COUNTIF($B$10:$B$34,$B30)&gt;1,"Duplicate Jira assignee",IF(COUNTIF($H$10:$H$59,$D30)&lt;&gt;1,"Add one office location",IF(COUNTIFS($H$10:$H$59,$D30,$I$10:$I$59,"&lt;&gt;")&lt;&gt;1,"Add country code",IF(COUNTIFS($H$10:$H$59,$D30,$J$10:$J$59,"Yes")&lt;&gt;1,"Confirm office holidays",IF(COUNTIFS($H$64:$H$163,$C30,$I$64:$I$163,$D30)&lt;&gt;1,"Add one group calendar",IF(COUNTIFS($H$64:$H$163,$C30,$I$64:$I$163,$D30,$J$64:$J$163,"Yes")&lt;&gt;1,"Confirm group holidays","Ready")))))))))</x:f>
      </x:c>
      <x:c r="G30" s="2"/>
      <x:c r="H30" s="12"/>
      <x:c r="I30" s="12"/>
      <x:c r="J30" s="12"/>
    </x:row>
    <x:row r="31">
      <x:c r="A31" s="12"/>
      <x:c r="B31" s="12"/>
      <x:c r="C31" s="12"/>
      <x:c r="D31" s="12"/>
      <x:c r="E31" s="14"/>
      <x:c r="F31" s="13" t="str">
        <x:f>IF($A31="","",IF(COUNTIF($A$10:$A$34,$A31)&gt;1,"Duplicate member",IF(OR($B31="",$C31="",$D31="",NOT(ISNUMBER($E31)),$E31&lt;=0,$E31&gt;24),"Complete member fields",IF(COUNTIF($B$10:$B$34,$B31)&gt;1,"Duplicate Jira assignee",IF(COUNTIF($H$10:$H$59,$D31)&lt;&gt;1,"Add one office location",IF(COUNTIFS($H$10:$H$59,$D31,$I$10:$I$59,"&lt;&gt;")&lt;&gt;1,"Add country code",IF(COUNTIFS($H$10:$H$59,$D31,$J$10:$J$59,"Yes")&lt;&gt;1,"Confirm office holidays",IF(COUNTIFS($H$64:$H$163,$C31,$I$64:$I$163,$D31)&lt;&gt;1,"Add one group calendar",IF(COUNTIFS($H$64:$H$163,$C31,$I$64:$I$163,$D31,$J$64:$J$163,"Yes")&lt;&gt;1,"Confirm group holidays","Ready")))))))))</x:f>
      </x:c>
      <x:c r="G31" s="2"/>
      <x:c r="H31" s="12"/>
      <x:c r="I31" s="12"/>
      <x:c r="J31" s="12"/>
    </x:row>
    <x:row r="32">
      <x:c r="A32" s="12"/>
      <x:c r="B32" s="12"/>
      <x:c r="C32" s="12"/>
      <x:c r="D32" s="12"/>
      <x:c r="E32" s="14"/>
      <x:c r="F32" s="13" t="str">
        <x:f>IF($A32="","",IF(COUNTIF($A$10:$A$34,$A32)&gt;1,"Duplicate member",IF(OR($B32="",$C32="",$D32="",NOT(ISNUMBER($E32)),$E32&lt;=0,$E32&gt;24),"Complete member fields",IF(COUNTIF($B$10:$B$34,$B32)&gt;1,"Duplicate Jira assignee",IF(COUNTIF($H$10:$H$59,$D32)&lt;&gt;1,"Add one office location",IF(COUNTIFS($H$10:$H$59,$D32,$I$10:$I$59,"&lt;&gt;")&lt;&gt;1,"Add country code",IF(COUNTIFS($H$10:$H$59,$D32,$J$10:$J$59,"Yes")&lt;&gt;1,"Confirm office holidays",IF(COUNTIFS($H$64:$H$163,$C32,$I$64:$I$163,$D32)&lt;&gt;1,"Add one group calendar",IF(COUNTIFS($H$64:$H$163,$C32,$I$64:$I$163,$D32,$J$64:$J$163,"Yes")&lt;&gt;1,"Confirm group holidays","Ready")))))))))</x:f>
      </x:c>
      <x:c r="G32" s="2"/>
      <x:c r="H32" s="12"/>
      <x:c r="I32" s="12"/>
      <x:c r="J32" s="12"/>
    </x:row>
    <x:row r="33">
      <x:c r="A33" s="12"/>
      <x:c r="B33" s="12"/>
      <x:c r="C33" s="12"/>
      <x:c r="D33" s="12"/>
      <x:c r="E33" s="14"/>
      <x:c r="F33" s="13" t="str">
        <x:f>IF($A33="","",IF(COUNTIF($A$10:$A$34,$A33)&gt;1,"Duplicate member",IF(OR($B33="",$C33="",$D33="",NOT(ISNUMBER($E33)),$E33&lt;=0,$E33&gt;24),"Complete member fields",IF(COUNTIF($B$10:$B$34,$B33)&gt;1,"Duplicate Jira assignee",IF(COUNTIF($H$10:$H$59,$D33)&lt;&gt;1,"Add one office location",IF(COUNTIFS($H$10:$H$59,$D33,$I$10:$I$59,"&lt;&gt;")&lt;&gt;1,"Add country code",IF(COUNTIFS($H$10:$H$59,$D33,$J$10:$J$59,"Yes")&lt;&gt;1,"Confirm office holidays",IF(COUNTIFS($H$64:$H$163,$C33,$I$64:$I$163,$D33)&lt;&gt;1,"Add one group calendar",IF(COUNTIFS($H$64:$H$163,$C33,$I$64:$I$163,$D33,$J$64:$J$163,"Yes")&lt;&gt;1,"Confirm group holidays","Ready")))))))))</x:f>
      </x:c>
      <x:c r="G33" s="2"/>
      <x:c r="H33" s="12"/>
      <x:c r="I33" s="12"/>
      <x:c r="J33" s="12"/>
    </x:row>
    <x:row r="34">
      <x:c r="A34" s="12"/>
      <x:c r="B34" s="12"/>
      <x:c r="C34" s="12"/>
      <x:c r="D34" s="12"/>
      <x:c r="E34" s="14"/>
      <x:c r="F34" s="13" t="str">
        <x:f>IF($A34="","",IF(COUNTIF($A$10:$A$34,$A34)&gt;1,"Duplicate member",IF(OR($B34="",$C34="",$D34="",NOT(ISNUMBER($E34)),$E34&lt;=0,$E34&gt;24),"Complete member fields",IF(COUNTIF($B$10:$B$34,$B34)&gt;1,"Duplicate Jira assignee",IF(COUNTIF($H$10:$H$59,$D34)&lt;&gt;1,"Add one office location",IF(COUNTIFS($H$10:$H$59,$D34,$I$10:$I$59,"&lt;&gt;")&lt;&gt;1,"Add country code",IF(COUNTIFS($H$10:$H$59,$D34,$J$10:$J$59,"Yes")&lt;&gt;1,"Confirm office holidays",IF(COUNTIFS($H$64:$H$163,$C34,$I$64:$I$163,$D34)&lt;&gt;1,"Add one group calendar",IF(COUNTIFS($H$64:$H$163,$C34,$I$64:$I$163,$D34,$J$64:$J$163,"Yes")&lt;&gt;1,"Confirm group holidays","Ready")))))))))</x:f>
      </x:c>
      <x:c r="G34" s="2"/>
      <x:c r="H34" s="12"/>
      <x:c r="I34" s="12"/>
      <x:c r="J34" s="12"/>
    </x:row>
    <x:row r="35">
      <x:c r="A35" s="2"/>
      <x:c r="B35" s="2"/>
      <x:c r="C35" s="2"/>
      <x:c r="D35" s="2"/>
      <x:c r="E35" s="2"/>
      <x:c r="F35" s="2"/>
      <x:c r="G35" s="2"/>
      <x:c r="H35" s="12"/>
      <x:c r="I35" s="12"/>
      <x:c r="J35" s="12"/>
    </x:row>
    <x:row r="36">
      <x:c r="A36" s="2"/>
      <x:c r="B36" s="2"/>
      <x:c r="C36" s="2"/>
      <x:c r="D36" s="2"/>
      <x:c r="E36" s="2"/>
      <x:c r="F36" s="2"/>
      <x:c r="G36" s="2"/>
      <x:c r="H36" s="12"/>
      <x:c r="I36" s="12"/>
      <x:c r="J36" s="12"/>
    </x:row>
    <x:row r="37">
      <x:c r="A37" s="2"/>
      <x:c r="B37" s="2"/>
      <x:c r="C37" s="2"/>
      <x:c r="D37" s="2"/>
      <x:c r="E37" s="2"/>
      <x:c r="F37" s="2"/>
      <x:c r="G37" s="2"/>
      <x:c r="H37" s="12"/>
      <x:c r="I37" s="12"/>
      <x:c r="J37" s="12"/>
    </x:row>
    <x:row r="38">
      <x:c r="A38" s="2"/>
      <x:c r="B38" s="2"/>
      <x:c r="C38" s="2"/>
      <x:c r="D38" s="2"/>
      <x:c r="E38" s="2"/>
      <x:c r="F38" s="2"/>
      <x:c r="G38" s="2"/>
      <x:c r="H38" s="12"/>
      <x:c r="I38" s="12"/>
      <x:c r="J38" s="12"/>
    </x:row>
    <x:row r="39">
      <x:c r="A39" s="2"/>
      <x:c r="B39" s="2"/>
      <x:c r="C39" s="2"/>
      <x:c r="D39" s="2"/>
      <x:c r="E39" s="2"/>
      <x:c r="F39" s="2"/>
      <x:c r="G39" s="2"/>
      <x:c r="H39" s="12"/>
      <x:c r="I39" s="12"/>
      <x:c r="J39" s="12"/>
    </x:row>
    <x:row r="40">
      <x:c r="A40" s="2"/>
      <x:c r="B40" s="2"/>
      <x:c r="C40" s="2"/>
      <x:c r="D40" s="2"/>
      <x:c r="E40" s="2"/>
      <x:c r="F40" s="2"/>
      <x:c r="G40" s="2"/>
      <x:c r="H40" s="12"/>
      <x:c r="I40" s="12"/>
      <x:c r="J40" s="12"/>
    </x:row>
    <x:row r="41">
      <x:c r="A41" s="2"/>
      <x:c r="B41" s="2"/>
      <x:c r="C41" s="2"/>
      <x:c r="D41" s="2"/>
      <x:c r="E41" s="2"/>
      <x:c r="F41" s="2"/>
      <x:c r="G41" s="2"/>
      <x:c r="H41" s="12"/>
      <x:c r="I41" s="12"/>
      <x:c r="J41" s="12"/>
    </x:row>
    <x:row r="42">
      <x:c r="A42" s="2"/>
      <x:c r="B42" s="2"/>
      <x:c r="C42" s="2"/>
      <x:c r="D42" s="2"/>
      <x:c r="E42" s="2"/>
      <x:c r="F42" s="2"/>
      <x:c r="G42" s="2"/>
      <x:c r="H42" s="12"/>
      <x:c r="I42" s="12"/>
      <x:c r="J42" s="12"/>
    </x:row>
    <x:row r="43">
      <x:c r="A43" s="2"/>
      <x:c r="B43" s="2"/>
      <x:c r="C43" s="2"/>
      <x:c r="D43" s="2"/>
      <x:c r="E43" s="2"/>
      <x:c r="F43" s="2"/>
      <x:c r="G43" s="2"/>
      <x:c r="H43" s="12"/>
      <x:c r="I43" s="12"/>
      <x:c r="J43" s="12"/>
    </x:row>
    <x:row r="44">
      <x:c r="A44" s="2"/>
      <x:c r="B44" s="2"/>
      <x:c r="C44" s="2"/>
      <x:c r="D44" s="2"/>
      <x:c r="E44" s="2"/>
      <x:c r="F44" s="2"/>
      <x:c r="G44" s="2"/>
      <x:c r="H44" s="12"/>
      <x:c r="I44" s="12"/>
      <x:c r="J44" s="12"/>
    </x:row>
    <x:row r="45">
      <x:c r="A45" s="2"/>
      <x:c r="B45" s="2"/>
      <x:c r="C45" s="2"/>
      <x:c r="D45" s="2"/>
      <x:c r="E45" s="2"/>
      <x:c r="F45" s="2"/>
      <x:c r="G45" s="2"/>
      <x:c r="H45" s="12"/>
      <x:c r="I45" s="12"/>
      <x:c r="J45" s="12"/>
    </x:row>
    <x:row r="46">
      <x:c r="A46" s="2"/>
      <x:c r="B46" s="2"/>
      <x:c r="C46" s="2"/>
      <x:c r="D46" s="2"/>
      <x:c r="E46" s="2"/>
      <x:c r="F46" s="2"/>
      <x:c r="G46" s="2"/>
      <x:c r="H46" s="12"/>
      <x:c r="I46" s="12"/>
      <x:c r="J46" s="12"/>
    </x:row>
    <x:row r="47">
      <x:c r="A47" s="2"/>
      <x:c r="B47" s="2"/>
      <x:c r="C47" s="2"/>
      <x:c r="D47" s="2"/>
      <x:c r="E47" s="2"/>
      <x:c r="F47" s="2"/>
      <x:c r="G47" s="2"/>
      <x:c r="H47" s="12"/>
      <x:c r="I47" s="12"/>
      <x:c r="J47" s="12"/>
    </x:row>
    <x:row r="48">
      <x:c r="A48" s="2"/>
      <x:c r="B48" s="2"/>
      <x:c r="C48" s="2"/>
      <x:c r="D48" s="2"/>
      <x:c r="E48" s="2"/>
      <x:c r="F48" s="2"/>
      <x:c r="G48" s="2"/>
      <x:c r="H48" s="12"/>
      <x:c r="I48" s="12"/>
      <x:c r="J48" s="12"/>
    </x:row>
    <x:row r="49">
      <x:c r="A49" s="2"/>
      <x:c r="B49" s="2"/>
      <x:c r="C49" s="2"/>
      <x:c r="D49" s="2"/>
      <x:c r="E49" s="2"/>
      <x:c r="F49" s="2"/>
      <x:c r="G49" s="2"/>
      <x:c r="H49" s="12"/>
      <x:c r="I49" s="12"/>
      <x:c r="J49" s="12"/>
    </x:row>
    <x:row r="50">
      <x:c r="A50" s="2"/>
      <x:c r="B50" s="2"/>
      <x:c r="C50" s="2"/>
      <x:c r="D50" s="2"/>
      <x:c r="E50" s="2"/>
      <x:c r="F50" s="2"/>
      <x:c r="G50" s="2"/>
      <x:c r="H50" s="12"/>
      <x:c r="I50" s="12"/>
      <x:c r="J50" s="12"/>
    </x:row>
    <x:row r="51">
      <x:c r="A51" s="2"/>
      <x:c r="B51" s="2"/>
      <x:c r="C51" s="2"/>
      <x:c r="D51" s="2"/>
      <x:c r="E51" s="2"/>
      <x:c r="F51" s="2"/>
      <x:c r="G51" s="2"/>
      <x:c r="H51" s="12"/>
      <x:c r="I51" s="12"/>
      <x:c r="J51" s="12"/>
    </x:row>
    <x:row r="52">
      <x:c r="A52" s="2"/>
      <x:c r="B52" s="2"/>
      <x:c r="C52" s="2"/>
      <x:c r="D52" s="2"/>
      <x:c r="E52" s="2"/>
      <x:c r="F52" s="2"/>
      <x:c r="G52" s="2"/>
      <x:c r="H52" s="12"/>
      <x:c r="I52" s="12"/>
      <x:c r="J52" s="12"/>
    </x:row>
    <x:row r="53">
      <x:c r="A53" s="2"/>
      <x:c r="B53" s="2"/>
      <x:c r="C53" s="2"/>
      <x:c r="D53" s="2"/>
      <x:c r="E53" s="2"/>
      <x:c r="F53" s="2"/>
      <x:c r="G53" s="2"/>
      <x:c r="H53" s="12"/>
      <x:c r="I53" s="12"/>
      <x:c r="J53" s="12"/>
    </x:row>
    <x:row r="54">
      <x:c r="A54" s="2"/>
      <x:c r="B54" s="2"/>
      <x:c r="C54" s="2"/>
      <x:c r="D54" s="2"/>
      <x:c r="E54" s="2"/>
      <x:c r="F54" s="2"/>
      <x:c r="G54" s="2"/>
      <x:c r="H54" s="12"/>
      <x:c r="I54" s="12"/>
      <x:c r="J54" s="12"/>
    </x:row>
    <x:row r="55">
      <x:c r="A55" s="2"/>
      <x:c r="B55" s="2"/>
      <x:c r="C55" s="2"/>
      <x:c r="D55" s="2"/>
      <x:c r="E55" s="2"/>
      <x:c r="F55" s="2"/>
      <x:c r="G55" s="2"/>
      <x:c r="H55" s="12"/>
      <x:c r="I55" s="12"/>
      <x:c r="J55" s="12"/>
    </x:row>
    <x:row r="56">
      <x:c r="A56" s="2"/>
      <x:c r="B56" s="2"/>
      <x:c r="C56" s="2"/>
      <x:c r="D56" s="2"/>
      <x:c r="E56" s="2"/>
      <x:c r="F56" s="2"/>
      <x:c r="G56" s="2"/>
      <x:c r="H56" s="12"/>
      <x:c r="I56" s="12"/>
      <x:c r="J56" s="12"/>
    </x:row>
    <x:row r="57">
      <x:c r="A57" s="2"/>
      <x:c r="B57" s="2"/>
      <x:c r="C57" s="2"/>
      <x:c r="D57" s="2"/>
      <x:c r="E57" s="2"/>
      <x:c r="F57" s="2"/>
      <x:c r="G57" s="2"/>
      <x:c r="H57" s="12"/>
      <x:c r="I57" s="12"/>
      <x:c r="J57" s="12"/>
    </x:row>
    <x:row r="58">
      <x:c r="A58" s="2"/>
      <x:c r="B58" s="2"/>
      <x:c r="C58" s="2"/>
      <x:c r="D58" s="2"/>
      <x:c r="E58" s="2"/>
      <x:c r="F58" s="2"/>
      <x:c r="G58" s="2"/>
      <x:c r="H58" s="12"/>
      <x:c r="I58" s="12"/>
      <x:c r="J58" s="12"/>
    </x:row>
    <x:row r="59">
      <x:c r="A59" s="2"/>
      <x:c r="B59" s="2"/>
      <x:c r="C59" s="2"/>
      <x:c r="D59" s="2"/>
      <x:c r="E59" s="2"/>
      <x:c r="F59" s="2"/>
      <x:c r="G59" s="2"/>
      <x:c r="H59" s="12"/>
      <x:c r="I59" s="12"/>
      <x:c r="J59" s="1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11" t="str">
        <x:v>Group and location calendars</x:v>
      </x:c>
      <x:c r="I61" s="11"/>
      <x:c r="J61" s="11"/>
    </x:row>
    <x:row r="62" ht="30" customHeight="1">
      <x:c r="A62" s="2"/>
      <x:c r="B62" s="2"/>
      <x:c r="C62" s="2"/>
      <x:c r="D62" s="2"/>
      <x:c r="E62" s="2"/>
      <x:c r="F62" s="2"/>
      <x:c r="G62" s="2"/>
      <x:c r="H62" s="5" t="str">
        <x:v>List every unique group and office location. Check its dates before marking Yes.</x:v>
      </x:c>
      <x:c r="I62" s="2"/>
      <x:c r="J62" s="2"/>
    </x:row>
    <x:row r="63" ht="30" customHeight="1">
      <x:c r="A63" s="2"/>
      <x:c r="B63" s="2"/>
      <x:c r="C63" s="2"/>
      <x:c r="D63" s="2"/>
      <x:c r="E63" s="2"/>
      <x:c r="F63" s="2"/>
      <x:c r="G63" s="2"/>
      <x:c r="H63" s="19" t="str">
        <x:v>Group</x:v>
      </x:c>
      <x:c r="I63" s="19" t="str">
        <x:v>Office location</x:v>
      </x:c>
      <x:c r="J63" s="19" t="str">
        <x:v>Group holidays checked?</x:v>
      </x:c>
    </x:row>
    <x:row r="64">
      <x:c r="A64" s="2"/>
      <x:c r="B64" s="2"/>
      <x:c r="C64" s="2"/>
      <x:c r="D64" s="2"/>
      <x:c r="E64" s="2"/>
      <x:c r="F64" s="2"/>
      <x:c r="G64" s="2"/>
      <x:c r="H64" s="12"/>
      <x:c r="I64" s="12"/>
      <x:c r="J64" s="12"/>
    </x:row>
    <x:row r="65">
      <x:c r="A65" s="2"/>
      <x:c r="B65" s="2"/>
      <x:c r="C65" s="2"/>
      <x:c r="D65" s="2"/>
      <x:c r="E65" s="2"/>
      <x:c r="F65" s="2"/>
      <x:c r="G65" s="2"/>
      <x:c r="H65" s="12"/>
      <x:c r="I65" s="12"/>
      <x:c r="J65" s="12"/>
    </x:row>
    <x:row r="66">
      <x:c r="A66" s="2"/>
      <x:c r="B66" s="2"/>
      <x:c r="C66" s="2"/>
      <x:c r="D66" s="2"/>
      <x:c r="E66" s="2"/>
      <x:c r="F66" s="2"/>
      <x:c r="G66" s="2"/>
      <x:c r="H66" s="12"/>
      <x:c r="I66" s="12"/>
      <x:c r="J66" s="12"/>
    </x:row>
    <x:row r="67">
      <x:c r="A67" s="2"/>
      <x:c r="B67" s="2"/>
      <x:c r="C67" s="2"/>
      <x:c r="D67" s="2"/>
      <x:c r="E67" s="2"/>
      <x:c r="F67" s="2"/>
      <x:c r="G67" s="2"/>
      <x:c r="H67" s="12"/>
      <x:c r="I67" s="12"/>
      <x:c r="J67" s="12"/>
    </x:row>
    <x:row r="68">
      <x:c r="A68" s="2"/>
      <x:c r="B68" s="2"/>
      <x:c r="C68" s="2"/>
      <x:c r="D68" s="2"/>
      <x:c r="E68" s="2"/>
      <x:c r="F68" s="2"/>
      <x:c r="G68" s="2"/>
      <x:c r="H68" s="12"/>
      <x:c r="I68" s="12"/>
      <x:c r="J68" s="12"/>
    </x:row>
    <x:row r="69">
      <x:c r="A69" s="2"/>
      <x:c r="B69" s="2"/>
      <x:c r="C69" s="2"/>
      <x:c r="D69" s="2"/>
      <x:c r="E69" s="2"/>
      <x:c r="F69" s="2"/>
      <x:c r="G69" s="2"/>
      <x:c r="H69" s="12"/>
      <x:c r="I69" s="12"/>
      <x:c r="J69" s="12"/>
    </x:row>
    <x:row r="70">
      <x:c r="A70" s="2"/>
      <x:c r="B70" s="2"/>
      <x:c r="C70" s="2"/>
      <x:c r="D70" s="2"/>
      <x:c r="E70" s="2"/>
      <x:c r="F70" s="2"/>
      <x:c r="G70" s="2"/>
      <x:c r="H70" s="12"/>
      <x:c r="I70" s="12"/>
      <x:c r="J70" s="12"/>
    </x:row>
    <x:row r="71">
      <x:c r="A71" s="2"/>
      <x:c r="B71" s="2"/>
      <x:c r="C71" s="2"/>
      <x:c r="D71" s="2"/>
      <x:c r="E71" s="2"/>
      <x:c r="F71" s="2"/>
      <x:c r="G71" s="2"/>
      <x:c r="H71" s="12"/>
      <x:c r="I71" s="12"/>
      <x:c r="J71" s="12"/>
    </x:row>
    <x:row r="72">
      <x:c r="A72" s="2"/>
      <x:c r="B72" s="2"/>
      <x:c r="C72" s="2"/>
      <x:c r="D72" s="2"/>
      <x:c r="E72" s="2"/>
      <x:c r="F72" s="2"/>
      <x:c r="G72" s="2"/>
      <x:c r="H72" s="12"/>
      <x:c r="I72" s="12"/>
      <x:c r="J72" s="12"/>
    </x:row>
    <x:row r="73">
      <x:c r="A73" s="2"/>
      <x:c r="B73" s="2"/>
      <x:c r="C73" s="2"/>
      <x:c r="D73" s="2"/>
      <x:c r="E73" s="2"/>
      <x:c r="F73" s="2"/>
      <x:c r="G73" s="2"/>
      <x:c r="H73" s="12"/>
      <x:c r="I73" s="12"/>
      <x:c r="J73" s="12"/>
    </x:row>
    <x:row r="74">
      <x:c r="A74" s="2"/>
      <x:c r="B74" s="2"/>
      <x:c r="C74" s="2"/>
      <x:c r="D74" s="2"/>
      <x:c r="E74" s="2"/>
      <x:c r="F74" s="2"/>
      <x:c r="G74" s="2"/>
      <x:c r="H74" s="12"/>
      <x:c r="I74" s="12"/>
      <x:c r="J74" s="12"/>
    </x:row>
    <x:row r="75">
      <x:c r="A75" s="2"/>
      <x:c r="B75" s="2"/>
      <x:c r="C75" s="2"/>
      <x:c r="D75" s="2"/>
      <x:c r="E75" s="2"/>
      <x:c r="F75" s="2"/>
      <x:c r="G75" s="2"/>
      <x:c r="H75" s="12"/>
      <x:c r="I75" s="12"/>
      <x:c r="J75" s="12"/>
    </x:row>
    <x:row r="76">
      <x:c r="A76" s="2"/>
      <x:c r="B76" s="2"/>
      <x:c r="C76" s="2"/>
      <x:c r="D76" s="2"/>
      <x:c r="E76" s="2"/>
      <x:c r="F76" s="2"/>
      <x:c r="G76" s="2"/>
      <x:c r="H76" s="12"/>
      <x:c r="I76" s="12"/>
      <x:c r="J76" s="12"/>
    </x:row>
    <x:row r="77">
      <x:c r="A77" s="2"/>
      <x:c r="B77" s="2"/>
      <x:c r="C77" s="2"/>
      <x:c r="D77" s="2"/>
      <x:c r="E77" s="2"/>
      <x:c r="F77" s="2"/>
      <x:c r="G77" s="2"/>
      <x:c r="H77" s="12"/>
      <x:c r="I77" s="12"/>
      <x:c r="J77" s="12"/>
    </x:row>
    <x:row r="78">
      <x:c r="A78" s="2"/>
      <x:c r="B78" s="2"/>
      <x:c r="C78" s="2"/>
      <x:c r="D78" s="2"/>
      <x:c r="E78" s="2"/>
      <x:c r="F78" s="2"/>
      <x:c r="G78" s="2"/>
      <x:c r="H78" s="12"/>
      <x:c r="I78" s="12"/>
      <x:c r="J78" s="12"/>
    </x:row>
    <x:row r="79">
      <x:c r="A79" s="2"/>
      <x:c r="B79" s="2"/>
      <x:c r="C79" s="2"/>
      <x:c r="D79" s="2"/>
      <x:c r="E79" s="2"/>
      <x:c r="F79" s="2"/>
      <x:c r="G79" s="2"/>
      <x:c r="H79" s="12"/>
      <x:c r="I79" s="12"/>
      <x:c r="J79" s="12"/>
    </x:row>
    <x:row r="80">
      <x:c r="A80" s="2"/>
      <x:c r="B80" s="2"/>
      <x:c r="C80" s="2"/>
      <x:c r="D80" s="2"/>
      <x:c r="E80" s="2"/>
      <x:c r="F80" s="2"/>
      <x:c r="G80" s="2"/>
      <x:c r="H80" s="12"/>
      <x:c r="I80" s="12"/>
      <x:c r="J80" s="12"/>
    </x:row>
    <x:row r="81">
      <x:c r="A81" s="2"/>
      <x:c r="B81" s="2"/>
      <x:c r="C81" s="2"/>
      <x:c r="D81" s="2"/>
      <x:c r="E81" s="2"/>
      <x:c r="F81" s="2"/>
      <x:c r="G81" s="2"/>
      <x:c r="H81" s="12"/>
      <x:c r="I81" s="12"/>
      <x:c r="J81" s="12"/>
    </x:row>
    <x:row r="82">
      <x:c r="A82" s="2"/>
      <x:c r="B82" s="2"/>
      <x:c r="C82" s="2"/>
      <x:c r="D82" s="2"/>
      <x:c r="E82" s="2"/>
      <x:c r="F82" s="2"/>
      <x:c r="G82" s="2"/>
      <x:c r="H82" s="12"/>
      <x:c r="I82" s="12"/>
      <x:c r="J82" s="12"/>
    </x:row>
    <x:row r="83">
      <x:c r="A83" s="2"/>
      <x:c r="B83" s="2"/>
      <x:c r="C83" s="2"/>
      <x:c r="D83" s="2"/>
      <x:c r="E83" s="2"/>
      <x:c r="F83" s="2"/>
      <x:c r="G83" s="2"/>
      <x:c r="H83" s="12"/>
      <x:c r="I83" s="12"/>
      <x:c r="J83" s="12"/>
    </x:row>
    <x:row r="84">
      <x:c r="A84" s="2"/>
      <x:c r="B84" s="2"/>
      <x:c r="C84" s="2"/>
      <x:c r="D84" s="2"/>
      <x:c r="E84" s="2"/>
      <x:c r="F84" s="2"/>
      <x:c r="G84" s="2"/>
      <x:c r="H84" s="12"/>
      <x:c r="I84" s="12"/>
      <x:c r="J84" s="12"/>
    </x:row>
    <x:row r="85">
      <x:c r="A85" s="2"/>
      <x:c r="B85" s="2"/>
      <x:c r="C85" s="2"/>
      <x:c r="D85" s="2"/>
      <x:c r="E85" s="2"/>
      <x:c r="F85" s="2"/>
      <x:c r="G85" s="2"/>
      <x:c r="H85" s="12"/>
      <x:c r="I85" s="12"/>
      <x:c r="J85" s="12"/>
    </x:row>
    <x:row r="86">
      <x:c r="A86" s="2"/>
      <x:c r="B86" s="2"/>
      <x:c r="C86" s="2"/>
      <x:c r="D86" s="2"/>
      <x:c r="E86" s="2"/>
      <x:c r="F86" s="2"/>
      <x:c r="G86" s="2"/>
      <x:c r="H86" s="12"/>
      <x:c r="I86" s="12"/>
      <x:c r="J86" s="12"/>
    </x:row>
    <x:row r="87">
      <x:c r="A87" s="2"/>
      <x:c r="B87" s="2"/>
      <x:c r="C87" s="2"/>
      <x:c r="D87" s="2"/>
      <x:c r="E87" s="2"/>
      <x:c r="F87" s="2"/>
      <x:c r="G87" s="2"/>
      <x:c r="H87" s="12"/>
      <x:c r="I87" s="12"/>
      <x:c r="J87" s="12"/>
    </x:row>
    <x:row r="88">
      <x:c r="A88" s="2"/>
      <x:c r="B88" s="2"/>
      <x:c r="C88" s="2"/>
      <x:c r="D88" s="2"/>
      <x:c r="E88" s="2"/>
      <x:c r="F88" s="2"/>
      <x:c r="G88" s="2"/>
      <x:c r="H88" s="12"/>
      <x:c r="I88" s="12"/>
      <x:c r="J88" s="12"/>
    </x:row>
    <x:row r="89">
      <x:c r="A89" s="2"/>
      <x:c r="B89" s="2"/>
      <x:c r="C89" s="2"/>
      <x:c r="D89" s="2"/>
      <x:c r="E89" s="2"/>
      <x:c r="F89" s="2"/>
      <x:c r="G89" s="2"/>
      <x:c r="H89" s="12"/>
      <x:c r="I89" s="12"/>
      <x:c r="J89" s="12"/>
    </x:row>
    <x:row r="90">
      <x:c r="A90" s="2"/>
      <x:c r="B90" s="2"/>
      <x:c r="C90" s="2"/>
      <x:c r="D90" s="2"/>
      <x:c r="E90" s="2"/>
      <x:c r="F90" s="2"/>
      <x:c r="G90" s="2"/>
      <x:c r="H90" s="12"/>
      <x:c r="I90" s="12"/>
      <x:c r="J90" s="12"/>
    </x:row>
    <x:row r="91">
      <x:c r="A91" s="2"/>
      <x:c r="B91" s="2"/>
      <x:c r="C91" s="2"/>
      <x:c r="D91" s="2"/>
      <x:c r="E91" s="2"/>
      <x:c r="F91" s="2"/>
      <x:c r="G91" s="2"/>
      <x:c r="H91" s="12"/>
      <x:c r="I91" s="12"/>
      <x:c r="J91" s="12"/>
    </x:row>
    <x:row r="92">
      <x:c r="A92" s="2"/>
      <x:c r="B92" s="2"/>
      <x:c r="C92" s="2"/>
      <x:c r="D92" s="2"/>
      <x:c r="E92" s="2"/>
      <x:c r="F92" s="2"/>
      <x:c r="G92" s="2"/>
      <x:c r="H92" s="12"/>
      <x:c r="I92" s="12"/>
      <x:c r="J92" s="12"/>
    </x:row>
    <x:row r="93">
      <x:c r="A93" s="2"/>
      <x:c r="B93" s="2"/>
      <x:c r="C93" s="2"/>
      <x:c r="D93" s="2"/>
      <x:c r="E93" s="2"/>
      <x:c r="F93" s="2"/>
      <x:c r="G93" s="2"/>
      <x:c r="H93" s="12"/>
      <x:c r="I93" s="12"/>
      <x:c r="J93" s="12"/>
    </x:row>
    <x:row r="94">
      <x:c r="A94" s="2"/>
      <x:c r="B94" s="2"/>
      <x:c r="C94" s="2"/>
      <x:c r="D94" s="2"/>
      <x:c r="E94" s="2"/>
      <x:c r="F94" s="2"/>
      <x:c r="G94" s="2"/>
      <x:c r="H94" s="12"/>
      <x:c r="I94" s="12"/>
      <x:c r="J94" s="12"/>
    </x:row>
    <x:row r="95">
      <x:c r="A95" s="2"/>
      <x:c r="B95" s="2"/>
      <x:c r="C95" s="2"/>
      <x:c r="D95" s="2"/>
      <x:c r="E95" s="2"/>
      <x:c r="F95" s="2"/>
      <x:c r="G95" s="2"/>
      <x:c r="H95" s="12"/>
      <x:c r="I95" s="12"/>
      <x:c r="J95" s="12"/>
    </x:row>
    <x:row r="96">
      <x:c r="A96" s="2"/>
      <x:c r="B96" s="2"/>
      <x:c r="C96" s="2"/>
      <x:c r="D96" s="2"/>
      <x:c r="E96" s="2"/>
      <x:c r="F96" s="2"/>
      <x:c r="G96" s="2"/>
      <x:c r="H96" s="12"/>
      <x:c r="I96" s="12"/>
      <x:c r="J96" s="12"/>
    </x:row>
    <x:row r="97">
      <x:c r="A97" s="2"/>
      <x:c r="B97" s="2"/>
      <x:c r="C97" s="2"/>
      <x:c r="D97" s="2"/>
      <x:c r="E97" s="2"/>
      <x:c r="F97" s="2"/>
      <x:c r="G97" s="2"/>
      <x:c r="H97" s="12"/>
      <x:c r="I97" s="12"/>
      <x:c r="J97" s="12"/>
    </x:row>
    <x:row r="98">
      <x:c r="A98" s="2"/>
      <x:c r="B98" s="2"/>
      <x:c r="C98" s="2"/>
      <x:c r="D98" s="2"/>
      <x:c r="E98" s="2"/>
      <x:c r="F98" s="2"/>
      <x:c r="G98" s="2"/>
      <x:c r="H98" s="12"/>
      <x:c r="I98" s="12"/>
      <x:c r="J98" s="12"/>
    </x:row>
    <x:row r="99">
      <x:c r="A99" s="2"/>
      <x:c r="B99" s="2"/>
      <x:c r="C99" s="2"/>
      <x:c r="D99" s="2"/>
      <x:c r="E99" s="2"/>
      <x:c r="F99" s="2"/>
      <x:c r="G99" s="2"/>
      <x:c r="H99" s="12"/>
      <x:c r="I99" s="12"/>
      <x:c r="J99" s="12"/>
    </x:row>
    <x:row r="100">
      <x:c r="A100" s="2"/>
      <x:c r="B100" s="2"/>
      <x:c r="C100" s="2"/>
      <x:c r="D100" s="2"/>
      <x:c r="E100" s="2"/>
      <x:c r="F100" s="2"/>
      <x:c r="G100" s="2"/>
      <x:c r="H100" s="12"/>
      <x:c r="I100" s="12"/>
      <x:c r="J100" s="12"/>
    </x:row>
    <x:row r="101">
      <x:c r="A101" s="2"/>
      <x:c r="B101" s="2"/>
      <x:c r="C101" s="2"/>
      <x:c r="D101" s="2"/>
      <x:c r="E101" s="2"/>
      <x:c r="F101" s="2"/>
      <x:c r="G101" s="2"/>
      <x:c r="H101" s="12"/>
      <x:c r="I101" s="12"/>
      <x:c r="J101" s="12"/>
    </x:row>
    <x:row r="102">
      <x:c r="A102" s="2"/>
      <x:c r="B102" s="2"/>
      <x:c r="C102" s="2"/>
      <x:c r="D102" s="2"/>
      <x:c r="E102" s="2"/>
      <x:c r="F102" s="2"/>
      <x:c r="G102" s="2"/>
      <x:c r="H102" s="12"/>
      <x:c r="I102" s="12"/>
      <x:c r="J102" s="12"/>
    </x:row>
    <x:row r="103">
      <x:c r="A103" s="2"/>
      <x:c r="B103" s="2"/>
      <x:c r="C103" s="2"/>
      <x:c r="D103" s="2"/>
      <x:c r="E103" s="2"/>
      <x:c r="F103" s="2"/>
      <x:c r="G103" s="2"/>
      <x:c r="H103" s="12"/>
      <x:c r="I103" s="12"/>
      <x:c r="J103" s="12"/>
    </x:row>
    <x:row r="104">
      <x:c r="A104" s="2"/>
      <x:c r="B104" s="2"/>
      <x:c r="C104" s="2"/>
      <x:c r="D104" s="2"/>
      <x:c r="E104" s="2"/>
      <x:c r="F104" s="2"/>
      <x:c r="G104" s="2"/>
      <x:c r="H104" s="12"/>
      <x:c r="I104" s="12"/>
      <x:c r="J104" s="12"/>
    </x:row>
    <x:row r="105">
      <x:c r="A105" s="2"/>
      <x:c r="B105" s="2"/>
      <x:c r="C105" s="2"/>
      <x:c r="D105" s="2"/>
      <x:c r="E105" s="2"/>
      <x:c r="F105" s="2"/>
      <x:c r="G105" s="2"/>
      <x:c r="H105" s="12"/>
      <x:c r="I105" s="12"/>
      <x:c r="J105" s="12"/>
    </x:row>
    <x:row r="106">
      <x:c r="A106" s="2"/>
      <x:c r="B106" s="2"/>
      <x:c r="C106" s="2"/>
      <x:c r="D106" s="2"/>
      <x:c r="E106" s="2"/>
      <x:c r="F106" s="2"/>
      <x:c r="G106" s="2"/>
      <x:c r="H106" s="12"/>
      <x:c r="I106" s="12"/>
      <x:c r="J106" s="12"/>
    </x:row>
    <x:row r="107">
      <x:c r="A107" s="2"/>
      <x:c r="B107" s="2"/>
      <x:c r="C107" s="2"/>
      <x:c r="D107" s="2"/>
      <x:c r="E107" s="2"/>
      <x:c r="F107" s="2"/>
      <x:c r="G107" s="2"/>
      <x:c r="H107" s="12"/>
      <x:c r="I107" s="12"/>
      <x:c r="J107" s="12"/>
    </x:row>
    <x:row r="108">
      <x:c r="A108" s="2"/>
      <x:c r="B108" s="2"/>
      <x:c r="C108" s="2"/>
      <x:c r="D108" s="2"/>
      <x:c r="E108" s="2"/>
      <x:c r="F108" s="2"/>
      <x:c r="G108" s="2"/>
      <x:c r="H108" s="12"/>
      <x:c r="I108" s="12"/>
      <x:c r="J108" s="12"/>
    </x:row>
    <x:row r="109">
      <x:c r="A109" s="2"/>
      <x:c r="B109" s="2"/>
      <x:c r="C109" s="2"/>
      <x:c r="D109" s="2"/>
      <x:c r="E109" s="2"/>
      <x:c r="F109" s="2"/>
      <x:c r="G109" s="2"/>
      <x:c r="H109" s="12"/>
      <x:c r="I109" s="12"/>
      <x:c r="J109" s="12"/>
    </x:row>
    <x:row r="110">
      <x:c r="A110" s="2"/>
      <x:c r="B110" s="2"/>
      <x:c r="C110" s="2"/>
      <x:c r="D110" s="2"/>
      <x:c r="E110" s="2"/>
      <x:c r="F110" s="2"/>
      <x:c r="G110" s="2"/>
      <x:c r="H110" s="12"/>
      <x:c r="I110" s="12"/>
      <x:c r="J110" s="12"/>
    </x:row>
    <x:row r="111">
      <x:c r="A111" s="2"/>
      <x:c r="B111" s="2"/>
      <x:c r="C111" s="2"/>
      <x:c r="D111" s="2"/>
      <x:c r="E111" s="2"/>
      <x:c r="F111" s="2"/>
      <x:c r="G111" s="2"/>
      <x:c r="H111" s="12"/>
      <x:c r="I111" s="12"/>
      <x:c r="J111" s="12"/>
    </x:row>
    <x:row r="112">
      <x:c r="A112" s="2"/>
      <x:c r="B112" s="2"/>
      <x:c r="C112" s="2"/>
      <x:c r="D112" s="2"/>
      <x:c r="E112" s="2"/>
      <x:c r="F112" s="2"/>
      <x:c r="G112" s="2"/>
      <x:c r="H112" s="12"/>
      <x:c r="I112" s="12"/>
      <x:c r="J112" s="12"/>
    </x:row>
    <x:row r="113">
      <x:c r="A113" s="2"/>
      <x:c r="B113" s="2"/>
      <x:c r="C113" s="2"/>
      <x:c r="D113" s="2"/>
      <x:c r="E113" s="2"/>
      <x:c r="F113" s="2"/>
      <x:c r="G113" s="2"/>
      <x:c r="H113" s="12"/>
      <x:c r="I113" s="12"/>
      <x:c r="J113" s="12"/>
    </x:row>
    <x:row r="114">
      <x:c r="A114" s="2"/>
      <x:c r="B114" s="2"/>
      <x:c r="C114" s="2"/>
      <x:c r="D114" s="2"/>
      <x:c r="E114" s="2"/>
      <x:c r="F114" s="2"/>
      <x:c r="G114" s="2"/>
      <x:c r="H114" s="12"/>
      <x:c r="I114" s="12"/>
      <x:c r="J114" s="12"/>
    </x:row>
    <x:row r="115">
      <x:c r="A115" s="2"/>
      <x:c r="B115" s="2"/>
      <x:c r="C115" s="2"/>
      <x:c r="D115" s="2"/>
      <x:c r="E115" s="2"/>
      <x:c r="F115" s="2"/>
      <x:c r="G115" s="2"/>
      <x:c r="H115" s="12"/>
      <x:c r="I115" s="12"/>
      <x:c r="J115" s="12"/>
    </x:row>
    <x:row r="116">
      <x:c r="A116" s="2"/>
      <x:c r="B116" s="2"/>
      <x:c r="C116" s="2"/>
      <x:c r="D116" s="2"/>
      <x:c r="E116" s="2"/>
      <x:c r="F116" s="2"/>
      <x:c r="G116" s="2"/>
      <x:c r="H116" s="12"/>
      <x:c r="I116" s="12"/>
      <x:c r="J116" s="12"/>
    </x:row>
    <x:row r="117">
      <x:c r="A117" s="2"/>
      <x:c r="B117" s="2"/>
      <x:c r="C117" s="2"/>
      <x:c r="D117" s="2"/>
      <x:c r="E117" s="2"/>
      <x:c r="F117" s="2"/>
      <x:c r="G117" s="2"/>
      <x:c r="H117" s="12"/>
      <x:c r="I117" s="12"/>
      <x:c r="J117" s="12"/>
    </x:row>
    <x:row r="118">
      <x:c r="A118" s="2"/>
      <x:c r="B118" s="2"/>
      <x:c r="C118" s="2"/>
      <x:c r="D118" s="2"/>
      <x:c r="E118" s="2"/>
      <x:c r="F118" s="2"/>
      <x:c r="G118" s="2"/>
      <x:c r="H118" s="12"/>
      <x:c r="I118" s="12"/>
      <x:c r="J118" s="12"/>
    </x:row>
    <x:row r="119">
      <x:c r="A119" s="2"/>
      <x:c r="B119" s="2"/>
      <x:c r="C119" s="2"/>
      <x:c r="D119" s="2"/>
      <x:c r="E119" s="2"/>
      <x:c r="F119" s="2"/>
      <x:c r="G119" s="2"/>
      <x:c r="H119" s="12"/>
      <x:c r="I119" s="12"/>
      <x:c r="J119" s="12"/>
    </x:row>
    <x:row r="120">
      <x:c r="A120" s="2"/>
      <x:c r="B120" s="2"/>
      <x:c r="C120" s="2"/>
      <x:c r="D120" s="2"/>
      <x:c r="E120" s="2"/>
      <x:c r="F120" s="2"/>
      <x:c r="G120" s="2"/>
      <x:c r="H120" s="12"/>
      <x:c r="I120" s="12"/>
      <x:c r="J120" s="12"/>
    </x:row>
    <x:row r="121">
      <x:c r="A121" s="2"/>
      <x:c r="B121" s="2"/>
      <x:c r="C121" s="2"/>
      <x:c r="D121" s="2"/>
      <x:c r="E121" s="2"/>
      <x:c r="F121" s="2"/>
      <x:c r="G121" s="2"/>
      <x:c r="H121" s="12"/>
      <x:c r="I121" s="12"/>
      <x:c r="J121" s="12"/>
    </x:row>
    <x:row r="122">
      <x:c r="A122" s="2"/>
      <x:c r="B122" s="2"/>
      <x:c r="C122" s="2"/>
      <x:c r="D122" s="2"/>
      <x:c r="E122" s="2"/>
      <x:c r="F122" s="2"/>
      <x:c r="G122" s="2"/>
      <x:c r="H122" s="12"/>
      <x:c r="I122" s="12"/>
      <x:c r="J122" s="12"/>
    </x:row>
    <x:row r="123">
      <x:c r="A123" s="2"/>
      <x:c r="B123" s="2"/>
      <x:c r="C123" s="2"/>
      <x:c r="D123" s="2"/>
      <x:c r="E123" s="2"/>
      <x:c r="F123" s="2"/>
      <x:c r="G123" s="2"/>
      <x:c r="H123" s="12"/>
      <x:c r="I123" s="12"/>
      <x:c r="J123" s="12"/>
    </x:row>
    <x:row r="124">
      <x:c r="A124" s="2"/>
      <x:c r="B124" s="2"/>
      <x:c r="C124" s="2"/>
      <x:c r="D124" s="2"/>
      <x:c r="E124" s="2"/>
      <x:c r="F124" s="2"/>
      <x:c r="G124" s="2"/>
      <x:c r="H124" s="12"/>
      <x:c r="I124" s="12"/>
      <x:c r="J124" s="12"/>
    </x:row>
    <x:row r="125">
      <x:c r="A125" s="2"/>
      <x:c r="B125" s="2"/>
      <x:c r="C125" s="2"/>
      <x:c r="D125" s="2"/>
      <x:c r="E125" s="2"/>
      <x:c r="F125" s="2"/>
      <x:c r="G125" s="2"/>
      <x:c r="H125" s="12"/>
      <x:c r="I125" s="12"/>
      <x:c r="J125" s="12"/>
    </x:row>
    <x:row r="126">
      <x:c r="A126" s="2"/>
      <x:c r="B126" s="2"/>
      <x:c r="C126" s="2"/>
      <x:c r="D126" s="2"/>
      <x:c r="E126" s="2"/>
      <x:c r="F126" s="2"/>
      <x:c r="G126" s="2"/>
      <x:c r="H126" s="12"/>
      <x:c r="I126" s="12"/>
      <x:c r="J126" s="12"/>
    </x:row>
    <x:row r="127">
      <x:c r="A127" s="2"/>
      <x:c r="B127" s="2"/>
      <x:c r="C127" s="2"/>
      <x:c r="D127" s="2"/>
      <x:c r="E127" s="2"/>
      <x:c r="F127" s="2"/>
      <x:c r="G127" s="2"/>
      <x:c r="H127" s="12"/>
      <x:c r="I127" s="12"/>
      <x:c r="J127" s="12"/>
    </x:row>
    <x:row r="128">
      <x:c r="A128" s="2"/>
      <x:c r="B128" s="2"/>
      <x:c r="C128" s="2"/>
      <x:c r="D128" s="2"/>
      <x:c r="E128" s="2"/>
      <x:c r="F128" s="2"/>
      <x:c r="G128" s="2"/>
      <x:c r="H128" s="12"/>
      <x:c r="I128" s="12"/>
      <x:c r="J128" s="12"/>
    </x:row>
    <x:row r="129">
      <x:c r="A129" s="2"/>
      <x:c r="B129" s="2"/>
      <x:c r="C129" s="2"/>
      <x:c r="D129" s="2"/>
      <x:c r="E129" s="2"/>
      <x:c r="F129" s="2"/>
      <x:c r="G129" s="2"/>
      <x:c r="H129" s="12"/>
      <x:c r="I129" s="12"/>
      <x:c r="J129" s="12"/>
    </x:row>
    <x:row r="130">
      <x:c r="A130" s="2"/>
      <x:c r="B130" s="2"/>
      <x:c r="C130" s="2"/>
      <x:c r="D130" s="2"/>
      <x:c r="E130" s="2"/>
      <x:c r="F130" s="2"/>
      <x:c r="G130" s="2"/>
      <x:c r="H130" s="12"/>
      <x:c r="I130" s="12"/>
      <x:c r="J130" s="12"/>
    </x:row>
    <x:row r="131">
      <x:c r="A131" s="2"/>
      <x:c r="B131" s="2"/>
      <x:c r="C131" s="2"/>
      <x:c r="D131" s="2"/>
      <x:c r="E131" s="2"/>
      <x:c r="F131" s="2"/>
      <x:c r="G131" s="2"/>
      <x:c r="H131" s="12"/>
      <x:c r="I131" s="12"/>
      <x:c r="J131" s="12"/>
    </x:row>
    <x:row r="132">
      <x:c r="A132" s="2"/>
      <x:c r="B132" s="2"/>
      <x:c r="C132" s="2"/>
      <x:c r="D132" s="2"/>
      <x:c r="E132" s="2"/>
      <x:c r="F132" s="2"/>
      <x:c r="G132" s="2"/>
      <x:c r="H132" s="12"/>
      <x:c r="I132" s="12"/>
      <x:c r="J132" s="12"/>
    </x:row>
    <x:row r="133">
      <x:c r="A133" s="2"/>
      <x:c r="B133" s="2"/>
      <x:c r="C133" s="2"/>
      <x:c r="D133" s="2"/>
      <x:c r="E133" s="2"/>
      <x:c r="F133" s="2"/>
      <x:c r="G133" s="2"/>
      <x:c r="H133" s="12"/>
      <x:c r="I133" s="12"/>
      <x:c r="J133" s="12"/>
    </x:row>
    <x:row r="134">
      <x:c r="A134" s="2"/>
      <x:c r="B134" s="2"/>
      <x:c r="C134" s="2"/>
      <x:c r="D134" s="2"/>
      <x:c r="E134" s="2"/>
      <x:c r="F134" s="2"/>
      <x:c r="G134" s="2"/>
      <x:c r="H134" s="12"/>
      <x:c r="I134" s="12"/>
      <x:c r="J134" s="12"/>
    </x:row>
    <x:row r="135">
      <x:c r="A135" s="2"/>
      <x:c r="B135" s="2"/>
      <x:c r="C135" s="2"/>
      <x:c r="D135" s="2"/>
      <x:c r="E135" s="2"/>
      <x:c r="F135" s="2"/>
      <x:c r="G135" s="2"/>
      <x:c r="H135" s="12"/>
      <x:c r="I135" s="12"/>
      <x:c r="J135" s="12"/>
    </x:row>
    <x:row r="136">
      <x:c r="A136" s="2"/>
      <x:c r="B136" s="2"/>
      <x:c r="C136" s="2"/>
      <x:c r="D136" s="2"/>
      <x:c r="E136" s="2"/>
      <x:c r="F136" s="2"/>
      <x:c r="G136" s="2"/>
      <x:c r="H136" s="12"/>
      <x:c r="I136" s="12"/>
      <x:c r="J136" s="12"/>
    </x:row>
    <x:row r="137">
      <x:c r="A137" s="2"/>
      <x:c r="B137" s="2"/>
      <x:c r="C137" s="2"/>
      <x:c r="D137" s="2"/>
      <x:c r="E137" s="2"/>
      <x:c r="F137" s="2"/>
      <x:c r="G137" s="2"/>
      <x:c r="H137" s="12"/>
      <x:c r="I137" s="12"/>
      <x:c r="J137" s="12"/>
    </x:row>
    <x:row r="138">
      <x:c r="A138" s="2"/>
      <x:c r="B138" s="2"/>
      <x:c r="C138" s="2"/>
      <x:c r="D138" s="2"/>
      <x:c r="E138" s="2"/>
      <x:c r="F138" s="2"/>
      <x:c r="G138" s="2"/>
      <x:c r="H138" s="12"/>
      <x:c r="I138" s="12"/>
      <x:c r="J138" s="12"/>
    </x:row>
    <x:row r="139">
      <x:c r="A139" s="2"/>
      <x:c r="B139" s="2"/>
      <x:c r="C139" s="2"/>
      <x:c r="D139" s="2"/>
      <x:c r="E139" s="2"/>
      <x:c r="F139" s="2"/>
      <x:c r="G139" s="2"/>
      <x:c r="H139" s="12"/>
      <x:c r="I139" s="12"/>
      <x:c r="J139" s="12"/>
    </x:row>
    <x:row r="140">
      <x:c r="A140" s="2"/>
      <x:c r="B140" s="2"/>
      <x:c r="C140" s="2"/>
      <x:c r="D140" s="2"/>
      <x:c r="E140" s="2"/>
      <x:c r="F140" s="2"/>
      <x:c r="G140" s="2"/>
      <x:c r="H140" s="12"/>
      <x:c r="I140" s="12"/>
      <x:c r="J140" s="12"/>
    </x:row>
    <x:row r="141">
      <x:c r="A141" s="2"/>
      <x:c r="B141" s="2"/>
      <x:c r="C141" s="2"/>
      <x:c r="D141" s="2"/>
      <x:c r="E141" s="2"/>
      <x:c r="F141" s="2"/>
      <x:c r="G141" s="2"/>
      <x:c r="H141" s="12"/>
      <x:c r="I141" s="12"/>
      <x:c r="J141" s="12"/>
    </x:row>
    <x:row r="142">
      <x:c r="A142" s="2"/>
      <x:c r="B142" s="2"/>
      <x:c r="C142" s="2"/>
      <x:c r="D142" s="2"/>
      <x:c r="E142" s="2"/>
      <x:c r="F142" s="2"/>
      <x:c r="G142" s="2"/>
      <x:c r="H142" s="12"/>
      <x:c r="I142" s="12"/>
      <x:c r="J142" s="12"/>
    </x:row>
    <x:row r="143">
      <x:c r="A143" s="2"/>
      <x:c r="B143" s="2"/>
      <x:c r="C143" s="2"/>
      <x:c r="D143" s="2"/>
      <x:c r="E143" s="2"/>
      <x:c r="F143" s="2"/>
      <x:c r="G143" s="2"/>
      <x:c r="H143" s="12"/>
      <x:c r="I143" s="12"/>
      <x:c r="J143" s="12"/>
    </x:row>
    <x:row r="144">
      <x:c r="A144" s="2"/>
      <x:c r="B144" s="2"/>
      <x:c r="C144" s="2"/>
      <x:c r="D144" s="2"/>
      <x:c r="E144" s="2"/>
      <x:c r="F144" s="2"/>
      <x:c r="G144" s="2"/>
      <x:c r="H144" s="12"/>
      <x:c r="I144" s="12"/>
      <x:c r="J144" s="12"/>
    </x:row>
    <x:row r="145">
      <x:c r="A145" s="2"/>
      <x:c r="B145" s="2"/>
      <x:c r="C145" s="2"/>
      <x:c r="D145" s="2"/>
      <x:c r="E145" s="2"/>
      <x:c r="F145" s="2"/>
      <x:c r="G145" s="2"/>
      <x:c r="H145" s="12"/>
      <x:c r="I145" s="12"/>
      <x:c r="J145" s="12"/>
    </x:row>
    <x:row r="146">
      <x:c r="A146" s="2"/>
      <x:c r="B146" s="2"/>
      <x:c r="C146" s="2"/>
      <x:c r="D146" s="2"/>
      <x:c r="E146" s="2"/>
      <x:c r="F146" s="2"/>
      <x:c r="G146" s="2"/>
      <x:c r="H146" s="12"/>
      <x:c r="I146" s="12"/>
      <x:c r="J146" s="12"/>
    </x:row>
    <x:row r="147">
      <x:c r="A147" s="2"/>
      <x:c r="B147" s="2"/>
      <x:c r="C147" s="2"/>
      <x:c r="D147" s="2"/>
      <x:c r="E147" s="2"/>
      <x:c r="F147" s="2"/>
      <x:c r="G147" s="2"/>
      <x:c r="H147" s="12"/>
      <x:c r="I147" s="12"/>
      <x:c r="J147" s="12"/>
    </x:row>
    <x:row r="148">
      <x:c r="A148" s="2"/>
      <x:c r="B148" s="2"/>
      <x:c r="C148" s="2"/>
      <x:c r="D148" s="2"/>
      <x:c r="E148" s="2"/>
      <x:c r="F148" s="2"/>
      <x:c r="G148" s="2"/>
      <x:c r="H148" s="12"/>
      <x:c r="I148" s="12"/>
      <x:c r="J148" s="12"/>
    </x:row>
    <x:row r="149">
      <x:c r="A149" s="2"/>
      <x:c r="B149" s="2"/>
      <x:c r="C149" s="2"/>
      <x:c r="D149" s="2"/>
      <x:c r="E149" s="2"/>
      <x:c r="F149" s="2"/>
      <x:c r="G149" s="2"/>
      <x:c r="H149" s="12"/>
      <x:c r="I149" s="12"/>
      <x:c r="J149" s="12"/>
    </x:row>
    <x:row r="150">
      <x:c r="A150" s="2"/>
      <x:c r="B150" s="2"/>
      <x:c r="C150" s="2"/>
      <x:c r="D150" s="2"/>
      <x:c r="E150" s="2"/>
      <x:c r="F150" s="2"/>
      <x:c r="G150" s="2"/>
      <x:c r="H150" s="12"/>
      <x:c r="I150" s="12"/>
      <x:c r="J150" s="12"/>
    </x:row>
    <x:row r="151">
      <x:c r="A151" s="2"/>
      <x:c r="B151" s="2"/>
      <x:c r="C151" s="2"/>
      <x:c r="D151" s="2"/>
      <x:c r="E151" s="2"/>
      <x:c r="F151" s="2"/>
      <x:c r="G151" s="2"/>
      <x:c r="H151" s="12"/>
      <x:c r="I151" s="12"/>
      <x:c r="J151" s="12"/>
    </x:row>
    <x:row r="152">
      <x:c r="A152" s="2"/>
      <x:c r="B152" s="2"/>
      <x:c r="C152" s="2"/>
      <x:c r="D152" s="2"/>
      <x:c r="E152" s="2"/>
      <x:c r="F152" s="2"/>
      <x:c r="G152" s="2"/>
      <x:c r="H152" s="12"/>
      <x:c r="I152" s="12"/>
      <x:c r="J152" s="12"/>
    </x:row>
    <x:row r="153">
      <x:c r="A153" s="2"/>
      <x:c r="B153" s="2"/>
      <x:c r="C153" s="2"/>
      <x:c r="D153" s="2"/>
      <x:c r="E153" s="2"/>
      <x:c r="F153" s="2"/>
      <x:c r="G153" s="2"/>
      <x:c r="H153" s="12"/>
      <x:c r="I153" s="12"/>
      <x:c r="J153" s="12"/>
    </x:row>
    <x:row r="154">
      <x:c r="A154" s="2"/>
      <x:c r="B154" s="2"/>
      <x:c r="C154" s="2"/>
      <x:c r="D154" s="2"/>
      <x:c r="E154" s="2"/>
      <x:c r="F154" s="2"/>
      <x:c r="G154" s="2"/>
      <x:c r="H154" s="12"/>
      <x:c r="I154" s="12"/>
      <x:c r="J154" s="12"/>
    </x:row>
    <x:row r="155">
      <x:c r="A155" s="2"/>
      <x:c r="B155" s="2"/>
      <x:c r="C155" s="2"/>
      <x:c r="D155" s="2"/>
      <x:c r="E155" s="2"/>
      <x:c r="F155" s="2"/>
      <x:c r="G155" s="2"/>
      <x:c r="H155" s="12"/>
      <x:c r="I155" s="12"/>
      <x:c r="J155" s="12"/>
    </x:row>
    <x:row r="156">
      <x:c r="A156" s="2"/>
      <x:c r="B156" s="2"/>
      <x:c r="C156" s="2"/>
      <x:c r="D156" s="2"/>
      <x:c r="E156" s="2"/>
      <x:c r="F156" s="2"/>
      <x:c r="G156" s="2"/>
      <x:c r="H156" s="12"/>
      <x:c r="I156" s="12"/>
      <x:c r="J156" s="12"/>
    </x:row>
    <x:row r="157">
      <x:c r="A157" s="2"/>
      <x:c r="B157" s="2"/>
      <x:c r="C157" s="2"/>
      <x:c r="D157" s="2"/>
      <x:c r="E157" s="2"/>
      <x:c r="F157" s="2"/>
      <x:c r="G157" s="2"/>
      <x:c r="H157" s="12"/>
      <x:c r="I157" s="12"/>
      <x:c r="J157" s="12"/>
    </x:row>
    <x:row r="158">
      <x:c r="A158" s="2"/>
      <x:c r="B158" s="2"/>
      <x:c r="C158" s="2"/>
      <x:c r="D158" s="2"/>
      <x:c r="E158" s="2"/>
      <x:c r="F158" s="2"/>
      <x:c r="G158" s="2"/>
      <x:c r="H158" s="12"/>
      <x:c r="I158" s="12"/>
      <x:c r="J158" s="12"/>
    </x:row>
    <x:row r="159">
      <x:c r="A159" s="2"/>
      <x:c r="B159" s="2"/>
      <x:c r="C159" s="2"/>
      <x:c r="D159" s="2"/>
      <x:c r="E159" s="2"/>
      <x:c r="F159" s="2"/>
      <x:c r="G159" s="2"/>
      <x:c r="H159" s="12"/>
      <x:c r="I159" s="12"/>
      <x:c r="J159" s="12"/>
    </x:row>
    <x:row r="160">
      <x:c r="A160" s="2"/>
      <x:c r="B160" s="2"/>
      <x:c r="C160" s="2"/>
      <x:c r="D160" s="2"/>
      <x:c r="E160" s="2"/>
      <x:c r="F160" s="2"/>
      <x:c r="G160" s="2"/>
      <x:c r="H160" s="12"/>
      <x:c r="I160" s="12"/>
      <x:c r="J160" s="12"/>
    </x:row>
    <x:row r="161">
      <x:c r="A161" s="2"/>
      <x:c r="B161" s="2"/>
      <x:c r="C161" s="2"/>
      <x:c r="D161" s="2"/>
      <x:c r="E161" s="2"/>
      <x:c r="F161" s="2"/>
      <x:c r="G161" s="2"/>
      <x:c r="H161" s="12"/>
      <x:c r="I161" s="12"/>
      <x:c r="J161" s="12"/>
    </x:row>
    <x:row r="162">
      <x:c r="A162" s="2"/>
      <x:c r="B162" s="2"/>
      <x:c r="C162" s="2"/>
      <x:c r="D162" s="2"/>
      <x:c r="E162" s="2"/>
      <x:c r="F162" s="2"/>
      <x:c r="G162" s="2"/>
      <x:c r="H162" s="12"/>
      <x:c r="I162" s="12"/>
      <x:c r="J162" s="12"/>
    </x:row>
    <x:row r="163">
      <x:c r="A163" s="2"/>
      <x:c r="B163" s="2"/>
      <x:c r="C163" s="2"/>
      <x:c r="D163" s="2"/>
      <x:c r="E163" s="2"/>
      <x:c r="F163" s="2"/>
      <x:c r="G163" s="2"/>
      <x:c r="H163" s="12"/>
      <x:c r="I163" s="12"/>
      <x:c r="J163" s="12"/>
    </x:row>
  </x:sheetData>
  <x:mergeCells>
    <x:mergeCell ref="A2:J2"/>
    <x:mergeCell ref="H8:J8"/>
    <x:mergeCell ref="H62:J62"/>
  </x:mergeCells>
  <x:dataValidations count="2">
    <x:dataValidation type="list" sqref="J10:J59">
      <x:formula1>"No,Yes"</x:formula1>
    </x:dataValidation>
    <x:dataValidation type="list" sqref="J64:J163">
      <x:formula1>"No,Yes"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d0211ad7f27f467d"/>
    <x:tablePart xmlns:r="http://schemas.openxmlformats.org/officeDocument/2006/relationships" r:id="Rbad8f9e9ce1d4715"/>
    <x:tablePart xmlns:r="http://schemas.openxmlformats.org/officeDocument/2006/relationships" r:id="R725a34faddaa472d"/>
  </x:tableParts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20" hidden="0" customWidth="1"/>
    <x:col min="4" max="4" width="20" hidden="0" customWidth="1"/>
    <x:col min="5" max="5" width="28" hidden="0" customWidth="1"/>
    <x:col min="6" max="6" width="3" hidden="0" customWidth="1"/>
    <x:col min="7" max="7" width="19" hidden="0" customWidth="1"/>
    <x:col min="8" max="8" width="15" hidden="0" customWidth="1"/>
    <x:col min="9" max="9" width="14" hidden="0" customWidth="1"/>
    <x:col min="10" max="10" width="25" hidden="0" customWidth="1"/>
  </x:cols>
  <x:sheetData>
    <x:row r="1" ht="27" customHeight="1">
      <x:c r="A1" s="3" t="str">
        <x:v>Time Off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5" t="str">
        <x:v>Use Group = All for an office holiday, or enter the exact group for a group-specific day. Duplicate holidays count once. PTO is capped at daily hours and ignored on weekends or holidays.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11" t="str">
        <x:v>Office and group holidays</x:v>
      </x:c>
      <x:c r="B6" s="11"/>
      <x:c r="C6" s="11"/>
      <x:c r="D6" s="11"/>
      <x:c r="E6" s="11"/>
      <x:c r="F6" s="2"/>
      <x:c r="G6" s="11" t="str">
        <x:v>Personal time off</x:v>
      </x:c>
      <x:c r="H6" s="11"/>
      <x:c r="I6" s="11"/>
      <x:c r="J6" s="11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0" customHeight="1">
      <x:c r="A8" s="19" t="str">
        <x:v>Date</x:v>
      </x:c>
      <x:c r="B8" s="19" t="str">
        <x:v>Holiday</x:v>
      </x:c>
      <x:c r="C8" s="19" t="str">
        <x:v>Office location</x:v>
      </x:c>
      <x:c r="D8" s="19" t="str">
        <x:v>Group or All</x:v>
      </x:c>
      <x:c r="E8" s="19" t="str">
        <x:v>Input check</x:v>
      </x:c>
      <x:c r="F8" s="2"/>
      <x:c r="G8" s="19" t="str">
        <x:v>Member</x:v>
      </x:c>
      <x:c r="H8" s="19" t="str">
        <x:v>Date</x:v>
      </x:c>
      <x:c r="I8" s="19" t="str">
        <x:v>PTO hours</x:v>
      </x:c>
      <x:c r="J8" s="19" t="str">
        <x:v>Input check</x:v>
      </x:c>
    </x:row>
    <x:row r="9">
      <x:c r="A9" s="20"/>
      <x:c r="B9" s="12"/>
      <x:c r="C9" s="12"/>
      <x:c r="D9" s="12"/>
      <x:c r="E9" s="13" t="str">
        <x:f>IF($A9="","",IF(NOT(ISNUMBER($A9)),"Enter a real date",IF(OR($B9="",$C9="",$D9=""),"Complete holiday fields",IF(COUNTIF('Team Setup'!$H$10:$H$59,$C9)&lt;&gt;1,"Check office location",IF($D9="All","Ready",IF(COUNTIFS('Team Setup'!$H$64:$H$163,$D9,'Team Setup'!$I$64:$I$163,$C9)=1,"Ready","Check group and location"))))))</x:f>
      </x:c>
      <x:c r="F9" s="2"/>
      <x:c r="G9" s="12"/>
      <x:c r="H9" s="20"/>
      <x:c r="I9" s="14"/>
      <x:c r="J9" s="13" t="str">
        <x:f>IF($G9="","",IF(OR(NOT(ISNUMBER($H9)),NOT(ISNUMBER($I9)),$I9&lt;=0),"Complete PTO fields",IF(COUNTIF('Team Setup'!$A$10:$A$34,$G9)=1,"Ready","Check member name")))</x:f>
      </x:c>
    </x:row>
    <x:row r="10">
      <x:c r="A10" s="20"/>
      <x:c r="B10" s="12"/>
      <x:c r="C10" s="12"/>
      <x:c r="D10" s="12"/>
      <x:c r="E10" s="13" t="str">
        <x:f>IF($A10="","",IF(NOT(ISNUMBER($A10)),"Enter a real date",IF(OR($B10="",$C10="",$D10=""),"Complete holiday fields",IF(COUNTIF('Team Setup'!$H$10:$H$59,$C10)&lt;&gt;1,"Check office location",IF($D10="All","Ready",IF(COUNTIFS('Team Setup'!$H$64:$H$163,$D10,'Team Setup'!$I$64:$I$163,$C10)=1,"Ready","Check group and location"))))))</x:f>
      </x:c>
      <x:c r="F10" s="2"/>
      <x:c r="G10" s="12"/>
      <x:c r="H10" s="20"/>
      <x:c r="I10" s="14"/>
      <x:c r="J10" s="13" t="str">
        <x:f>IF($G10="","",IF(OR(NOT(ISNUMBER($H10)),NOT(ISNUMBER($I10)),$I10&lt;=0),"Complete PTO fields",IF(COUNTIF('Team Setup'!$A$10:$A$34,$G10)=1,"Ready","Check member name")))</x:f>
      </x:c>
    </x:row>
    <x:row r="11">
      <x:c r="A11" s="20"/>
      <x:c r="B11" s="12"/>
      <x:c r="C11" s="12"/>
      <x:c r="D11" s="12"/>
      <x:c r="E11" s="13" t="str">
        <x:f>IF($A11="","",IF(NOT(ISNUMBER($A11)),"Enter a real date",IF(OR($B11="",$C11="",$D11=""),"Complete holiday fields",IF(COUNTIF('Team Setup'!$H$10:$H$59,$C11)&lt;&gt;1,"Check office location",IF($D11="All","Ready",IF(COUNTIFS('Team Setup'!$H$64:$H$163,$D11,'Team Setup'!$I$64:$I$163,$C11)=1,"Ready","Check group and location"))))))</x:f>
      </x:c>
      <x:c r="F11" s="2"/>
      <x:c r="G11" s="12"/>
      <x:c r="H11" s="20"/>
      <x:c r="I11" s="14"/>
      <x:c r="J11" s="13" t="str">
        <x:f>IF($G11="","",IF(OR(NOT(ISNUMBER($H11)),NOT(ISNUMBER($I11)),$I11&lt;=0),"Complete PTO fields",IF(COUNTIF('Team Setup'!$A$10:$A$34,$G11)=1,"Ready","Check member name")))</x:f>
      </x:c>
    </x:row>
    <x:row r="12">
      <x:c r="A12" s="20"/>
      <x:c r="B12" s="12"/>
      <x:c r="C12" s="12"/>
      <x:c r="D12" s="12"/>
      <x:c r="E12" s="13" t="str">
        <x:f>IF($A12="","",IF(NOT(ISNUMBER($A12)),"Enter a real date",IF(OR($B12="",$C12="",$D12=""),"Complete holiday fields",IF(COUNTIF('Team Setup'!$H$10:$H$59,$C12)&lt;&gt;1,"Check office location",IF($D12="All","Ready",IF(COUNTIFS('Team Setup'!$H$64:$H$163,$D12,'Team Setup'!$I$64:$I$163,$C12)=1,"Ready","Check group and location"))))))</x:f>
      </x:c>
      <x:c r="F12" s="2"/>
      <x:c r="G12" s="12"/>
      <x:c r="H12" s="20"/>
      <x:c r="I12" s="14"/>
      <x:c r="J12" s="13" t="str">
        <x:f>IF($G12="","",IF(OR(NOT(ISNUMBER($H12)),NOT(ISNUMBER($I12)),$I12&lt;=0),"Complete PTO fields",IF(COUNTIF('Team Setup'!$A$10:$A$34,$G12)=1,"Ready","Check member name")))</x:f>
      </x:c>
    </x:row>
    <x:row r="13">
      <x:c r="A13" s="20"/>
      <x:c r="B13" s="12"/>
      <x:c r="C13" s="12"/>
      <x:c r="D13" s="12"/>
      <x:c r="E13" s="13" t="str">
        <x:f>IF($A13="","",IF(NOT(ISNUMBER($A13)),"Enter a real date",IF(OR($B13="",$C13="",$D13=""),"Complete holiday fields",IF(COUNTIF('Team Setup'!$H$10:$H$59,$C13)&lt;&gt;1,"Check office location",IF($D13="All","Ready",IF(COUNTIFS('Team Setup'!$H$64:$H$163,$D13,'Team Setup'!$I$64:$I$163,$C13)=1,"Ready","Check group and location"))))))</x:f>
      </x:c>
      <x:c r="F13" s="2"/>
      <x:c r="G13" s="12"/>
      <x:c r="H13" s="20"/>
      <x:c r="I13" s="14"/>
      <x:c r="J13" s="13" t="str">
        <x:f>IF($G13="","",IF(OR(NOT(ISNUMBER($H13)),NOT(ISNUMBER($I13)),$I13&lt;=0),"Complete PTO fields",IF(COUNTIF('Team Setup'!$A$10:$A$34,$G13)=1,"Ready","Check member name")))</x:f>
      </x:c>
    </x:row>
    <x:row r="14">
      <x:c r="A14" s="20"/>
      <x:c r="B14" s="12"/>
      <x:c r="C14" s="12"/>
      <x:c r="D14" s="12"/>
      <x:c r="E14" s="13" t="str">
        <x:f>IF($A14="","",IF(NOT(ISNUMBER($A14)),"Enter a real date",IF(OR($B14="",$C14="",$D14=""),"Complete holiday fields",IF(COUNTIF('Team Setup'!$H$10:$H$59,$C14)&lt;&gt;1,"Check office location",IF($D14="All","Ready",IF(COUNTIFS('Team Setup'!$H$64:$H$163,$D14,'Team Setup'!$I$64:$I$163,$C14)=1,"Ready","Check group and location"))))))</x:f>
      </x:c>
      <x:c r="F14" s="2"/>
      <x:c r="G14" s="12"/>
      <x:c r="H14" s="20"/>
      <x:c r="I14" s="14"/>
      <x:c r="J14" s="13" t="str">
        <x:f>IF($G14="","",IF(OR(NOT(ISNUMBER($H14)),NOT(ISNUMBER($I14)),$I14&lt;=0),"Complete PTO fields",IF(COUNTIF('Team Setup'!$A$10:$A$34,$G14)=1,"Ready","Check member name")))</x:f>
      </x:c>
    </x:row>
    <x:row r="15">
      <x:c r="A15" s="20"/>
      <x:c r="B15" s="12"/>
      <x:c r="C15" s="12"/>
      <x:c r="D15" s="12"/>
      <x:c r="E15" s="13" t="str">
        <x:f>IF($A15="","",IF(NOT(ISNUMBER($A15)),"Enter a real date",IF(OR($B15="",$C15="",$D15=""),"Complete holiday fields",IF(COUNTIF('Team Setup'!$H$10:$H$59,$C15)&lt;&gt;1,"Check office location",IF($D15="All","Ready",IF(COUNTIFS('Team Setup'!$H$64:$H$163,$D15,'Team Setup'!$I$64:$I$163,$C15)=1,"Ready","Check group and location"))))))</x:f>
      </x:c>
      <x:c r="F15" s="2"/>
      <x:c r="G15" s="12"/>
      <x:c r="H15" s="20"/>
      <x:c r="I15" s="14"/>
      <x:c r="J15" s="13" t="str">
        <x:f>IF($G15="","",IF(OR(NOT(ISNUMBER($H15)),NOT(ISNUMBER($I15)),$I15&lt;=0),"Complete PTO fields",IF(COUNTIF('Team Setup'!$A$10:$A$34,$G15)=1,"Ready","Check member name")))</x:f>
      </x:c>
    </x:row>
    <x:row r="16">
      <x:c r="A16" s="20"/>
      <x:c r="B16" s="12"/>
      <x:c r="C16" s="12"/>
      <x:c r="D16" s="12"/>
      <x:c r="E16" s="13" t="str">
        <x:f>IF($A16="","",IF(NOT(ISNUMBER($A16)),"Enter a real date",IF(OR($B16="",$C16="",$D16=""),"Complete holiday fields",IF(COUNTIF('Team Setup'!$H$10:$H$59,$C16)&lt;&gt;1,"Check office location",IF($D16="All","Ready",IF(COUNTIFS('Team Setup'!$H$64:$H$163,$D16,'Team Setup'!$I$64:$I$163,$C16)=1,"Ready","Check group and location"))))))</x:f>
      </x:c>
      <x:c r="F16" s="2"/>
      <x:c r="G16" s="12"/>
      <x:c r="H16" s="20"/>
      <x:c r="I16" s="14"/>
      <x:c r="J16" s="13" t="str">
        <x:f>IF($G16="","",IF(OR(NOT(ISNUMBER($H16)),NOT(ISNUMBER($I16)),$I16&lt;=0),"Complete PTO fields",IF(COUNTIF('Team Setup'!$A$10:$A$34,$G16)=1,"Ready","Check member name")))</x:f>
      </x:c>
    </x:row>
    <x:row r="17">
      <x:c r="A17" s="20"/>
      <x:c r="B17" s="12"/>
      <x:c r="C17" s="12"/>
      <x:c r="D17" s="12"/>
      <x:c r="E17" s="13" t="str">
        <x:f>IF($A17="","",IF(NOT(ISNUMBER($A17)),"Enter a real date",IF(OR($B17="",$C17="",$D17=""),"Complete holiday fields",IF(COUNTIF('Team Setup'!$H$10:$H$59,$C17)&lt;&gt;1,"Check office location",IF($D17="All","Ready",IF(COUNTIFS('Team Setup'!$H$64:$H$163,$D17,'Team Setup'!$I$64:$I$163,$C17)=1,"Ready","Check group and location"))))))</x:f>
      </x:c>
      <x:c r="F17" s="2"/>
      <x:c r="G17" s="12"/>
      <x:c r="H17" s="20"/>
      <x:c r="I17" s="14"/>
      <x:c r="J17" s="13" t="str">
        <x:f>IF($G17="","",IF(OR(NOT(ISNUMBER($H17)),NOT(ISNUMBER($I17)),$I17&lt;=0),"Complete PTO fields",IF(COUNTIF('Team Setup'!$A$10:$A$34,$G17)=1,"Ready","Check member name")))</x:f>
      </x:c>
    </x:row>
    <x:row r="18">
      <x:c r="A18" s="20"/>
      <x:c r="B18" s="12"/>
      <x:c r="C18" s="12"/>
      <x:c r="D18" s="12"/>
      <x:c r="E18" s="13" t="str">
        <x:f>IF($A18="","",IF(NOT(ISNUMBER($A18)),"Enter a real date",IF(OR($B18="",$C18="",$D18=""),"Complete holiday fields",IF(COUNTIF('Team Setup'!$H$10:$H$59,$C18)&lt;&gt;1,"Check office location",IF($D18="All","Ready",IF(COUNTIFS('Team Setup'!$H$64:$H$163,$D18,'Team Setup'!$I$64:$I$163,$C18)=1,"Ready","Check group and location"))))))</x:f>
      </x:c>
      <x:c r="F18" s="2"/>
      <x:c r="G18" s="12"/>
      <x:c r="H18" s="20"/>
      <x:c r="I18" s="14"/>
      <x:c r="J18" s="13" t="str">
        <x:f>IF($G18="","",IF(OR(NOT(ISNUMBER($H18)),NOT(ISNUMBER($I18)),$I18&lt;=0),"Complete PTO fields",IF(COUNTIF('Team Setup'!$A$10:$A$34,$G18)=1,"Ready","Check member name")))</x:f>
      </x:c>
    </x:row>
    <x:row r="19">
      <x:c r="A19" s="20"/>
      <x:c r="B19" s="12"/>
      <x:c r="C19" s="12"/>
      <x:c r="D19" s="12"/>
      <x:c r="E19" s="13" t="str">
        <x:f>IF($A19="","",IF(NOT(ISNUMBER($A19)),"Enter a real date",IF(OR($B19="",$C19="",$D19=""),"Complete holiday fields",IF(COUNTIF('Team Setup'!$H$10:$H$59,$C19)&lt;&gt;1,"Check office location",IF($D19="All","Ready",IF(COUNTIFS('Team Setup'!$H$64:$H$163,$D19,'Team Setup'!$I$64:$I$163,$C19)=1,"Ready","Check group and location"))))))</x:f>
      </x:c>
      <x:c r="F19" s="2"/>
      <x:c r="G19" s="12"/>
      <x:c r="H19" s="20"/>
      <x:c r="I19" s="14"/>
      <x:c r="J19" s="13" t="str">
        <x:f>IF($G19="","",IF(OR(NOT(ISNUMBER($H19)),NOT(ISNUMBER($I19)),$I19&lt;=0),"Complete PTO fields",IF(COUNTIF('Team Setup'!$A$10:$A$34,$G19)=1,"Ready","Check member name")))</x:f>
      </x:c>
    </x:row>
    <x:row r="20">
      <x:c r="A20" s="20"/>
      <x:c r="B20" s="12"/>
      <x:c r="C20" s="12"/>
      <x:c r="D20" s="12"/>
      <x:c r="E20" s="13" t="str">
        <x:f>IF($A20="","",IF(NOT(ISNUMBER($A20)),"Enter a real date",IF(OR($B20="",$C20="",$D20=""),"Complete holiday fields",IF(COUNTIF('Team Setup'!$H$10:$H$59,$C20)&lt;&gt;1,"Check office location",IF($D20="All","Ready",IF(COUNTIFS('Team Setup'!$H$64:$H$163,$D20,'Team Setup'!$I$64:$I$163,$C20)=1,"Ready","Check group and location"))))))</x:f>
      </x:c>
      <x:c r="F20" s="2"/>
      <x:c r="G20" s="12"/>
      <x:c r="H20" s="20"/>
      <x:c r="I20" s="14"/>
      <x:c r="J20" s="13" t="str">
        <x:f>IF($G20="","",IF(OR(NOT(ISNUMBER($H20)),NOT(ISNUMBER($I20)),$I20&lt;=0),"Complete PTO fields",IF(COUNTIF('Team Setup'!$A$10:$A$34,$G20)=1,"Ready","Check member name")))</x:f>
      </x:c>
    </x:row>
    <x:row r="21">
      <x:c r="A21" s="20"/>
      <x:c r="B21" s="12"/>
      <x:c r="C21" s="12"/>
      <x:c r="D21" s="12"/>
      <x:c r="E21" s="13" t="str">
        <x:f>IF($A21="","",IF(NOT(ISNUMBER($A21)),"Enter a real date",IF(OR($B21="",$C21="",$D21=""),"Complete holiday fields",IF(COUNTIF('Team Setup'!$H$10:$H$59,$C21)&lt;&gt;1,"Check office location",IF($D21="All","Ready",IF(COUNTIFS('Team Setup'!$H$64:$H$163,$D21,'Team Setup'!$I$64:$I$163,$C21)=1,"Ready","Check group and location"))))))</x:f>
      </x:c>
      <x:c r="F21" s="2"/>
      <x:c r="G21" s="12"/>
      <x:c r="H21" s="20"/>
      <x:c r="I21" s="14"/>
      <x:c r="J21" s="13" t="str">
        <x:f>IF($G21="","",IF(OR(NOT(ISNUMBER($H21)),NOT(ISNUMBER($I21)),$I21&lt;=0),"Complete PTO fields",IF(COUNTIF('Team Setup'!$A$10:$A$34,$G21)=1,"Ready","Check member name")))</x:f>
      </x:c>
    </x:row>
    <x:row r="22">
      <x:c r="A22" s="20"/>
      <x:c r="B22" s="12"/>
      <x:c r="C22" s="12"/>
      <x:c r="D22" s="12"/>
      <x:c r="E22" s="13" t="str">
        <x:f>IF($A22="","",IF(NOT(ISNUMBER($A22)),"Enter a real date",IF(OR($B22="",$C22="",$D22=""),"Complete holiday fields",IF(COUNTIF('Team Setup'!$H$10:$H$59,$C22)&lt;&gt;1,"Check office location",IF($D22="All","Ready",IF(COUNTIFS('Team Setup'!$H$64:$H$163,$D22,'Team Setup'!$I$64:$I$163,$C22)=1,"Ready","Check group and location"))))))</x:f>
      </x:c>
      <x:c r="F22" s="2"/>
      <x:c r="G22" s="12"/>
      <x:c r="H22" s="20"/>
      <x:c r="I22" s="14"/>
      <x:c r="J22" s="13" t="str">
        <x:f>IF($G22="","",IF(OR(NOT(ISNUMBER($H22)),NOT(ISNUMBER($I22)),$I22&lt;=0),"Complete PTO fields",IF(COUNTIF('Team Setup'!$A$10:$A$34,$G22)=1,"Ready","Check member name")))</x:f>
      </x:c>
    </x:row>
    <x:row r="23">
      <x:c r="A23" s="20"/>
      <x:c r="B23" s="12"/>
      <x:c r="C23" s="12"/>
      <x:c r="D23" s="12"/>
      <x:c r="E23" s="13" t="str">
        <x:f>IF($A23="","",IF(NOT(ISNUMBER($A23)),"Enter a real date",IF(OR($B23="",$C23="",$D23=""),"Complete holiday fields",IF(COUNTIF('Team Setup'!$H$10:$H$59,$C23)&lt;&gt;1,"Check office location",IF($D23="All","Ready",IF(COUNTIFS('Team Setup'!$H$64:$H$163,$D23,'Team Setup'!$I$64:$I$163,$C23)=1,"Ready","Check group and location"))))))</x:f>
      </x:c>
      <x:c r="F23" s="2"/>
      <x:c r="G23" s="12"/>
      <x:c r="H23" s="20"/>
      <x:c r="I23" s="14"/>
      <x:c r="J23" s="13" t="str">
        <x:f>IF($G23="","",IF(OR(NOT(ISNUMBER($H23)),NOT(ISNUMBER($I23)),$I23&lt;=0),"Complete PTO fields",IF(COUNTIF('Team Setup'!$A$10:$A$34,$G23)=1,"Ready","Check member name")))</x:f>
      </x:c>
    </x:row>
    <x:row r="24">
      <x:c r="A24" s="20"/>
      <x:c r="B24" s="12"/>
      <x:c r="C24" s="12"/>
      <x:c r="D24" s="12"/>
      <x:c r="E24" s="13" t="str">
        <x:f>IF($A24="","",IF(NOT(ISNUMBER($A24)),"Enter a real date",IF(OR($B24="",$C24="",$D24=""),"Complete holiday fields",IF(COUNTIF('Team Setup'!$H$10:$H$59,$C24)&lt;&gt;1,"Check office location",IF($D24="All","Ready",IF(COUNTIFS('Team Setup'!$H$64:$H$163,$D24,'Team Setup'!$I$64:$I$163,$C24)=1,"Ready","Check group and location"))))))</x:f>
      </x:c>
      <x:c r="F24" s="2"/>
      <x:c r="G24" s="12"/>
      <x:c r="H24" s="20"/>
      <x:c r="I24" s="14"/>
      <x:c r="J24" s="13" t="str">
        <x:f>IF($G24="","",IF(OR(NOT(ISNUMBER($H24)),NOT(ISNUMBER($I24)),$I24&lt;=0),"Complete PTO fields",IF(COUNTIF('Team Setup'!$A$10:$A$34,$G24)=1,"Ready","Check member name")))</x:f>
      </x:c>
    </x:row>
    <x:row r="25">
      <x:c r="A25" s="20"/>
      <x:c r="B25" s="12"/>
      <x:c r="C25" s="12"/>
      <x:c r="D25" s="12"/>
      <x:c r="E25" s="13" t="str">
        <x:f>IF($A25="","",IF(NOT(ISNUMBER($A25)),"Enter a real date",IF(OR($B25="",$C25="",$D25=""),"Complete holiday fields",IF(COUNTIF('Team Setup'!$H$10:$H$59,$C25)&lt;&gt;1,"Check office location",IF($D25="All","Ready",IF(COUNTIFS('Team Setup'!$H$64:$H$163,$D25,'Team Setup'!$I$64:$I$163,$C25)=1,"Ready","Check group and location"))))))</x:f>
      </x:c>
      <x:c r="F25" s="2"/>
      <x:c r="G25" s="12"/>
      <x:c r="H25" s="20"/>
      <x:c r="I25" s="14"/>
      <x:c r="J25" s="13" t="str">
        <x:f>IF($G25="","",IF(OR(NOT(ISNUMBER($H25)),NOT(ISNUMBER($I25)),$I25&lt;=0),"Complete PTO fields",IF(COUNTIF('Team Setup'!$A$10:$A$34,$G25)=1,"Ready","Check member name")))</x:f>
      </x:c>
    </x:row>
    <x:row r="26">
      <x:c r="A26" s="20"/>
      <x:c r="B26" s="12"/>
      <x:c r="C26" s="12"/>
      <x:c r="D26" s="12"/>
      <x:c r="E26" s="13" t="str">
        <x:f>IF($A26="","",IF(NOT(ISNUMBER($A26)),"Enter a real date",IF(OR($B26="",$C26="",$D26=""),"Complete holiday fields",IF(COUNTIF('Team Setup'!$H$10:$H$59,$C26)&lt;&gt;1,"Check office location",IF($D26="All","Ready",IF(COUNTIFS('Team Setup'!$H$64:$H$163,$D26,'Team Setup'!$I$64:$I$163,$C26)=1,"Ready","Check group and location"))))))</x:f>
      </x:c>
      <x:c r="F26" s="2"/>
      <x:c r="G26" s="12"/>
      <x:c r="H26" s="20"/>
      <x:c r="I26" s="14"/>
      <x:c r="J26" s="13" t="str">
        <x:f>IF($G26="","",IF(OR(NOT(ISNUMBER($H26)),NOT(ISNUMBER($I26)),$I26&lt;=0),"Complete PTO fields",IF(COUNTIF('Team Setup'!$A$10:$A$34,$G26)=1,"Ready","Check member name")))</x:f>
      </x:c>
    </x:row>
    <x:row r="27">
      <x:c r="A27" s="20"/>
      <x:c r="B27" s="12"/>
      <x:c r="C27" s="12"/>
      <x:c r="D27" s="12"/>
      <x:c r="E27" s="13" t="str">
        <x:f>IF($A27="","",IF(NOT(ISNUMBER($A27)),"Enter a real date",IF(OR($B27="",$C27="",$D27=""),"Complete holiday fields",IF(COUNTIF('Team Setup'!$H$10:$H$59,$C27)&lt;&gt;1,"Check office location",IF($D27="All","Ready",IF(COUNTIFS('Team Setup'!$H$64:$H$163,$D27,'Team Setup'!$I$64:$I$163,$C27)=1,"Ready","Check group and location"))))))</x:f>
      </x:c>
      <x:c r="F27" s="2"/>
      <x:c r="G27" s="12"/>
      <x:c r="H27" s="20"/>
      <x:c r="I27" s="14"/>
      <x:c r="J27" s="13" t="str">
        <x:f>IF($G27="","",IF(OR(NOT(ISNUMBER($H27)),NOT(ISNUMBER($I27)),$I27&lt;=0),"Complete PTO fields",IF(COUNTIF('Team Setup'!$A$10:$A$34,$G27)=1,"Ready","Check member name")))</x:f>
      </x:c>
    </x:row>
    <x:row r="28">
      <x:c r="A28" s="20"/>
      <x:c r="B28" s="12"/>
      <x:c r="C28" s="12"/>
      <x:c r="D28" s="12"/>
      <x:c r="E28" s="13" t="str">
        <x:f>IF($A28="","",IF(NOT(ISNUMBER($A28)),"Enter a real date",IF(OR($B28="",$C28="",$D28=""),"Complete holiday fields",IF(COUNTIF('Team Setup'!$H$10:$H$59,$C28)&lt;&gt;1,"Check office location",IF($D28="All","Ready",IF(COUNTIFS('Team Setup'!$H$64:$H$163,$D28,'Team Setup'!$I$64:$I$163,$C28)=1,"Ready","Check group and location"))))))</x:f>
      </x:c>
      <x:c r="F28" s="2"/>
      <x:c r="G28" s="12"/>
      <x:c r="H28" s="20"/>
      <x:c r="I28" s="14"/>
      <x:c r="J28" s="13" t="str">
        <x:f>IF($G28="","",IF(OR(NOT(ISNUMBER($H28)),NOT(ISNUMBER($I28)),$I28&lt;=0),"Complete PTO fields",IF(COUNTIF('Team Setup'!$A$10:$A$34,$G28)=1,"Ready","Check member name")))</x:f>
      </x:c>
    </x:row>
    <x:row r="29">
      <x:c r="A29" s="20"/>
      <x:c r="B29" s="12"/>
      <x:c r="C29" s="12"/>
      <x:c r="D29" s="12"/>
      <x:c r="E29" s="13" t="str">
        <x:f>IF($A29="","",IF(NOT(ISNUMBER($A29)),"Enter a real date",IF(OR($B29="",$C29="",$D29=""),"Complete holiday fields",IF(COUNTIF('Team Setup'!$H$10:$H$59,$C29)&lt;&gt;1,"Check office location",IF($D29="All","Ready",IF(COUNTIFS('Team Setup'!$H$64:$H$163,$D29,'Team Setup'!$I$64:$I$163,$C29)=1,"Ready","Check group and location"))))))</x:f>
      </x:c>
      <x:c r="F29" s="2"/>
      <x:c r="G29" s="12"/>
      <x:c r="H29" s="20"/>
      <x:c r="I29" s="14"/>
      <x:c r="J29" s="13" t="str">
        <x:f>IF($G29="","",IF(OR(NOT(ISNUMBER($H29)),NOT(ISNUMBER($I29)),$I29&lt;=0),"Complete PTO fields",IF(COUNTIF('Team Setup'!$A$10:$A$34,$G29)=1,"Ready","Check member name")))</x:f>
      </x:c>
    </x:row>
    <x:row r="30">
      <x:c r="A30" s="20"/>
      <x:c r="B30" s="12"/>
      <x:c r="C30" s="12"/>
      <x:c r="D30" s="12"/>
      <x:c r="E30" s="13" t="str">
        <x:f>IF($A30="","",IF(NOT(ISNUMBER($A30)),"Enter a real date",IF(OR($B30="",$C30="",$D30=""),"Complete holiday fields",IF(COUNTIF('Team Setup'!$H$10:$H$59,$C30)&lt;&gt;1,"Check office location",IF($D30="All","Ready",IF(COUNTIFS('Team Setup'!$H$64:$H$163,$D30,'Team Setup'!$I$64:$I$163,$C30)=1,"Ready","Check group and location"))))))</x:f>
      </x:c>
      <x:c r="F30" s="2"/>
      <x:c r="G30" s="12"/>
      <x:c r="H30" s="20"/>
      <x:c r="I30" s="14"/>
      <x:c r="J30" s="13" t="str">
        <x:f>IF($G30="","",IF(OR(NOT(ISNUMBER($H30)),NOT(ISNUMBER($I30)),$I30&lt;=0),"Complete PTO fields",IF(COUNTIF('Team Setup'!$A$10:$A$34,$G30)=1,"Ready","Check member name")))</x:f>
      </x:c>
    </x:row>
    <x:row r="31">
      <x:c r="A31" s="20"/>
      <x:c r="B31" s="12"/>
      <x:c r="C31" s="12"/>
      <x:c r="D31" s="12"/>
      <x:c r="E31" s="13" t="str">
        <x:f>IF($A31="","",IF(NOT(ISNUMBER($A31)),"Enter a real date",IF(OR($B31="",$C31="",$D31=""),"Complete holiday fields",IF(COUNTIF('Team Setup'!$H$10:$H$59,$C31)&lt;&gt;1,"Check office location",IF($D31="All","Ready",IF(COUNTIFS('Team Setup'!$H$64:$H$163,$D31,'Team Setup'!$I$64:$I$163,$C31)=1,"Ready","Check group and location"))))))</x:f>
      </x:c>
      <x:c r="F31" s="2"/>
      <x:c r="G31" s="12"/>
      <x:c r="H31" s="20"/>
      <x:c r="I31" s="14"/>
      <x:c r="J31" s="13" t="str">
        <x:f>IF($G31="","",IF(OR(NOT(ISNUMBER($H31)),NOT(ISNUMBER($I31)),$I31&lt;=0),"Complete PTO fields",IF(COUNTIF('Team Setup'!$A$10:$A$34,$G31)=1,"Ready","Check member name")))</x:f>
      </x:c>
    </x:row>
    <x:row r="32">
      <x:c r="A32" s="20"/>
      <x:c r="B32" s="12"/>
      <x:c r="C32" s="12"/>
      <x:c r="D32" s="12"/>
      <x:c r="E32" s="13" t="str">
        <x:f>IF($A32="","",IF(NOT(ISNUMBER($A32)),"Enter a real date",IF(OR($B32="",$C32="",$D32=""),"Complete holiday fields",IF(COUNTIF('Team Setup'!$H$10:$H$59,$C32)&lt;&gt;1,"Check office location",IF($D32="All","Ready",IF(COUNTIFS('Team Setup'!$H$64:$H$163,$D32,'Team Setup'!$I$64:$I$163,$C32)=1,"Ready","Check group and location"))))))</x:f>
      </x:c>
      <x:c r="F32" s="2"/>
      <x:c r="G32" s="12"/>
      <x:c r="H32" s="20"/>
      <x:c r="I32" s="14"/>
      <x:c r="J32" s="13" t="str">
        <x:f>IF($G32="","",IF(OR(NOT(ISNUMBER($H32)),NOT(ISNUMBER($I32)),$I32&lt;=0),"Complete PTO fields",IF(COUNTIF('Team Setup'!$A$10:$A$34,$G32)=1,"Ready","Check member name")))</x:f>
      </x:c>
    </x:row>
    <x:row r="33">
      <x:c r="A33" s="20"/>
      <x:c r="B33" s="12"/>
      <x:c r="C33" s="12"/>
      <x:c r="D33" s="12"/>
      <x:c r="E33" s="13" t="str">
        <x:f>IF($A33="","",IF(NOT(ISNUMBER($A33)),"Enter a real date",IF(OR($B33="",$C33="",$D33=""),"Complete holiday fields",IF(COUNTIF('Team Setup'!$H$10:$H$59,$C33)&lt;&gt;1,"Check office location",IF($D33="All","Ready",IF(COUNTIFS('Team Setup'!$H$64:$H$163,$D33,'Team Setup'!$I$64:$I$163,$C33)=1,"Ready","Check group and location"))))))</x:f>
      </x:c>
      <x:c r="F33" s="2"/>
      <x:c r="G33" s="12"/>
      <x:c r="H33" s="20"/>
      <x:c r="I33" s="14"/>
      <x:c r="J33" s="13" t="str">
        <x:f>IF($G33="","",IF(OR(NOT(ISNUMBER($H33)),NOT(ISNUMBER($I33)),$I33&lt;=0),"Complete PTO fields",IF(COUNTIF('Team Setup'!$A$10:$A$34,$G33)=1,"Ready","Check member name")))</x:f>
      </x:c>
    </x:row>
    <x:row r="34">
      <x:c r="A34" s="20"/>
      <x:c r="B34" s="12"/>
      <x:c r="C34" s="12"/>
      <x:c r="D34" s="12"/>
      <x:c r="E34" s="13" t="str">
        <x:f>IF($A34="","",IF(NOT(ISNUMBER($A34)),"Enter a real date",IF(OR($B34="",$C34="",$D34=""),"Complete holiday fields",IF(COUNTIF('Team Setup'!$H$10:$H$59,$C34)&lt;&gt;1,"Check office location",IF($D34="All","Ready",IF(COUNTIFS('Team Setup'!$H$64:$H$163,$D34,'Team Setup'!$I$64:$I$163,$C34)=1,"Ready","Check group and location"))))))</x:f>
      </x:c>
      <x:c r="F34" s="2"/>
      <x:c r="G34" s="12"/>
      <x:c r="H34" s="20"/>
      <x:c r="I34" s="14"/>
      <x:c r="J34" s="13" t="str">
        <x:f>IF($G34="","",IF(OR(NOT(ISNUMBER($H34)),NOT(ISNUMBER($I34)),$I34&lt;=0),"Complete PTO fields",IF(COUNTIF('Team Setup'!$A$10:$A$34,$G34)=1,"Ready","Check member name")))</x:f>
      </x:c>
    </x:row>
    <x:row r="35">
      <x:c r="A35" s="20"/>
      <x:c r="B35" s="12"/>
      <x:c r="C35" s="12"/>
      <x:c r="D35" s="12"/>
      <x:c r="E35" s="13" t="str">
        <x:f>IF($A35="","",IF(NOT(ISNUMBER($A35)),"Enter a real date",IF(OR($B35="",$C35="",$D35=""),"Complete holiday fields",IF(COUNTIF('Team Setup'!$H$10:$H$59,$C35)&lt;&gt;1,"Check office location",IF($D35="All","Ready",IF(COUNTIFS('Team Setup'!$H$64:$H$163,$D35,'Team Setup'!$I$64:$I$163,$C35)=1,"Ready","Check group and location"))))))</x:f>
      </x:c>
      <x:c r="F35" s="2"/>
      <x:c r="G35" s="12"/>
      <x:c r="H35" s="20"/>
      <x:c r="I35" s="14"/>
      <x:c r="J35" s="13" t="str">
        <x:f>IF($G35="","",IF(OR(NOT(ISNUMBER($H35)),NOT(ISNUMBER($I35)),$I35&lt;=0),"Complete PTO fields",IF(COUNTIF('Team Setup'!$A$10:$A$34,$G35)=1,"Ready","Check member name")))</x:f>
      </x:c>
    </x:row>
    <x:row r="36">
      <x:c r="A36" s="20"/>
      <x:c r="B36" s="12"/>
      <x:c r="C36" s="12"/>
      <x:c r="D36" s="12"/>
      <x:c r="E36" s="13" t="str">
        <x:f>IF($A36="","",IF(NOT(ISNUMBER($A36)),"Enter a real date",IF(OR($B36="",$C36="",$D36=""),"Complete holiday fields",IF(COUNTIF('Team Setup'!$H$10:$H$59,$C36)&lt;&gt;1,"Check office location",IF($D36="All","Ready",IF(COUNTIFS('Team Setup'!$H$64:$H$163,$D36,'Team Setup'!$I$64:$I$163,$C36)=1,"Ready","Check group and location"))))))</x:f>
      </x:c>
      <x:c r="F36" s="2"/>
      <x:c r="G36" s="12"/>
      <x:c r="H36" s="20"/>
      <x:c r="I36" s="14"/>
      <x:c r="J36" s="13" t="str">
        <x:f>IF($G36="","",IF(OR(NOT(ISNUMBER($H36)),NOT(ISNUMBER($I36)),$I36&lt;=0),"Complete PTO fields",IF(COUNTIF('Team Setup'!$A$10:$A$34,$G36)=1,"Ready","Check member name")))</x:f>
      </x:c>
    </x:row>
    <x:row r="37">
      <x:c r="A37" s="20"/>
      <x:c r="B37" s="12"/>
      <x:c r="C37" s="12"/>
      <x:c r="D37" s="12"/>
      <x:c r="E37" s="13" t="str">
        <x:f>IF($A37="","",IF(NOT(ISNUMBER($A37)),"Enter a real date",IF(OR($B37="",$C37="",$D37=""),"Complete holiday fields",IF(COUNTIF('Team Setup'!$H$10:$H$59,$C37)&lt;&gt;1,"Check office location",IF($D37="All","Ready",IF(COUNTIFS('Team Setup'!$H$64:$H$163,$D37,'Team Setup'!$I$64:$I$163,$C37)=1,"Ready","Check group and location"))))))</x:f>
      </x:c>
      <x:c r="F37" s="2"/>
      <x:c r="G37" s="12"/>
      <x:c r="H37" s="20"/>
      <x:c r="I37" s="14"/>
      <x:c r="J37" s="13" t="str">
        <x:f>IF($G37="","",IF(OR(NOT(ISNUMBER($H37)),NOT(ISNUMBER($I37)),$I37&lt;=0),"Complete PTO fields",IF(COUNTIF('Team Setup'!$A$10:$A$34,$G37)=1,"Ready","Check member name")))</x:f>
      </x:c>
    </x:row>
    <x:row r="38">
      <x:c r="A38" s="20"/>
      <x:c r="B38" s="12"/>
      <x:c r="C38" s="12"/>
      <x:c r="D38" s="12"/>
      <x:c r="E38" s="13" t="str">
        <x:f>IF($A38="","",IF(NOT(ISNUMBER($A38)),"Enter a real date",IF(OR($B38="",$C38="",$D38=""),"Complete holiday fields",IF(COUNTIF('Team Setup'!$H$10:$H$59,$C38)&lt;&gt;1,"Check office location",IF($D38="All","Ready",IF(COUNTIFS('Team Setup'!$H$64:$H$163,$D38,'Team Setup'!$I$64:$I$163,$C38)=1,"Ready","Check group and location"))))))</x:f>
      </x:c>
      <x:c r="F38" s="2"/>
      <x:c r="G38" s="12"/>
      <x:c r="H38" s="20"/>
      <x:c r="I38" s="14"/>
      <x:c r="J38" s="13" t="str">
        <x:f>IF($G38="","",IF(OR(NOT(ISNUMBER($H38)),NOT(ISNUMBER($I38)),$I38&lt;=0),"Complete PTO fields",IF(COUNTIF('Team Setup'!$A$10:$A$34,$G38)=1,"Ready","Check member name")))</x:f>
      </x:c>
    </x:row>
    <x:row r="39">
      <x:c r="A39" s="20"/>
      <x:c r="B39" s="12"/>
      <x:c r="C39" s="12"/>
      <x:c r="D39" s="12"/>
      <x:c r="E39" s="13" t="str">
        <x:f>IF($A39="","",IF(NOT(ISNUMBER($A39)),"Enter a real date",IF(OR($B39="",$C39="",$D39=""),"Complete holiday fields",IF(COUNTIF('Team Setup'!$H$10:$H$59,$C39)&lt;&gt;1,"Check office location",IF($D39="All","Ready",IF(COUNTIFS('Team Setup'!$H$64:$H$163,$D39,'Team Setup'!$I$64:$I$163,$C39)=1,"Ready","Check group and location"))))))</x:f>
      </x:c>
      <x:c r="F39" s="2"/>
      <x:c r="G39" s="12"/>
      <x:c r="H39" s="20"/>
      <x:c r="I39" s="14"/>
      <x:c r="J39" s="13" t="str">
        <x:f>IF($G39="","",IF(OR(NOT(ISNUMBER($H39)),NOT(ISNUMBER($I39)),$I39&lt;=0),"Complete PTO fields",IF(COUNTIF('Team Setup'!$A$10:$A$34,$G39)=1,"Ready","Check member name")))</x:f>
      </x:c>
    </x:row>
    <x:row r="40">
      <x:c r="A40" s="20"/>
      <x:c r="B40" s="12"/>
      <x:c r="C40" s="12"/>
      <x:c r="D40" s="12"/>
      <x:c r="E40" s="13" t="str">
        <x:f>IF($A40="","",IF(NOT(ISNUMBER($A40)),"Enter a real date",IF(OR($B40="",$C40="",$D40=""),"Complete holiday fields",IF(COUNTIF('Team Setup'!$H$10:$H$59,$C40)&lt;&gt;1,"Check office location",IF($D40="All","Ready",IF(COUNTIFS('Team Setup'!$H$64:$H$163,$D40,'Team Setup'!$I$64:$I$163,$C40)=1,"Ready","Check group and location"))))))</x:f>
      </x:c>
      <x:c r="F40" s="2"/>
      <x:c r="G40" s="12"/>
      <x:c r="H40" s="20"/>
      <x:c r="I40" s="14"/>
      <x:c r="J40" s="13" t="str">
        <x:f>IF($G40="","",IF(OR(NOT(ISNUMBER($H40)),NOT(ISNUMBER($I40)),$I40&lt;=0),"Complete PTO fields",IF(COUNTIF('Team Setup'!$A$10:$A$34,$G40)=1,"Ready","Check member name")))</x:f>
      </x:c>
    </x:row>
    <x:row r="41">
      <x:c r="A41" s="20"/>
      <x:c r="B41" s="12"/>
      <x:c r="C41" s="12"/>
      <x:c r="D41" s="12"/>
      <x:c r="E41" s="13" t="str">
        <x:f>IF($A41="","",IF(NOT(ISNUMBER($A41)),"Enter a real date",IF(OR($B41="",$C41="",$D41=""),"Complete holiday fields",IF(COUNTIF('Team Setup'!$H$10:$H$59,$C41)&lt;&gt;1,"Check office location",IF($D41="All","Ready",IF(COUNTIFS('Team Setup'!$H$64:$H$163,$D41,'Team Setup'!$I$64:$I$163,$C41)=1,"Ready","Check group and location"))))))</x:f>
      </x:c>
      <x:c r="F41" s="2"/>
      <x:c r="G41" s="12"/>
      <x:c r="H41" s="20"/>
      <x:c r="I41" s="14"/>
      <x:c r="J41" s="13" t="str">
        <x:f>IF($G41="","",IF(OR(NOT(ISNUMBER($H41)),NOT(ISNUMBER($I41)),$I41&lt;=0),"Complete PTO fields",IF(COUNTIF('Team Setup'!$A$10:$A$34,$G41)=1,"Ready","Check member name")))</x:f>
      </x:c>
    </x:row>
    <x:row r="42">
      <x:c r="A42" s="20"/>
      <x:c r="B42" s="12"/>
      <x:c r="C42" s="12"/>
      <x:c r="D42" s="12"/>
      <x:c r="E42" s="13" t="str">
        <x:f>IF($A42="","",IF(NOT(ISNUMBER($A42)),"Enter a real date",IF(OR($B42="",$C42="",$D42=""),"Complete holiday fields",IF(COUNTIF('Team Setup'!$H$10:$H$59,$C42)&lt;&gt;1,"Check office location",IF($D42="All","Ready",IF(COUNTIFS('Team Setup'!$H$64:$H$163,$D42,'Team Setup'!$I$64:$I$163,$C42)=1,"Ready","Check group and location"))))))</x:f>
      </x:c>
      <x:c r="F42" s="2"/>
      <x:c r="G42" s="12"/>
      <x:c r="H42" s="20"/>
      <x:c r="I42" s="14"/>
      <x:c r="J42" s="13" t="str">
        <x:f>IF($G42="","",IF(OR(NOT(ISNUMBER($H42)),NOT(ISNUMBER($I42)),$I42&lt;=0),"Complete PTO fields",IF(COUNTIF('Team Setup'!$A$10:$A$34,$G42)=1,"Ready","Check member name")))</x:f>
      </x:c>
    </x:row>
    <x:row r="43">
      <x:c r="A43" s="20"/>
      <x:c r="B43" s="12"/>
      <x:c r="C43" s="12"/>
      <x:c r="D43" s="12"/>
      <x:c r="E43" s="13" t="str">
        <x:f>IF($A43="","",IF(NOT(ISNUMBER($A43)),"Enter a real date",IF(OR($B43="",$C43="",$D43=""),"Complete holiday fields",IF(COUNTIF('Team Setup'!$H$10:$H$59,$C43)&lt;&gt;1,"Check office location",IF($D43="All","Ready",IF(COUNTIFS('Team Setup'!$H$64:$H$163,$D43,'Team Setup'!$I$64:$I$163,$C43)=1,"Ready","Check group and location"))))))</x:f>
      </x:c>
      <x:c r="F43" s="2"/>
      <x:c r="G43" s="12"/>
      <x:c r="H43" s="20"/>
      <x:c r="I43" s="14"/>
      <x:c r="J43" s="13" t="str">
        <x:f>IF($G43="","",IF(OR(NOT(ISNUMBER($H43)),NOT(ISNUMBER($I43)),$I43&lt;=0),"Complete PTO fields",IF(COUNTIF('Team Setup'!$A$10:$A$34,$G43)=1,"Ready","Check member name")))</x:f>
      </x:c>
    </x:row>
    <x:row r="44">
      <x:c r="A44" s="20"/>
      <x:c r="B44" s="12"/>
      <x:c r="C44" s="12"/>
      <x:c r="D44" s="12"/>
      <x:c r="E44" s="13" t="str">
        <x:f>IF($A44="","",IF(NOT(ISNUMBER($A44)),"Enter a real date",IF(OR($B44="",$C44="",$D44=""),"Complete holiday fields",IF(COUNTIF('Team Setup'!$H$10:$H$59,$C44)&lt;&gt;1,"Check office location",IF($D44="All","Ready",IF(COUNTIFS('Team Setup'!$H$64:$H$163,$D44,'Team Setup'!$I$64:$I$163,$C44)=1,"Ready","Check group and location"))))))</x:f>
      </x:c>
      <x:c r="F44" s="2"/>
      <x:c r="G44" s="12"/>
      <x:c r="H44" s="20"/>
      <x:c r="I44" s="14"/>
      <x:c r="J44" s="13" t="str">
        <x:f>IF($G44="","",IF(OR(NOT(ISNUMBER($H44)),NOT(ISNUMBER($I44)),$I44&lt;=0),"Complete PTO fields",IF(COUNTIF('Team Setup'!$A$10:$A$34,$G44)=1,"Ready","Check member name")))</x:f>
      </x:c>
    </x:row>
    <x:row r="45">
      <x:c r="A45" s="20"/>
      <x:c r="B45" s="12"/>
      <x:c r="C45" s="12"/>
      <x:c r="D45" s="12"/>
      <x:c r="E45" s="13" t="str">
        <x:f>IF($A45="","",IF(NOT(ISNUMBER($A45)),"Enter a real date",IF(OR($B45="",$C45="",$D45=""),"Complete holiday fields",IF(COUNTIF('Team Setup'!$H$10:$H$59,$C45)&lt;&gt;1,"Check office location",IF($D45="All","Ready",IF(COUNTIFS('Team Setup'!$H$64:$H$163,$D45,'Team Setup'!$I$64:$I$163,$C45)=1,"Ready","Check group and location"))))))</x:f>
      </x:c>
      <x:c r="F45" s="2"/>
      <x:c r="G45" s="12"/>
      <x:c r="H45" s="20"/>
      <x:c r="I45" s="14"/>
      <x:c r="J45" s="13" t="str">
        <x:f>IF($G45="","",IF(OR(NOT(ISNUMBER($H45)),NOT(ISNUMBER($I45)),$I45&lt;=0),"Complete PTO fields",IF(COUNTIF('Team Setup'!$A$10:$A$34,$G45)=1,"Ready","Check member name")))</x:f>
      </x:c>
    </x:row>
    <x:row r="46">
      <x:c r="A46" s="20"/>
      <x:c r="B46" s="12"/>
      <x:c r="C46" s="12"/>
      <x:c r="D46" s="12"/>
      <x:c r="E46" s="13" t="str">
        <x:f>IF($A46="","",IF(NOT(ISNUMBER($A46)),"Enter a real date",IF(OR($B46="",$C46="",$D46=""),"Complete holiday fields",IF(COUNTIF('Team Setup'!$H$10:$H$59,$C46)&lt;&gt;1,"Check office location",IF($D46="All","Ready",IF(COUNTIFS('Team Setup'!$H$64:$H$163,$D46,'Team Setup'!$I$64:$I$163,$C46)=1,"Ready","Check group and location"))))))</x:f>
      </x:c>
      <x:c r="F46" s="2"/>
      <x:c r="G46" s="12"/>
      <x:c r="H46" s="20"/>
      <x:c r="I46" s="14"/>
      <x:c r="J46" s="13" t="str">
        <x:f>IF($G46="","",IF(OR(NOT(ISNUMBER($H46)),NOT(ISNUMBER($I46)),$I46&lt;=0),"Complete PTO fields",IF(COUNTIF('Team Setup'!$A$10:$A$34,$G46)=1,"Ready","Check member name")))</x:f>
      </x:c>
    </x:row>
    <x:row r="47">
      <x:c r="A47" s="20"/>
      <x:c r="B47" s="12"/>
      <x:c r="C47" s="12"/>
      <x:c r="D47" s="12"/>
      <x:c r="E47" s="13" t="str">
        <x:f>IF($A47="","",IF(NOT(ISNUMBER($A47)),"Enter a real date",IF(OR($B47="",$C47="",$D47=""),"Complete holiday fields",IF(COUNTIF('Team Setup'!$H$10:$H$59,$C47)&lt;&gt;1,"Check office location",IF($D47="All","Ready",IF(COUNTIFS('Team Setup'!$H$64:$H$163,$D47,'Team Setup'!$I$64:$I$163,$C47)=1,"Ready","Check group and location"))))))</x:f>
      </x:c>
      <x:c r="F47" s="2"/>
      <x:c r="G47" s="12"/>
      <x:c r="H47" s="20"/>
      <x:c r="I47" s="14"/>
      <x:c r="J47" s="13" t="str">
        <x:f>IF($G47="","",IF(OR(NOT(ISNUMBER($H47)),NOT(ISNUMBER($I47)),$I47&lt;=0),"Complete PTO fields",IF(COUNTIF('Team Setup'!$A$10:$A$34,$G47)=1,"Ready","Check member name")))</x:f>
      </x:c>
    </x:row>
    <x:row r="48">
      <x:c r="A48" s="20"/>
      <x:c r="B48" s="12"/>
      <x:c r="C48" s="12"/>
      <x:c r="D48" s="12"/>
      <x:c r="E48" s="13" t="str">
        <x:f>IF($A48="","",IF(NOT(ISNUMBER($A48)),"Enter a real date",IF(OR($B48="",$C48="",$D48=""),"Complete holiday fields",IF(COUNTIF('Team Setup'!$H$10:$H$59,$C48)&lt;&gt;1,"Check office location",IF($D48="All","Ready",IF(COUNTIFS('Team Setup'!$H$64:$H$163,$D48,'Team Setup'!$I$64:$I$163,$C48)=1,"Ready","Check group and location"))))))</x:f>
      </x:c>
      <x:c r="F48" s="2"/>
      <x:c r="G48" s="12"/>
      <x:c r="H48" s="20"/>
      <x:c r="I48" s="14"/>
      <x:c r="J48" s="13" t="str">
        <x:f>IF($G48="","",IF(OR(NOT(ISNUMBER($H48)),NOT(ISNUMBER($I48)),$I48&lt;=0),"Complete PTO fields",IF(COUNTIF('Team Setup'!$A$10:$A$34,$G48)=1,"Ready","Check member name")))</x:f>
      </x:c>
    </x:row>
    <x:row r="49">
      <x:c r="A49" s="20"/>
      <x:c r="B49" s="12"/>
      <x:c r="C49" s="12"/>
      <x:c r="D49" s="12"/>
      <x:c r="E49" s="13" t="str">
        <x:f>IF($A49="","",IF(NOT(ISNUMBER($A49)),"Enter a real date",IF(OR($B49="",$C49="",$D49=""),"Complete holiday fields",IF(COUNTIF('Team Setup'!$H$10:$H$59,$C49)&lt;&gt;1,"Check office location",IF($D49="All","Ready",IF(COUNTIFS('Team Setup'!$H$64:$H$163,$D49,'Team Setup'!$I$64:$I$163,$C49)=1,"Ready","Check group and location"))))))</x:f>
      </x:c>
      <x:c r="F49" s="2"/>
      <x:c r="G49" s="12"/>
      <x:c r="H49" s="20"/>
      <x:c r="I49" s="14"/>
      <x:c r="J49" s="13" t="str">
        <x:f>IF($G49="","",IF(OR(NOT(ISNUMBER($H49)),NOT(ISNUMBER($I49)),$I49&lt;=0),"Complete PTO fields",IF(COUNTIF('Team Setup'!$A$10:$A$34,$G49)=1,"Ready","Check member name")))</x:f>
      </x:c>
    </x:row>
    <x:row r="50">
      <x:c r="A50" s="20"/>
      <x:c r="B50" s="12"/>
      <x:c r="C50" s="12"/>
      <x:c r="D50" s="12"/>
      <x:c r="E50" s="13" t="str">
        <x:f>IF($A50="","",IF(NOT(ISNUMBER($A50)),"Enter a real date",IF(OR($B50="",$C50="",$D50=""),"Complete holiday fields",IF(COUNTIF('Team Setup'!$H$10:$H$59,$C50)&lt;&gt;1,"Check office location",IF($D50="All","Ready",IF(COUNTIFS('Team Setup'!$H$64:$H$163,$D50,'Team Setup'!$I$64:$I$163,$C50)=1,"Ready","Check group and location"))))))</x:f>
      </x:c>
      <x:c r="F50" s="2"/>
      <x:c r="G50" s="12"/>
      <x:c r="H50" s="20"/>
      <x:c r="I50" s="14"/>
      <x:c r="J50" s="13" t="str">
        <x:f>IF($G50="","",IF(OR(NOT(ISNUMBER($H50)),NOT(ISNUMBER($I50)),$I50&lt;=0),"Complete PTO fields",IF(COUNTIF('Team Setup'!$A$10:$A$34,$G50)=1,"Ready","Check member name")))</x:f>
      </x:c>
    </x:row>
    <x:row r="51">
      <x:c r="A51" s="20"/>
      <x:c r="B51" s="12"/>
      <x:c r="C51" s="12"/>
      <x:c r="D51" s="12"/>
      <x:c r="E51" s="13" t="str">
        <x:f>IF($A51="","",IF(NOT(ISNUMBER($A51)),"Enter a real date",IF(OR($B51="",$C51="",$D51=""),"Complete holiday fields",IF(COUNTIF('Team Setup'!$H$10:$H$59,$C51)&lt;&gt;1,"Check office location",IF($D51="All","Ready",IF(COUNTIFS('Team Setup'!$H$64:$H$163,$D51,'Team Setup'!$I$64:$I$163,$C51)=1,"Ready","Check group and location"))))))</x:f>
      </x:c>
      <x:c r="F51" s="2"/>
      <x:c r="G51" s="12"/>
      <x:c r="H51" s="20"/>
      <x:c r="I51" s="14"/>
      <x:c r="J51" s="13" t="str">
        <x:f>IF($G51="","",IF(OR(NOT(ISNUMBER($H51)),NOT(ISNUMBER($I51)),$I51&lt;=0),"Complete PTO fields",IF(COUNTIF('Team Setup'!$A$10:$A$34,$G51)=1,"Ready","Check member name")))</x:f>
      </x:c>
    </x:row>
    <x:row r="52">
      <x:c r="A52" s="20"/>
      <x:c r="B52" s="12"/>
      <x:c r="C52" s="12"/>
      <x:c r="D52" s="12"/>
      <x:c r="E52" s="13" t="str">
        <x:f>IF($A52="","",IF(NOT(ISNUMBER($A52)),"Enter a real date",IF(OR($B52="",$C52="",$D52=""),"Complete holiday fields",IF(COUNTIF('Team Setup'!$H$10:$H$59,$C52)&lt;&gt;1,"Check office location",IF($D52="All","Ready",IF(COUNTIFS('Team Setup'!$H$64:$H$163,$D52,'Team Setup'!$I$64:$I$163,$C52)=1,"Ready","Check group and location"))))))</x:f>
      </x:c>
      <x:c r="F52" s="2"/>
      <x:c r="G52" s="12"/>
      <x:c r="H52" s="20"/>
      <x:c r="I52" s="14"/>
      <x:c r="J52" s="13" t="str">
        <x:f>IF($G52="","",IF(OR(NOT(ISNUMBER($H52)),NOT(ISNUMBER($I52)),$I52&lt;=0),"Complete PTO fields",IF(COUNTIF('Team Setup'!$A$10:$A$34,$G52)=1,"Ready","Check member name")))</x:f>
      </x:c>
    </x:row>
    <x:row r="53">
      <x:c r="A53" s="20"/>
      <x:c r="B53" s="12"/>
      <x:c r="C53" s="12"/>
      <x:c r="D53" s="12"/>
      <x:c r="E53" s="13" t="str">
        <x:f>IF($A53="","",IF(NOT(ISNUMBER($A53)),"Enter a real date",IF(OR($B53="",$C53="",$D53=""),"Complete holiday fields",IF(COUNTIF('Team Setup'!$H$10:$H$59,$C53)&lt;&gt;1,"Check office location",IF($D53="All","Ready",IF(COUNTIFS('Team Setup'!$H$64:$H$163,$D53,'Team Setup'!$I$64:$I$163,$C53)=1,"Ready","Check group and location"))))))</x:f>
      </x:c>
      <x:c r="F53" s="2"/>
      <x:c r="G53" s="12"/>
      <x:c r="H53" s="20"/>
      <x:c r="I53" s="14"/>
      <x:c r="J53" s="13" t="str">
        <x:f>IF($G53="","",IF(OR(NOT(ISNUMBER($H53)),NOT(ISNUMBER($I53)),$I53&lt;=0),"Complete PTO fields",IF(COUNTIF('Team Setup'!$A$10:$A$34,$G53)=1,"Ready","Check member name")))</x:f>
      </x:c>
    </x:row>
    <x:row r="54">
      <x:c r="A54" s="20"/>
      <x:c r="B54" s="12"/>
      <x:c r="C54" s="12"/>
      <x:c r="D54" s="12"/>
      <x:c r="E54" s="13" t="str">
        <x:f>IF($A54="","",IF(NOT(ISNUMBER($A54)),"Enter a real date",IF(OR($B54="",$C54="",$D54=""),"Complete holiday fields",IF(COUNTIF('Team Setup'!$H$10:$H$59,$C54)&lt;&gt;1,"Check office location",IF($D54="All","Ready",IF(COUNTIFS('Team Setup'!$H$64:$H$163,$D54,'Team Setup'!$I$64:$I$163,$C54)=1,"Ready","Check group and location"))))))</x:f>
      </x:c>
      <x:c r="F54" s="2"/>
      <x:c r="G54" s="12"/>
      <x:c r="H54" s="20"/>
      <x:c r="I54" s="14"/>
      <x:c r="J54" s="13" t="str">
        <x:f>IF($G54="","",IF(OR(NOT(ISNUMBER($H54)),NOT(ISNUMBER($I54)),$I54&lt;=0),"Complete PTO fields",IF(COUNTIF('Team Setup'!$A$10:$A$34,$G54)=1,"Ready","Check member name")))</x:f>
      </x:c>
    </x:row>
    <x:row r="55">
      <x:c r="A55" s="20"/>
      <x:c r="B55" s="12"/>
      <x:c r="C55" s="12"/>
      <x:c r="D55" s="12"/>
      <x:c r="E55" s="13" t="str">
        <x:f>IF($A55="","",IF(NOT(ISNUMBER($A55)),"Enter a real date",IF(OR($B55="",$C55="",$D55=""),"Complete holiday fields",IF(COUNTIF('Team Setup'!$H$10:$H$59,$C55)&lt;&gt;1,"Check office location",IF($D55="All","Ready",IF(COUNTIFS('Team Setup'!$H$64:$H$163,$D55,'Team Setup'!$I$64:$I$163,$C55)=1,"Ready","Check group and location"))))))</x:f>
      </x:c>
      <x:c r="F55" s="2"/>
      <x:c r="G55" s="12"/>
      <x:c r="H55" s="20"/>
      <x:c r="I55" s="14"/>
      <x:c r="J55" s="13" t="str">
        <x:f>IF($G55="","",IF(OR(NOT(ISNUMBER($H55)),NOT(ISNUMBER($I55)),$I55&lt;=0),"Complete PTO fields",IF(COUNTIF('Team Setup'!$A$10:$A$34,$G55)=1,"Ready","Check member name")))</x:f>
      </x:c>
    </x:row>
    <x:row r="56">
      <x:c r="A56" s="20"/>
      <x:c r="B56" s="12"/>
      <x:c r="C56" s="12"/>
      <x:c r="D56" s="12"/>
      <x:c r="E56" s="13" t="str">
        <x:f>IF($A56="","",IF(NOT(ISNUMBER($A56)),"Enter a real date",IF(OR($B56="",$C56="",$D56=""),"Complete holiday fields",IF(COUNTIF('Team Setup'!$H$10:$H$59,$C56)&lt;&gt;1,"Check office location",IF($D56="All","Ready",IF(COUNTIFS('Team Setup'!$H$64:$H$163,$D56,'Team Setup'!$I$64:$I$163,$C56)=1,"Ready","Check group and location"))))))</x:f>
      </x:c>
      <x:c r="F56" s="2"/>
      <x:c r="G56" s="12"/>
      <x:c r="H56" s="20"/>
      <x:c r="I56" s="14"/>
      <x:c r="J56" s="13" t="str">
        <x:f>IF($G56="","",IF(OR(NOT(ISNUMBER($H56)),NOT(ISNUMBER($I56)),$I56&lt;=0),"Complete PTO fields",IF(COUNTIF('Team Setup'!$A$10:$A$34,$G56)=1,"Ready","Check member name")))</x:f>
      </x:c>
    </x:row>
    <x:row r="57">
      <x:c r="A57" s="20"/>
      <x:c r="B57" s="12"/>
      <x:c r="C57" s="12"/>
      <x:c r="D57" s="12"/>
      <x:c r="E57" s="13" t="str">
        <x:f>IF($A57="","",IF(NOT(ISNUMBER($A57)),"Enter a real date",IF(OR($B57="",$C57="",$D57=""),"Complete holiday fields",IF(COUNTIF('Team Setup'!$H$10:$H$59,$C57)&lt;&gt;1,"Check office location",IF($D57="All","Ready",IF(COUNTIFS('Team Setup'!$H$64:$H$163,$D57,'Team Setup'!$I$64:$I$163,$C57)=1,"Ready","Check group and location"))))))</x:f>
      </x:c>
      <x:c r="F57" s="2"/>
      <x:c r="G57" s="12"/>
      <x:c r="H57" s="20"/>
      <x:c r="I57" s="14"/>
      <x:c r="J57" s="13" t="str">
        <x:f>IF($G57="","",IF(OR(NOT(ISNUMBER($H57)),NOT(ISNUMBER($I57)),$I57&lt;=0),"Complete PTO fields",IF(COUNTIF('Team Setup'!$A$10:$A$34,$G57)=1,"Ready","Check member name")))</x:f>
      </x:c>
    </x:row>
    <x:row r="58">
      <x:c r="A58" s="20"/>
      <x:c r="B58" s="12"/>
      <x:c r="C58" s="12"/>
      <x:c r="D58" s="12"/>
      <x:c r="E58" s="13" t="str">
        <x:f>IF($A58="","",IF(NOT(ISNUMBER($A58)),"Enter a real date",IF(OR($B58="",$C58="",$D58=""),"Complete holiday fields",IF(COUNTIF('Team Setup'!$H$10:$H$59,$C58)&lt;&gt;1,"Check office location",IF($D58="All","Ready",IF(COUNTIFS('Team Setup'!$H$64:$H$163,$D58,'Team Setup'!$I$64:$I$163,$C58)=1,"Ready","Check group and location"))))))</x:f>
      </x:c>
      <x:c r="F58" s="2"/>
      <x:c r="G58" s="12"/>
      <x:c r="H58" s="20"/>
      <x:c r="I58" s="14"/>
      <x:c r="J58" s="13" t="str">
        <x:f>IF($G58="","",IF(OR(NOT(ISNUMBER($H58)),NOT(ISNUMBER($I58)),$I58&lt;=0),"Complete PTO fields",IF(COUNTIF('Team Setup'!$A$10:$A$34,$G58)=1,"Ready","Check member name")))</x:f>
      </x:c>
    </x:row>
    <x:row r="59">
      <x:c r="A59" s="20"/>
      <x:c r="B59" s="12"/>
      <x:c r="C59" s="12"/>
      <x:c r="D59" s="12"/>
      <x:c r="E59" s="13" t="str">
        <x:f>IF($A59="","",IF(NOT(ISNUMBER($A59)),"Enter a real date",IF(OR($B59="",$C59="",$D59=""),"Complete holiday fields",IF(COUNTIF('Team Setup'!$H$10:$H$59,$C59)&lt;&gt;1,"Check office location",IF($D59="All","Ready",IF(COUNTIFS('Team Setup'!$H$64:$H$163,$D59,'Team Setup'!$I$64:$I$163,$C59)=1,"Ready","Check group and location"))))))</x:f>
      </x:c>
      <x:c r="F59" s="2"/>
      <x:c r="G59" s="12"/>
      <x:c r="H59" s="20"/>
      <x:c r="I59" s="14"/>
      <x:c r="J59" s="13" t="str">
        <x:f>IF($G59="","",IF(OR(NOT(ISNUMBER($H59)),NOT(ISNUMBER($I59)),$I59&lt;=0),"Complete PTO fields",IF(COUNTIF('Team Setup'!$A$10:$A$34,$G59)=1,"Ready","Check member name")))</x:f>
      </x:c>
    </x:row>
    <x:row r="60">
      <x:c r="A60" s="20"/>
      <x:c r="B60" s="12"/>
      <x:c r="C60" s="12"/>
      <x:c r="D60" s="12"/>
      <x:c r="E60" s="13" t="str">
        <x:f>IF($A60="","",IF(NOT(ISNUMBER($A60)),"Enter a real date",IF(OR($B60="",$C60="",$D60=""),"Complete holiday fields",IF(COUNTIF('Team Setup'!$H$10:$H$59,$C60)&lt;&gt;1,"Check office location",IF($D60="All","Ready",IF(COUNTIFS('Team Setup'!$H$64:$H$163,$D60,'Team Setup'!$I$64:$I$163,$C60)=1,"Ready","Check group and location"))))))</x:f>
      </x:c>
      <x:c r="F60" s="2"/>
      <x:c r="G60" s="12"/>
      <x:c r="H60" s="20"/>
      <x:c r="I60" s="14"/>
      <x:c r="J60" s="13" t="str">
        <x:f>IF($G60="","",IF(OR(NOT(ISNUMBER($H60)),NOT(ISNUMBER($I60)),$I60&lt;=0),"Complete PTO fields",IF(COUNTIF('Team Setup'!$A$10:$A$34,$G60)=1,"Ready","Check member name")))</x:f>
      </x:c>
    </x:row>
    <x:row r="61">
      <x:c r="A61" s="20"/>
      <x:c r="B61" s="12"/>
      <x:c r="C61" s="12"/>
      <x:c r="D61" s="12"/>
      <x:c r="E61" s="13" t="str">
        <x:f>IF($A61="","",IF(NOT(ISNUMBER($A61)),"Enter a real date",IF(OR($B61="",$C61="",$D61=""),"Complete holiday fields",IF(COUNTIF('Team Setup'!$H$10:$H$59,$C61)&lt;&gt;1,"Check office location",IF($D61="All","Ready",IF(COUNTIFS('Team Setup'!$H$64:$H$163,$D61,'Team Setup'!$I$64:$I$163,$C61)=1,"Ready","Check group and location"))))))</x:f>
      </x:c>
      <x:c r="F61" s="2"/>
      <x:c r="G61" s="12"/>
      <x:c r="H61" s="20"/>
      <x:c r="I61" s="14"/>
      <x:c r="J61" s="13" t="str">
        <x:f>IF($G61="","",IF(OR(NOT(ISNUMBER($H61)),NOT(ISNUMBER($I61)),$I61&lt;=0),"Complete PTO fields",IF(COUNTIF('Team Setup'!$A$10:$A$34,$G61)=1,"Ready","Check member name")))</x:f>
      </x:c>
    </x:row>
    <x:row r="62">
      <x:c r="A62" s="20"/>
      <x:c r="B62" s="12"/>
      <x:c r="C62" s="12"/>
      <x:c r="D62" s="12"/>
      <x:c r="E62" s="13" t="str">
        <x:f>IF($A62="","",IF(NOT(ISNUMBER($A62)),"Enter a real date",IF(OR($B62="",$C62="",$D62=""),"Complete holiday fields",IF(COUNTIF('Team Setup'!$H$10:$H$59,$C62)&lt;&gt;1,"Check office location",IF($D62="All","Ready",IF(COUNTIFS('Team Setup'!$H$64:$H$163,$D62,'Team Setup'!$I$64:$I$163,$C62)=1,"Ready","Check group and location"))))))</x:f>
      </x:c>
      <x:c r="F62" s="2"/>
      <x:c r="G62" s="12"/>
      <x:c r="H62" s="20"/>
      <x:c r="I62" s="14"/>
      <x:c r="J62" s="13" t="str">
        <x:f>IF($G62="","",IF(OR(NOT(ISNUMBER($H62)),NOT(ISNUMBER($I62)),$I62&lt;=0),"Complete PTO fields",IF(COUNTIF('Team Setup'!$A$10:$A$34,$G62)=1,"Ready","Check member name")))</x:f>
      </x:c>
    </x:row>
    <x:row r="63">
      <x:c r="A63" s="20"/>
      <x:c r="B63" s="12"/>
      <x:c r="C63" s="12"/>
      <x:c r="D63" s="12"/>
      <x:c r="E63" s="13" t="str">
        <x:f>IF($A63="","",IF(NOT(ISNUMBER($A63)),"Enter a real date",IF(OR($B63="",$C63="",$D63=""),"Complete holiday fields",IF(COUNTIF('Team Setup'!$H$10:$H$59,$C63)&lt;&gt;1,"Check office location",IF($D63="All","Ready",IF(COUNTIFS('Team Setup'!$H$64:$H$163,$D63,'Team Setup'!$I$64:$I$163,$C63)=1,"Ready","Check group and location"))))))</x:f>
      </x:c>
      <x:c r="F63" s="2"/>
      <x:c r="G63" s="12"/>
      <x:c r="H63" s="20"/>
      <x:c r="I63" s="14"/>
      <x:c r="J63" s="13" t="str">
        <x:f>IF($G63="","",IF(OR(NOT(ISNUMBER($H63)),NOT(ISNUMBER($I63)),$I63&lt;=0),"Complete PTO fields",IF(COUNTIF('Team Setup'!$A$10:$A$34,$G63)=1,"Ready","Check member name")))</x:f>
      </x:c>
    </x:row>
    <x:row r="64">
      <x:c r="A64" s="20"/>
      <x:c r="B64" s="12"/>
      <x:c r="C64" s="12"/>
      <x:c r="D64" s="12"/>
      <x:c r="E64" s="13" t="str">
        <x:f>IF($A64="","",IF(NOT(ISNUMBER($A64)),"Enter a real date",IF(OR($B64="",$C64="",$D64=""),"Complete holiday fields",IF(COUNTIF('Team Setup'!$H$10:$H$59,$C64)&lt;&gt;1,"Check office location",IF($D64="All","Ready",IF(COUNTIFS('Team Setup'!$H$64:$H$163,$D64,'Team Setup'!$I$64:$I$163,$C64)=1,"Ready","Check group and location"))))))</x:f>
      </x:c>
      <x:c r="F64" s="2"/>
      <x:c r="G64" s="12"/>
      <x:c r="H64" s="20"/>
      <x:c r="I64" s="14"/>
      <x:c r="J64" s="13" t="str">
        <x:f>IF($G64="","",IF(OR(NOT(ISNUMBER($H64)),NOT(ISNUMBER($I64)),$I64&lt;=0),"Complete PTO fields",IF(COUNTIF('Team Setup'!$A$10:$A$34,$G64)=1,"Ready","Check member name")))</x:f>
      </x:c>
    </x:row>
    <x:row r="65">
      <x:c r="A65" s="20"/>
      <x:c r="B65" s="12"/>
      <x:c r="C65" s="12"/>
      <x:c r="D65" s="12"/>
      <x:c r="E65" s="13" t="str">
        <x:f>IF($A65="","",IF(NOT(ISNUMBER($A65)),"Enter a real date",IF(OR($B65="",$C65="",$D65=""),"Complete holiday fields",IF(COUNTIF('Team Setup'!$H$10:$H$59,$C65)&lt;&gt;1,"Check office location",IF($D65="All","Ready",IF(COUNTIFS('Team Setup'!$H$64:$H$163,$D65,'Team Setup'!$I$64:$I$163,$C65)=1,"Ready","Check group and location"))))))</x:f>
      </x:c>
      <x:c r="F65" s="2"/>
      <x:c r="G65" s="12"/>
      <x:c r="H65" s="20"/>
      <x:c r="I65" s="14"/>
      <x:c r="J65" s="13" t="str">
        <x:f>IF($G65="","",IF(OR(NOT(ISNUMBER($H65)),NOT(ISNUMBER($I65)),$I65&lt;=0),"Complete PTO fields",IF(COUNTIF('Team Setup'!$A$10:$A$34,$G65)=1,"Ready","Check member name")))</x:f>
      </x:c>
    </x:row>
    <x:row r="66">
      <x:c r="A66" s="20"/>
      <x:c r="B66" s="12"/>
      <x:c r="C66" s="12"/>
      <x:c r="D66" s="12"/>
      <x:c r="E66" s="13" t="str">
        <x:f>IF($A66="","",IF(NOT(ISNUMBER($A66)),"Enter a real date",IF(OR($B66="",$C66="",$D66=""),"Complete holiday fields",IF(COUNTIF('Team Setup'!$H$10:$H$59,$C66)&lt;&gt;1,"Check office location",IF($D66="All","Ready",IF(COUNTIFS('Team Setup'!$H$64:$H$163,$D66,'Team Setup'!$I$64:$I$163,$C66)=1,"Ready","Check group and location"))))))</x:f>
      </x:c>
      <x:c r="F66" s="2"/>
      <x:c r="G66" s="12"/>
      <x:c r="H66" s="20"/>
      <x:c r="I66" s="14"/>
      <x:c r="J66" s="13" t="str">
        <x:f>IF($G66="","",IF(OR(NOT(ISNUMBER($H66)),NOT(ISNUMBER($I66)),$I66&lt;=0),"Complete PTO fields",IF(COUNTIF('Team Setup'!$A$10:$A$34,$G66)=1,"Ready","Check member name")))</x:f>
      </x:c>
    </x:row>
    <x:row r="67">
      <x:c r="A67" s="20"/>
      <x:c r="B67" s="12"/>
      <x:c r="C67" s="12"/>
      <x:c r="D67" s="12"/>
      <x:c r="E67" s="13" t="str">
        <x:f>IF($A67="","",IF(NOT(ISNUMBER($A67)),"Enter a real date",IF(OR($B67="",$C67="",$D67=""),"Complete holiday fields",IF(COUNTIF('Team Setup'!$H$10:$H$59,$C67)&lt;&gt;1,"Check office location",IF($D67="All","Ready",IF(COUNTIFS('Team Setup'!$H$64:$H$163,$D67,'Team Setup'!$I$64:$I$163,$C67)=1,"Ready","Check group and location"))))))</x:f>
      </x:c>
      <x:c r="F67" s="2"/>
      <x:c r="G67" s="12"/>
      <x:c r="H67" s="20"/>
      <x:c r="I67" s="14"/>
      <x:c r="J67" s="13" t="str">
        <x:f>IF($G67="","",IF(OR(NOT(ISNUMBER($H67)),NOT(ISNUMBER($I67)),$I67&lt;=0),"Complete PTO fields",IF(COUNTIF('Team Setup'!$A$10:$A$34,$G67)=1,"Ready","Check member name")))</x:f>
      </x:c>
    </x:row>
    <x:row r="68">
      <x:c r="A68" s="20"/>
      <x:c r="B68" s="12"/>
      <x:c r="C68" s="12"/>
      <x:c r="D68" s="12"/>
      <x:c r="E68" s="13" t="str">
        <x:f>IF($A68="","",IF(NOT(ISNUMBER($A68)),"Enter a real date",IF(OR($B68="",$C68="",$D68=""),"Complete holiday fields",IF(COUNTIF('Team Setup'!$H$10:$H$59,$C68)&lt;&gt;1,"Check office location",IF($D68="All","Ready",IF(COUNTIFS('Team Setup'!$H$64:$H$163,$D68,'Team Setup'!$I$64:$I$163,$C68)=1,"Ready","Check group and location"))))))</x:f>
      </x:c>
      <x:c r="F68" s="2"/>
      <x:c r="G68" s="12"/>
      <x:c r="H68" s="20"/>
      <x:c r="I68" s="14"/>
      <x:c r="J68" s="13" t="str">
        <x:f>IF($G68="","",IF(OR(NOT(ISNUMBER($H68)),NOT(ISNUMBER($I68)),$I68&lt;=0),"Complete PTO fields",IF(COUNTIF('Team Setup'!$A$10:$A$34,$G68)=1,"Ready","Check member name")))</x:f>
      </x:c>
    </x:row>
    <x:row r="69">
      <x:c r="A69" s="20"/>
      <x:c r="B69" s="12"/>
      <x:c r="C69" s="12"/>
      <x:c r="D69" s="12"/>
      <x:c r="E69" s="13" t="str">
        <x:f>IF($A69="","",IF(NOT(ISNUMBER($A69)),"Enter a real date",IF(OR($B69="",$C69="",$D69=""),"Complete holiday fields",IF(COUNTIF('Team Setup'!$H$10:$H$59,$C69)&lt;&gt;1,"Check office location",IF($D69="All","Ready",IF(COUNTIFS('Team Setup'!$H$64:$H$163,$D69,'Team Setup'!$I$64:$I$163,$C69)=1,"Ready","Check group and location"))))))</x:f>
      </x:c>
      <x:c r="F69" s="2"/>
      <x:c r="G69" s="12"/>
      <x:c r="H69" s="20"/>
      <x:c r="I69" s="14"/>
      <x:c r="J69" s="13" t="str">
        <x:f>IF($G69="","",IF(OR(NOT(ISNUMBER($H69)),NOT(ISNUMBER($I69)),$I69&lt;=0),"Complete PTO fields",IF(COUNTIF('Team Setup'!$A$10:$A$34,$G69)=1,"Ready","Check member name")))</x:f>
      </x:c>
    </x:row>
    <x:row r="70">
      <x:c r="A70" s="20"/>
      <x:c r="B70" s="12"/>
      <x:c r="C70" s="12"/>
      <x:c r="D70" s="12"/>
      <x:c r="E70" s="13" t="str">
        <x:f>IF($A70="","",IF(NOT(ISNUMBER($A70)),"Enter a real date",IF(OR($B70="",$C70="",$D70=""),"Complete holiday fields",IF(COUNTIF('Team Setup'!$H$10:$H$59,$C70)&lt;&gt;1,"Check office location",IF($D70="All","Ready",IF(COUNTIFS('Team Setup'!$H$64:$H$163,$D70,'Team Setup'!$I$64:$I$163,$C70)=1,"Ready","Check group and location"))))))</x:f>
      </x:c>
      <x:c r="F70" s="2"/>
      <x:c r="G70" s="12"/>
      <x:c r="H70" s="20"/>
      <x:c r="I70" s="14"/>
      <x:c r="J70" s="13" t="str">
        <x:f>IF($G70="","",IF(OR(NOT(ISNUMBER($H70)),NOT(ISNUMBER($I70)),$I70&lt;=0),"Complete PTO fields",IF(COUNTIF('Team Setup'!$A$10:$A$34,$G70)=1,"Ready","Check member name")))</x:f>
      </x:c>
    </x:row>
    <x:row r="71">
      <x:c r="A71" s="20"/>
      <x:c r="B71" s="12"/>
      <x:c r="C71" s="12"/>
      <x:c r="D71" s="12"/>
      <x:c r="E71" s="13" t="str">
        <x:f>IF($A71="","",IF(NOT(ISNUMBER($A71)),"Enter a real date",IF(OR($B71="",$C71="",$D71=""),"Complete holiday fields",IF(COUNTIF('Team Setup'!$H$10:$H$59,$C71)&lt;&gt;1,"Check office location",IF($D71="All","Ready",IF(COUNTIFS('Team Setup'!$H$64:$H$163,$D71,'Team Setup'!$I$64:$I$163,$C71)=1,"Ready","Check group and location"))))))</x:f>
      </x:c>
      <x:c r="F71" s="2"/>
      <x:c r="G71" s="12"/>
      <x:c r="H71" s="20"/>
      <x:c r="I71" s="14"/>
      <x:c r="J71" s="13" t="str">
        <x:f>IF($G71="","",IF(OR(NOT(ISNUMBER($H71)),NOT(ISNUMBER($I71)),$I71&lt;=0),"Complete PTO fields",IF(COUNTIF('Team Setup'!$A$10:$A$34,$G71)=1,"Ready","Check member name")))</x:f>
      </x:c>
    </x:row>
    <x:row r="72">
      <x:c r="A72" s="20"/>
      <x:c r="B72" s="12"/>
      <x:c r="C72" s="12"/>
      <x:c r="D72" s="12"/>
      <x:c r="E72" s="13" t="str">
        <x:f>IF($A72="","",IF(NOT(ISNUMBER($A72)),"Enter a real date",IF(OR($B72="",$C72="",$D72=""),"Complete holiday fields",IF(COUNTIF('Team Setup'!$H$10:$H$59,$C72)&lt;&gt;1,"Check office location",IF($D72="All","Ready",IF(COUNTIFS('Team Setup'!$H$64:$H$163,$D72,'Team Setup'!$I$64:$I$163,$C72)=1,"Ready","Check group and location"))))))</x:f>
      </x:c>
      <x:c r="F72" s="2"/>
      <x:c r="G72" s="12"/>
      <x:c r="H72" s="20"/>
      <x:c r="I72" s="14"/>
      <x:c r="J72" s="13" t="str">
        <x:f>IF($G72="","",IF(OR(NOT(ISNUMBER($H72)),NOT(ISNUMBER($I72)),$I72&lt;=0),"Complete PTO fields",IF(COUNTIF('Team Setup'!$A$10:$A$34,$G72)=1,"Ready","Check member name")))</x:f>
      </x:c>
    </x:row>
    <x:row r="73">
      <x:c r="A73" s="20"/>
      <x:c r="B73" s="12"/>
      <x:c r="C73" s="12"/>
      <x:c r="D73" s="12"/>
      <x:c r="E73" s="13" t="str">
        <x:f>IF($A73="","",IF(NOT(ISNUMBER($A73)),"Enter a real date",IF(OR($B73="",$C73="",$D73=""),"Complete holiday fields",IF(COUNTIF('Team Setup'!$H$10:$H$59,$C73)&lt;&gt;1,"Check office location",IF($D73="All","Ready",IF(COUNTIFS('Team Setup'!$H$64:$H$163,$D73,'Team Setup'!$I$64:$I$163,$C73)=1,"Ready","Check group and location"))))))</x:f>
      </x:c>
      <x:c r="F73" s="2"/>
      <x:c r="G73" s="12"/>
      <x:c r="H73" s="20"/>
      <x:c r="I73" s="14"/>
      <x:c r="J73" s="13" t="str">
        <x:f>IF($G73="","",IF(OR(NOT(ISNUMBER($H73)),NOT(ISNUMBER($I73)),$I73&lt;=0),"Complete PTO fields",IF(COUNTIF('Team Setup'!$A$10:$A$34,$G73)=1,"Ready","Check member name")))</x:f>
      </x:c>
    </x:row>
    <x:row r="74">
      <x:c r="A74" s="20"/>
      <x:c r="B74" s="12"/>
      <x:c r="C74" s="12"/>
      <x:c r="D74" s="12"/>
      <x:c r="E74" s="13" t="str">
        <x:f>IF($A74="","",IF(NOT(ISNUMBER($A74)),"Enter a real date",IF(OR($B74="",$C74="",$D74=""),"Complete holiday fields",IF(COUNTIF('Team Setup'!$H$10:$H$59,$C74)&lt;&gt;1,"Check office location",IF($D74="All","Ready",IF(COUNTIFS('Team Setup'!$H$64:$H$163,$D74,'Team Setup'!$I$64:$I$163,$C74)=1,"Ready","Check group and location"))))))</x:f>
      </x:c>
      <x:c r="F74" s="2"/>
      <x:c r="G74" s="12"/>
      <x:c r="H74" s="20"/>
      <x:c r="I74" s="14"/>
      <x:c r="J74" s="13" t="str">
        <x:f>IF($G74="","",IF(OR(NOT(ISNUMBER($H74)),NOT(ISNUMBER($I74)),$I74&lt;=0),"Complete PTO fields",IF(COUNTIF('Team Setup'!$A$10:$A$34,$G74)=1,"Ready","Check member name")))</x:f>
      </x:c>
    </x:row>
    <x:row r="75">
      <x:c r="A75" s="20"/>
      <x:c r="B75" s="12"/>
      <x:c r="C75" s="12"/>
      <x:c r="D75" s="12"/>
      <x:c r="E75" s="13" t="str">
        <x:f>IF($A75="","",IF(NOT(ISNUMBER($A75)),"Enter a real date",IF(OR($B75="",$C75="",$D75=""),"Complete holiday fields",IF(COUNTIF('Team Setup'!$H$10:$H$59,$C75)&lt;&gt;1,"Check office location",IF($D75="All","Ready",IF(COUNTIFS('Team Setup'!$H$64:$H$163,$D75,'Team Setup'!$I$64:$I$163,$C75)=1,"Ready","Check group and location"))))))</x:f>
      </x:c>
      <x:c r="F75" s="2"/>
      <x:c r="G75" s="12"/>
      <x:c r="H75" s="20"/>
      <x:c r="I75" s="14"/>
      <x:c r="J75" s="13" t="str">
        <x:f>IF($G75="","",IF(OR(NOT(ISNUMBER($H75)),NOT(ISNUMBER($I75)),$I75&lt;=0),"Complete PTO fields",IF(COUNTIF('Team Setup'!$A$10:$A$34,$G75)=1,"Ready","Check member name")))</x:f>
      </x:c>
    </x:row>
    <x:row r="76">
      <x:c r="A76" s="20"/>
      <x:c r="B76" s="12"/>
      <x:c r="C76" s="12"/>
      <x:c r="D76" s="12"/>
      <x:c r="E76" s="13" t="str">
        <x:f>IF($A76="","",IF(NOT(ISNUMBER($A76)),"Enter a real date",IF(OR($B76="",$C76="",$D76=""),"Complete holiday fields",IF(COUNTIF('Team Setup'!$H$10:$H$59,$C76)&lt;&gt;1,"Check office location",IF($D76="All","Ready",IF(COUNTIFS('Team Setup'!$H$64:$H$163,$D76,'Team Setup'!$I$64:$I$163,$C76)=1,"Ready","Check group and location"))))))</x:f>
      </x:c>
      <x:c r="F76" s="2"/>
      <x:c r="G76" s="12"/>
      <x:c r="H76" s="20"/>
      <x:c r="I76" s="14"/>
      <x:c r="J76" s="13" t="str">
        <x:f>IF($G76="","",IF(OR(NOT(ISNUMBER($H76)),NOT(ISNUMBER($I76)),$I76&lt;=0),"Complete PTO fields",IF(COUNTIF('Team Setup'!$A$10:$A$34,$G76)=1,"Ready","Check member name")))</x:f>
      </x:c>
    </x:row>
    <x:row r="77">
      <x:c r="A77" s="20"/>
      <x:c r="B77" s="12"/>
      <x:c r="C77" s="12"/>
      <x:c r="D77" s="12"/>
      <x:c r="E77" s="13" t="str">
        <x:f>IF($A77="","",IF(NOT(ISNUMBER($A77)),"Enter a real date",IF(OR($B77="",$C77="",$D77=""),"Complete holiday fields",IF(COUNTIF('Team Setup'!$H$10:$H$59,$C77)&lt;&gt;1,"Check office location",IF($D77="All","Ready",IF(COUNTIFS('Team Setup'!$H$64:$H$163,$D77,'Team Setup'!$I$64:$I$163,$C77)=1,"Ready","Check group and location"))))))</x:f>
      </x:c>
      <x:c r="F77" s="2"/>
      <x:c r="G77" s="12"/>
      <x:c r="H77" s="20"/>
      <x:c r="I77" s="14"/>
      <x:c r="J77" s="13" t="str">
        <x:f>IF($G77="","",IF(OR(NOT(ISNUMBER($H77)),NOT(ISNUMBER($I77)),$I77&lt;=0),"Complete PTO fields",IF(COUNTIF('Team Setup'!$A$10:$A$34,$G77)=1,"Ready","Check member name")))</x:f>
      </x:c>
    </x:row>
    <x:row r="78">
      <x:c r="A78" s="20"/>
      <x:c r="B78" s="12"/>
      <x:c r="C78" s="12"/>
      <x:c r="D78" s="12"/>
      <x:c r="E78" s="13" t="str">
        <x:f>IF($A78="","",IF(NOT(ISNUMBER($A78)),"Enter a real date",IF(OR($B78="",$C78="",$D78=""),"Complete holiday fields",IF(COUNTIF('Team Setup'!$H$10:$H$59,$C78)&lt;&gt;1,"Check office location",IF($D78="All","Ready",IF(COUNTIFS('Team Setup'!$H$64:$H$163,$D78,'Team Setup'!$I$64:$I$163,$C78)=1,"Ready","Check group and location"))))))</x:f>
      </x:c>
      <x:c r="F78" s="2"/>
      <x:c r="G78" s="12"/>
      <x:c r="H78" s="20"/>
      <x:c r="I78" s="14"/>
      <x:c r="J78" s="13" t="str">
        <x:f>IF($G78="","",IF(OR(NOT(ISNUMBER($H78)),NOT(ISNUMBER($I78)),$I78&lt;=0),"Complete PTO fields",IF(COUNTIF('Team Setup'!$A$10:$A$34,$G78)=1,"Ready","Check member name")))</x:f>
      </x:c>
    </x:row>
    <x:row r="79">
      <x:c r="A79" s="20"/>
      <x:c r="B79" s="12"/>
      <x:c r="C79" s="12"/>
      <x:c r="D79" s="12"/>
      <x:c r="E79" s="13" t="str">
        <x:f>IF($A79="","",IF(NOT(ISNUMBER($A79)),"Enter a real date",IF(OR($B79="",$C79="",$D79=""),"Complete holiday fields",IF(COUNTIF('Team Setup'!$H$10:$H$59,$C79)&lt;&gt;1,"Check office location",IF($D79="All","Ready",IF(COUNTIFS('Team Setup'!$H$64:$H$163,$D79,'Team Setup'!$I$64:$I$163,$C79)=1,"Ready","Check group and location"))))))</x:f>
      </x:c>
      <x:c r="F79" s="2"/>
      <x:c r="G79" s="12"/>
      <x:c r="H79" s="20"/>
      <x:c r="I79" s="14"/>
      <x:c r="J79" s="13" t="str">
        <x:f>IF($G79="","",IF(OR(NOT(ISNUMBER($H79)),NOT(ISNUMBER($I79)),$I79&lt;=0),"Complete PTO fields",IF(COUNTIF('Team Setup'!$A$10:$A$34,$G79)=1,"Ready","Check member name")))</x:f>
      </x:c>
    </x:row>
    <x:row r="80">
      <x:c r="A80" s="20"/>
      <x:c r="B80" s="12"/>
      <x:c r="C80" s="12"/>
      <x:c r="D80" s="12"/>
      <x:c r="E80" s="13" t="str">
        <x:f>IF($A80="","",IF(NOT(ISNUMBER($A80)),"Enter a real date",IF(OR($B80="",$C80="",$D80=""),"Complete holiday fields",IF(COUNTIF('Team Setup'!$H$10:$H$59,$C80)&lt;&gt;1,"Check office location",IF($D80="All","Ready",IF(COUNTIFS('Team Setup'!$H$64:$H$163,$D80,'Team Setup'!$I$64:$I$163,$C80)=1,"Ready","Check group and location"))))))</x:f>
      </x:c>
      <x:c r="F80" s="2"/>
      <x:c r="G80" s="12"/>
      <x:c r="H80" s="20"/>
      <x:c r="I80" s="14"/>
      <x:c r="J80" s="13" t="str">
        <x:f>IF($G80="","",IF(OR(NOT(ISNUMBER($H80)),NOT(ISNUMBER($I80)),$I80&lt;=0),"Complete PTO fields",IF(COUNTIF('Team Setup'!$A$10:$A$34,$G80)=1,"Ready","Check member name")))</x:f>
      </x:c>
    </x:row>
    <x:row r="81">
      <x:c r="A81" s="20"/>
      <x:c r="B81" s="12"/>
      <x:c r="C81" s="12"/>
      <x:c r="D81" s="12"/>
      <x:c r="E81" s="13" t="str">
        <x:f>IF($A81="","",IF(NOT(ISNUMBER($A81)),"Enter a real date",IF(OR($B81="",$C81="",$D81=""),"Complete holiday fields",IF(COUNTIF('Team Setup'!$H$10:$H$59,$C81)&lt;&gt;1,"Check office location",IF($D81="All","Ready",IF(COUNTIFS('Team Setup'!$H$64:$H$163,$D81,'Team Setup'!$I$64:$I$163,$C81)=1,"Ready","Check group and location"))))))</x:f>
      </x:c>
      <x:c r="F81" s="2"/>
      <x:c r="G81" s="12"/>
      <x:c r="H81" s="20"/>
      <x:c r="I81" s="14"/>
      <x:c r="J81" s="13" t="str">
        <x:f>IF($G81="","",IF(OR(NOT(ISNUMBER($H81)),NOT(ISNUMBER($I81)),$I81&lt;=0),"Complete PTO fields",IF(COUNTIF('Team Setup'!$A$10:$A$34,$G81)=1,"Ready","Check member name")))</x:f>
      </x:c>
    </x:row>
    <x:row r="82">
      <x:c r="A82" s="20"/>
      <x:c r="B82" s="12"/>
      <x:c r="C82" s="12"/>
      <x:c r="D82" s="12"/>
      <x:c r="E82" s="13" t="str">
        <x:f>IF($A82="","",IF(NOT(ISNUMBER($A82)),"Enter a real date",IF(OR($B82="",$C82="",$D82=""),"Complete holiday fields",IF(COUNTIF('Team Setup'!$H$10:$H$59,$C82)&lt;&gt;1,"Check office location",IF($D82="All","Ready",IF(COUNTIFS('Team Setup'!$H$64:$H$163,$D82,'Team Setup'!$I$64:$I$163,$C82)=1,"Ready","Check group and location"))))))</x:f>
      </x:c>
      <x:c r="F82" s="2"/>
      <x:c r="G82" s="12"/>
      <x:c r="H82" s="20"/>
      <x:c r="I82" s="14"/>
      <x:c r="J82" s="13" t="str">
        <x:f>IF($G82="","",IF(OR(NOT(ISNUMBER($H82)),NOT(ISNUMBER($I82)),$I82&lt;=0),"Complete PTO fields",IF(COUNTIF('Team Setup'!$A$10:$A$34,$G82)=1,"Ready","Check member name")))</x:f>
      </x:c>
    </x:row>
    <x:row r="83">
      <x:c r="A83" s="20"/>
      <x:c r="B83" s="12"/>
      <x:c r="C83" s="12"/>
      <x:c r="D83" s="12"/>
      <x:c r="E83" s="13" t="str">
        <x:f>IF($A83="","",IF(NOT(ISNUMBER($A83)),"Enter a real date",IF(OR($B83="",$C83="",$D83=""),"Complete holiday fields",IF(COUNTIF('Team Setup'!$H$10:$H$59,$C83)&lt;&gt;1,"Check office location",IF($D83="All","Ready",IF(COUNTIFS('Team Setup'!$H$64:$H$163,$D83,'Team Setup'!$I$64:$I$163,$C83)=1,"Ready","Check group and location"))))))</x:f>
      </x:c>
      <x:c r="F83" s="2"/>
      <x:c r="G83" s="12"/>
      <x:c r="H83" s="20"/>
      <x:c r="I83" s="14"/>
      <x:c r="J83" s="13" t="str">
        <x:f>IF($G83="","",IF(OR(NOT(ISNUMBER($H83)),NOT(ISNUMBER($I83)),$I83&lt;=0),"Complete PTO fields",IF(COUNTIF('Team Setup'!$A$10:$A$34,$G83)=1,"Ready","Check member name")))</x:f>
      </x:c>
    </x:row>
    <x:row r="84">
      <x:c r="A84" s="20"/>
      <x:c r="B84" s="12"/>
      <x:c r="C84" s="12"/>
      <x:c r="D84" s="12"/>
      <x:c r="E84" s="13" t="str">
        <x:f>IF($A84="","",IF(NOT(ISNUMBER($A84)),"Enter a real date",IF(OR($B84="",$C84="",$D84=""),"Complete holiday fields",IF(COUNTIF('Team Setup'!$H$10:$H$59,$C84)&lt;&gt;1,"Check office location",IF($D84="All","Ready",IF(COUNTIFS('Team Setup'!$H$64:$H$163,$D84,'Team Setup'!$I$64:$I$163,$C84)=1,"Ready","Check group and location"))))))</x:f>
      </x:c>
      <x:c r="F84" s="2"/>
      <x:c r="G84" s="12"/>
      <x:c r="H84" s="20"/>
      <x:c r="I84" s="14"/>
      <x:c r="J84" s="13" t="str">
        <x:f>IF($G84="","",IF(OR(NOT(ISNUMBER($H84)),NOT(ISNUMBER($I84)),$I84&lt;=0),"Complete PTO fields",IF(COUNTIF('Team Setup'!$A$10:$A$34,$G84)=1,"Ready","Check member name")))</x:f>
      </x:c>
    </x:row>
    <x:row r="85">
      <x:c r="A85" s="20"/>
      <x:c r="B85" s="12"/>
      <x:c r="C85" s="12"/>
      <x:c r="D85" s="12"/>
      <x:c r="E85" s="13" t="str">
        <x:f>IF($A85="","",IF(NOT(ISNUMBER($A85)),"Enter a real date",IF(OR($B85="",$C85="",$D85=""),"Complete holiday fields",IF(COUNTIF('Team Setup'!$H$10:$H$59,$C85)&lt;&gt;1,"Check office location",IF($D85="All","Ready",IF(COUNTIFS('Team Setup'!$H$64:$H$163,$D85,'Team Setup'!$I$64:$I$163,$C85)=1,"Ready","Check group and location"))))))</x:f>
      </x:c>
      <x:c r="F85" s="2"/>
      <x:c r="G85" s="12"/>
      <x:c r="H85" s="20"/>
      <x:c r="I85" s="14"/>
      <x:c r="J85" s="13" t="str">
        <x:f>IF($G85="","",IF(OR(NOT(ISNUMBER($H85)),NOT(ISNUMBER($I85)),$I85&lt;=0),"Complete PTO fields",IF(COUNTIF('Team Setup'!$A$10:$A$34,$G85)=1,"Ready","Check member name")))</x:f>
      </x:c>
    </x:row>
    <x:row r="86">
      <x:c r="A86" s="20"/>
      <x:c r="B86" s="12"/>
      <x:c r="C86" s="12"/>
      <x:c r="D86" s="12"/>
      <x:c r="E86" s="13" t="str">
        <x:f>IF($A86="","",IF(NOT(ISNUMBER($A86)),"Enter a real date",IF(OR($B86="",$C86="",$D86=""),"Complete holiday fields",IF(COUNTIF('Team Setup'!$H$10:$H$59,$C86)&lt;&gt;1,"Check office location",IF($D86="All","Ready",IF(COUNTIFS('Team Setup'!$H$64:$H$163,$D86,'Team Setup'!$I$64:$I$163,$C86)=1,"Ready","Check group and location"))))))</x:f>
      </x:c>
      <x:c r="F86" s="2"/>
      <x:c r="G86" s="12"/>
      <x:c r="H86" s="20"/>
      <x:c r="I86" s="14"/>
      <x:c r="J86" s="13" t="str">
        <x:f>IF($G86="","",IF(OR(NOT(ISNUMBER($H86)),NOT(ISNUMBER($I86)),$I86&lt;=0),"Complete PTO fields",IF(COUNTIF('Team Setup'!$A$10:$A$34,$G86)=1,"Ready","Check member name")))</x:f>
      </x:c>
    </x:row>
    <x:row r="87">
      <x:c r="A87" s="20"/>
      <x:c r="B87" s="12"/>
      <x:c r="C87" s="12"/>
      <x:c r="D87" s="12"/>
      <x:c r="E87" s="13" t="str">
        <x:f>IF($A87="","",IF(NOT(ISNUMBER($A87)),"Enter a real date",IF(OR($B87="",$C87="",$D87=""),"Complete holiday fields",IF(COUNTIF('Team Setup'!$H$10:$H$59,$C87)&lt;&gt;1,"Check office location",IF($D87="All","Ready",IF(COUNTIFS('Team Setup'!$H$64:$H$163,$D87,'Team Setup'!$I$64:$I$163,$C87)=1,"Ready","Check group and location"))))))</x:f>
      </x:c>
      <x:c r="F87" s="2"/>
      <x:c r="G87" s="12"/>
      <x:c r="H87" s="20"/>
      <x:c r="I87" s="14"/>
      <x:c r="J87" s="13" t="str">
        <x:f>IF($G87="","",IF(OR(NOT(ISNUMBER($H87)),NOT(ISNUMBER($I87)),$I87&lt;=0),"Complete PTO fields",IF(COUNTIF('Team Setup'!$A$10:$A$34,$G87)=1,"Ready","Check member name")))</x:f>
      </x:c>
    </x:row>
    <x:row r="88">
      <x:c r="A88" s="20"/>
      <x:c r="B88" s="12"/>
      <x:c r="C88" s="12"/>
      <x:c r="D88" s="12"/>
      <x:c r="E88" s="13" t="str">
        <x:f>IF($A88="","",IF(NOT(ISNUMBER($A88)),"Enter a real date",IF(OR($B88="",$C88="",$D88=""),"Complete holiday fields",IF(COUNTIF('Team Setup'!$H$10:$H$59,$C88)&lt;&gt;1,"Check office location",IF($D88="All","Ready",IF(COUNTIFS('Team Setup'!$H$64:$H$163,$D88,'Team Setup'!$I$64:$I$163,$C88)=1,"Ready","Check group and location"))))))</x:f>
      </x:c>
      <x:c r="F88" s="2"/>
      <x:c r="G88" s="12"/>
      <x:c r="H88" s="20"/>
      <x:c r="I88" s="14"/>
      <x:c r="J88" s="13" t="str">
        <x:f>IF($G88="","",IF(OR(NOT(ISNUMBER($H88)),NOT(ISNUMBER($I88)),$I88&lt;=0),"Complete PTO fields",IF(COUNTIF('Team Setup'!$A$10:$A$34,$G88)=1,"Ready","Check member name")))</x:f>
      </x:c>
    </x:row>
    <x:row r="89">
      <x:c r="A89" s="20"/>
      <x:c r="B89" s="12"/>
      <x:c r="C89" s="12"/>
      <x:c r="D89" s="12"/>
      <x:c r="E89" s="13" t="str">
        <x:f>IF($A89="","",IF(NOT(ISNUMBER($A89)),"Enter a real date",IF(OR($B89="",$C89="",$D89=""),"Complete holiday fields",IF(COUNTIF('Team Setup'!$H$10:$H$59,$C89)&lt;&gt;1,"Check office location",IF($D89="All","Ready",IF(COUNTIFS('Team Setup'!$H$64:$H$163,$D89,'Team Setup'!$I$64:$I$163,$C89)=1,"Ready","Check group and location"))))))</x:f>
      </x:c>
      <x:c r="F89" s="2"/>
      <x:c r="G89" s="12"/>
      <x:c r="H89" s="20"/>
      <x:c r="I89" s="14"/>
      <x:c r="J89" s="13" t="str">
        <x:f>IF($G89="","",IF(OR(NOT(ISNUMBER($H89)),NOT(ISNUMBER($I89)),$I89&lt;=0),"Complete PTO fields",IF(COUNTIF('Team Setup'!$A$10:$A$34,$G89)=1,"Ready","Check member name")))</x:f>
      </x:c>
    </x:row>
    <x:row r="90">
      <x:c r="A90" s="20"/>
      <x:c r="B90" s="12"/>
      <x:c r="C90" s="12"/>
      <x:c r="D90" s="12"/>
      <x:c r="E90" s="13" t="str">
        <x:f>IF($A90="","",IF(NOT(ISNUMBER($A90)),"Enter a real date",IF(OR($B90="",$C90="",$D90=""),"Complete holiday fields",IF(COUNTIF('Team Setup'!$H$10:$H$59,$C90)&lt;&gt;1,"Check office location",IF($D90="All","Ready",IF(COUNTIFS('Team Setup'!$H$64:$H$163,$D90,'Team Setup'!$I$64:$I$163,$C90)=1,"Ready","Check group and location"))))))</x:f>
      </x:c>
      <x:c r="F90" s="2"/>
      <x:c r="G90" s="12"/>
      <x:c r="H90" s="20"/>
      <x:c r="I90" s="14"/>
      <x:c r="J90" s="13" t="str">
        <x:f>IF($G90="","",IF(OR(NOT(ISNUMBER($H90)),NOT(ISNUMBER($I90)),$I90&lt;=0),"Complete PTO fields",IF(COUNTIF('Team Setup'!$A$10:$A$34,$G90)=1,"Ready","Check member name")))</x:f>
      </x:c>
    </x:row>
    <x:row r="91">
      <x:c r="A91" s="20"/>
      <x:c r="B91" s="12"/>
      <x:c r="C91" s="12"/>
      <x:c r="D91" s="12"/>
      <x:c r="E91" s="13" t="str">
        <x:f>IF($A91="","",IF(NOT(ISNUMBER($A91)),"Enter a real date",IF(OR($B91="",$C91="",$D91=""),"Complete holiday fields",IF(COUNTIF('Team Setup'!$H$10:$H$59,$C91)&lt;&gt;1,"Check office location",IF($D91="All","Ready",IF(COUNTIFS('Team Setup'!$H$64:$H$163,$D91,'Team Setup'!$I$64:$I$163,$C91)=1,"Ready","Check group and location"))))))</x:f>
      </x:c>
      <x:c r="F91" s="2"/>
      <x:c r="G91" s="12"/>
      <x:c r="H91" s="20"/>
      <x:c r="I91" s="14"/>
      <x:c r="J91" s="13" t="str">
        <x:f>IF($G91="","",IF(OR(NOT(ISNUMBER($H91)),NOT(ISNUMBER($I91)),$I91&lt;=0),"Complete PTO fields",IF(COUNTIF('Team Setup'!$A$10:$A$34,$G91)=1,"Ready","Check member name")))</x:f>
      </x:c>
    </x:row>
    <x:row r="92">
      <x:c r="A92" s="20"/>
      <x:c r="B92" s="12"/>
      <x:c r="C92" s="12"/>
      <x:c r="D92" s="12"/>
      <x:c r="E92" s="13" t="str">
        <x:f>IF($A92="","",IF(NOT(ISNUMBER($A92)),"Enter a real date",IF(OR($B92="",$C92="",$D92=""),"Complete holiday fields",IF(COUNTIF('Team Setup'!$H$10:$H$59,$C92)&lt;&gt;1,"Check office location",IF($D92="All","Ready",IF(COUNTIFS('Team Setup'!$H$64:$H$163,$D92,'Team Setup'!$I$64:$I$163,$C92)=1,"Ready","Check group and location"))))))</x:f>
      </x:c>
      <x:c r="F92" s="2"/>
      <x:c r="G92" s="12"/>
      <x:c r="H92" s="20"/>
      <x:c r="I92" s="14"/>
      <x:c r="J92" s="13" t="str">
        <x:f>IF($G92="","",IF(OR(NOT(ISNUMBER($H92)),NOT(ISNUMBER($I92)),$I92&lt;=0),"Complete PTO fields",IF(COUNTIF('Team Setup'!$A$10:$A$34,$G92)=1,"Ready","Check member name")))</x:f>
      </x:c>
    </x:row>
    <x:row r="93">
      <x:c r="A93" s="20"/>
      <x:c r="B93" s="12"/>
      <x:c r="C93" s="12"/>
      <x:c r="D93" s="12"/>
      <x:c r="E93" s="13" t="str">
        <x:f>IF($A93="","",IF(NOT(ISNUMBER($A93)),"Enter a real date",IF(OR($B93="",$C93="",$D93=""),"Complete holiday fields",IF(COUNTIF('Team Setup'!$H$10:$H$59,$C93)&lt;&gt;1,"Check office location",IF($D93="All","Ready",IF(COUNTIFS('Team Setup'!$H$64:$H$163,$D93,'Team Setup'!$I$64:$I$163,$C93)=1,"Ready","Check group and location"))))))</x:f>
      </x:c>
      <x:c r="F93" s="2"/>
      <x:c r="G93" s="12"/>
      <x:c r="H93" s="20"/>
      <x:c r="I93" s="14"/>
      <x:c r="J93" s="13" t="str">
        <x:f>IF($G93="","",IF(OR(NOT(ISNUMBER($H93)),NOT(ISNUMBER($I93)),$I93&lt;=0),"Complete PTO fields",IF(COUNTIF('Team Setup'!$A$10:$A$34,$G93)=1,"Ready","Check member name")))</x:f>
      </x:c>
    </x:row>
    <x:row r="94">
      <x:c r="A94" s="20"/>
      <x:c r="B94" s="12"/>
      <x:c r="C94" s="12"/>
      <x:c r="D94" s="12"/>
      <x:c r="E94" s="13" t="str">
        <x:f>IF($A94="","",IF(NOT(ISNUMBER($A94)),"Enter a real date",IF(OR($B94="",$C94="",$D94=""),"Complete holiday fields",IF(COUNTIF('Team Setup'!$H$10:$H$59,$C94)&lt;&gt;1,"Check office location",IF($D94="All","Ready",IF(COUNTIFS('Team Setup'!$H$64:$H$163,$D94,'Team Setup'!$I$64:$I$163,$C94)=1,"Ready","Check group and location"))))))</x:f>
      </x:c>
      <x:c r="F94" s="2"/>
      <x:c r="G94" s="12"/>
      <x:c r="H94" s="20"/>
      <x:c r="I94" s="14"/>
      <x:c r="J94" s="13" t="str">
        <x:f>IF($G94="","",IF(OR(NOT(ISNUMBER($H94)),NOT(ISNUMBER($I94)),$I94&lt;=0),"Complete PTO fields",IF(COUNTIF('Team Setup'!$A$10:$A$34,$G94)=1,"Ready","Check member name")))</x:f>
      </x:c>
    </x:row>
    <x:row r="95">
      <x:c r="A95" s="20"/>
      <x:c r="B95" s="12"/>
      <x:c r="C95" s="12"/>
      <x:c r="D95" s="12"/>
      <x:c r="E95" s="13" t="str">
        <x:f>IF($A95="","",IF(NOT(ISNUMBER($A95)),"Enter a real date",IF(OR($B95="",$C95="",$D95=""),"Complete holiday fields",IF(COUNTIF('Team Setup'!$H$10:$H$59,$C95)&lt;&gt;1,"Check office location",IF($D95="All","Ready",IF(COUNTIFS('Team Setup'!$H$64:$H$163,$D95,'Team Setup'!$I$64:$I$163,$C95)=1,"Ready","Check group and location"))))))</x:f>
      </x:c>
      <x:c r="F95" s="2"/>
      <x:c r="G95" s="12"/>
      <x:c r="H95" s="20"/>
      <x:c r="I95" s="14"/>
      <x:c r="J95" s="13" t="str">
        <x:f>IF($G95="","",IF(OR(NOT(ISNUMBER($H95)),NOT(ISNUMBER($I95)),$I95&lt;=0),"Complete PTO fields",IF(COUNTIF('Team Setup'!$A$10:$A$34,$G95)=1,"Ready","Check member name")))</x:f>
      </x:c>
    </x:row>
    <x:row r="96">
      <x:c r="A96" s="20"/>
      <x:c r="B96" s="12"/>
      <x:c r="C96" s="12"/>
      <x:c r="D96" s="12"/>
      <x:c r="E96" s="13" t="str">
        <x:f>IF($A96="","",IF(NOT(ISNUMBER($A96)),"Enter a real date",IF(OR($B96="",$C96="",$D96=""),"Complete holiday fields",IF(COUNTIF('Team Setup'!$H$10:$H$59,$C96)&lt;&gt;1,"Check office location",IF($D96="All","Ready",IF(COUNTIFS('Team Setup'!$H$64:$H$163,$D96,'Team Setup'!$I$64:$I$163,$C96)=1,"Ready","Check group and location"))))))</x:f>
      </x:c>
      <x:c r="F96" s="2"/>
      <x:c r="G96" s="12"/>
      <x:c r="H96" s="20"/>
      <x:c r="I96" s="14"/>
      <x:c r="J96" s="13" t="str">
        <x:f>IF($G96="","",IF(OR(NOT(ISNUMBER($H96)),NOT(ISNUMBER($I96)),$I96&lt;=0),"Complete PTO fields",IF(COUNTIF('Team Setup'!$A$10:$A$34,$G96)=1,"Ready","Check member name")))</x:f>
      </x:c>
    </x:row>
    <x:row r="97">
      <x:c r="A97" s="20"/>
      <x:c r="B97" s="12"/>
      <x:c r="C97" s="12"/>
      <x:c r="D97" s="12"/>
      <x:c r="E97" s="13" t="str">
        <x:f>IF($A97="","",IF(NOT(ISNUMBER($A97)),"Enter a real date",IF(OR($B97="",$C97="",$D97=""),"Complete holiday fields",IF(COUNTIF('Team Setup'!$H$10:$H$59,$C97)&lt;&gt;1,"Check office location",IF($D97="All","Ready",IF(COUNTIFS('Team Setup'!$H$64:$H$163,$D97,'Team Setup'!$I$64:$I$163,$C97)=1,"Ready","Check group and location"))))))</x:f>
      </x:c>
      <x:c r="F97" s="2"/>
      <x:c r="G97" s="12"/>
      <x:c r="H97" s="20"/>
      <x:c r="I97" s="14"/>
      <x:c r="J97" s="13" t="str">
        <x:f>IF($G97="","",IF(OR(NOT(ISNUMBER($H97)),NOT(ISNUMBER($I97)),$I97&lt;=0),"Complete PTO fields",IF(COUNTIF('Team Setup'!$A$10:$A$34,$G97)=1,"Ready","Check member name")))</x:f>
      </x:c>
    </x:row>
    <x:row r="98">
      <x:c r="A98" s="20"/>
      <x:c r="B98" s="12"/>
      <x:c r="C98" s="12"/>
      <x:c r="D98" s="12"/>
      <x:c r="E98" s="13" t="str">
        <x:f>IF($A98="","",IF(NOT(ISNUMBER($A98)),"Enter a real date",IF(OR($B98="",$C98="",$D98=""),"Complete holiday fields",IF(COUNTIF('Team Setup'!$H$10:$H$59,$C98)&lt;&gt;1,"Check office location",IF($D98="All","Ready",IF(COUNTIFS('Team Setup'!$H$64:$H$163,$D98,'Team Setup'!$I$64:$I$163,$C98)=1,"Ready","Check group and location"))))))</x:f>
      </x:c>
      <x:c r="F98" s="2"/>
      <x:c r="G98" s="12"/>
      <x:c r="H98" s="20"/>
      <x:c r="I98" s="14"/>
      <x:c r="J98" s="13" t="str">
        <x:f>IF($G98="","",IF(OR(NOT(ISNUMBER($H98)),NOT(ISNUMBER($I98)),$I98&lt;=0),"Complete PTO fields",IF(COUNTIF('Team Setup'!$A$10:$A$34,$G98)=1,"Ready","Check member name")))</x:f>
      </x:c>
    </x:row>
    <x:row r="99">
      <x:c r="A99" s="20"/>
      <x:c r="B99" s="12"/>
      <x:c r="C99" s="12"/>
      <x:c r="D99" s="12"/>
      <x:c r="E99" s="13" t="str">
        <x:f>IF($A99="","",IF(NOT(ISNUMBER($A99)),"Enter a real date",IF(OR($B99="",$C99="",$D99=""),"Complete holiday fields",IF(COUNTIF('Team Setup'!$H$10:$H$59,$C99)&lt;&gt;1,"Check office location",IF($D99="All","Ready",IF(COUNTIFS('Team Setup'!$H$64:$H$163,$D99,'Team Setup'!$I$64:$I$163,$C99)=1,"Ready","Check group and location"))))))</x:f>
      </x:c>
      <x:c r="F99" s="2"/>
      <x:c r="G99" s="12"/>
      <x:c r="H99" s="20"/>
      <x:c r="I99" s="14"/>
      <x:c r="J99" s="13" t="str">
        <x:f>IF($G99="","",IF(OR(NOT(ISNUMBER($H99)),NOT(ISNUMBER($I99)),$I99&lt;=0),"Complete PTO fields",IF(COUNTIF('Team Setup'!$A$10:$A$34,$G99)=1,"Ready","Check member name")))</x:f>
      </x:c>
    </x:row>
    <x:row r="100">
      <x:c r="A100" s="20"/>
      <x:c r="B100" s="12"/>
      <x:c r="C100" s="12"/>
      <x:c r="D100" s="12"/>
      <x:c r="E100" s="13" t="str">
        <x:f>IF($A100="","",IF(NOT(ISNUMBER($A100)),"Enter a real date",IF(OR($B100="",$C100="",$D100=""),"Complete holiday fields",IF(COUNTIF('Team Setup'!$H$10:$H$59,$C100)&lt;&gt;1,"Check office location",IF($D100="All","Ready",IF(COUNTIFS('Team Setup'!$H$64:$H$163,$D100,'Team Setup'!$I$64:$I$163,$C100)=1,"Ready","Check group and location"))))))</x:f>
      </x:c>
      <x:c r="F100" s="2"/>
      <x:c r="G100" s="12"/>
      <x:c r="H100" s="20"/>
      <x:c r="I100" s="14"/>
      <x:c r="J100" s="13" t="str">
        <x:f>IF($G100="","",IF(OR(NOT(ISNUMBER($H100)),NOT(ISNUMBER($I100)),$I100&lt;=0),"Complete PTO fields",IF(COUNTIF('Team Setup'!$A$10:$A$34,$G100)=1,"Ready","Check member name")))</x:f>
      </x:c>
    </x:row>
    <x:row r="101">
      <x:c r="A101" s="20"/>
      <x:c r="B101" s="12"/>
      <x:c r="C101" s="12"/>
      <x:c r="D101" s="12"/>
      <x:c r="E101" s="13" t="str">
        <x:f>IF($A101="","",IF(NOT(ISNUMBER($A101)),"Enter a real date",IF(OR($B101="",$C101="",$D101=""),"Complete holiday fields",IF(COUNTIF('Team Setup'!$H$10:$H$59,$C101)&lt;&gt;1,"Check office location",IF($D101="All","Ready",IF(COUNTIFS('Team Setup'!$H$64:$H$163,$D101,'Team Setup'!$I$64:$I$163,$C101)=1,"Ready","Check group and location"))))))</x:f>
      </x:c>
      <x:c r="F101" s="2"/>
      <x:c r="G101" s="12"/>
      <x:c r="H101" s="20"/>
      <x:c r="I101" s="14"/>
      <x:c r="J101" s="13" t="str">
        <x:f>IF($G101="","",IF(OR(NOT(ISNUMBER($H101)),NOT(ISNUMBER($I101)),$I101&lt;=0),"Complete PTO fields",IF(COUNTIF('Team Setup'!$A$10:$A$34,$G101)=1,"Ready","Check member name")))</x:f>
      </x:c>
    </x:row>
    <x:row r="102">
      <x:c r="A102" s="20"/>
      <x:c r="B102" s="12"/>
      <x:c r="C102" s="12"/>
      <x:c r="D102" s="12"/>
      <x:c r="E102" s="13" t="str">
        <x:f>IF($A102="","",IF(NOT(ISNUMBER($A102)),"Enter a real date",IF(OR($B102="",$C102="",$D102=""),"Complete holiday fields",IF(COUNTIF('Team Setup'!$H$10:$H$59,$C102)&lt;&gt;1,"Check office location",IF($D102="All","Ready",IF(COUNTIFS('Team Setup'!$H$64:$H$163,$D102,'Team Setup'!$I$64:$I$163,$C102)=1,"Ready","Check group and location"))))))</x:f>
      </x:c>
      <x:c r="F102" s="2"/>
      <x:c r="G102" s="12"/>
      <x:c r="H102" s="20"/>
      <x:c r="I102" s="14"/>
      <x:c r="J102" s="13" t="str">
        <x:f>IF($G102="","",IF(OR(NOT(ISNUMBER($H102)),NOT(ISNUMBER($I102)),$I102&lt;=0),"Complete PTO fields",IF(COUNTIF('Team Setup'!$A$10:$A$34,$G102)=1,"Ready","Check member name")))</x:f>
      </x:c>
    </x:row>
    <x:row r="103">
      <x:c r="A103" s="20"/>
      <x:c r="B103" s="12"/>
      <x:c r="C103" s="12"/>
      <x:c r="D103" s="12"/>
      <x:c r="E103" s="13" t="str">
        <x:f>IF($A103="","",IF(NOT(ISNUMBER($A103)),"Enter a real date",IF(OR($B103="",$C103="",$D103=""),"Complete holiday fields",IF(COUNTIF('Team Setup'!$H$10:$H$59,$C103)&lt;&gt;1,"Check office location",IF($D103="All","Ready",IF(COUNTIFS('Team Setup'!$H$64:$H$163,$D103,'Team Setup'!$I$64:$I$163,$C103)=1,"Ready","Check group and location"))))))</x:f>
      </x:c>
      <x:c r="F103" s="2"/>
      <x:c r="G103" s="12"/>
      <x:c r="H103" s="20"/>
      <x:c r="I103" s="14"/>
      <x:c r="J103" s="13" t="str">
        <x:f>IF($G103="","",IF(OR(NOT(ISNUMBER($H103)),NOT(ISNUMBER($I103)),$I103&lt;=0),"Complete PTO fields",IF(COUNTIF('Team Setup'!$A$10:$A$34,$G103)=1,"Ready","Check member name")))</x:f>
      </x:c>
    </x:row>
    <x:row r="104">
      <x:c r="A104" s="20"/>
      <x:c r="B104" s="12"/>
      <x:c r="C104" s="12"/>
      <x:c r="D104" s="12"/>
      <x:c r="E104" s="13" t="str">
        <x:f>IF($A104="","",IF(NOT(ISNUMBER($A104)),"Enter a real date",IF(OR($B104="",$C104="",$D104=""),"Complete holiday fields",IF(COUNTIF('Team Setup'!$H$10:$H$59,$C104)&lt;&gt;1,"Check office location",IF($D104="All","Ready",IF(COUNTIFS('Team Setup'!$H$64:$H$163,$D104,'Team Setup'!$I$64:$I$163,$C104)=1,"Ready","Check group and location"))))))</x:f>
      </x:c>
      <x:c r="F104" s="2"/>
      <x:c r="G104" s="12"/>
      <x:c r="H104" s="20"/>
      <x:c r="I104" s="14"/>
      <x:c r="J104" s="13" t="str">
        <x:f>IF($G104="","",IF(OR(NOT(ISNUMBER($H104)),NOT(ISNUMBER($I104)),$I104&lt;=0),"Complete PTO fields",IF(COUNTIF('Team Setup'!$A$10:$A$34,$G104)=1,"Ready","Check member name")))</x:f>
      </x:c>
    </x:row>
    <x:row r="105">
      <x:c r="A105" s="20"/>
      <x:c r="B105" s="12"/>
      <x:c r="C105" s="12"/>
      <x:c r="D105" s="12"/>
      <x:c r="E105" s="13" t="str">
        <x:f>IF($A105="","",IF(NOT(ISNUMBER($A105)),"Enter a real date",IF(OR($B105="",$C105="",$D105=""),"Complete holiday fields",IF(COUNTIF('Team Setup'!$H$10:$H$59,$C105)&lt;&gt;1,"Check office location",IF($D105="All","Ready",IF(COUNTIFS('Team Setup'!$H$64:$H$163,$D105,'Team Setup'!$I$64:$I$163,$C105)=1,"Ready","Check group and location"))))))</x:f>
      </x:c>
      <x:c r="F105" s="2"/>
      <x:c r="G105" s="12"/>
      <x:c r="H105" s="20"/>
      <x:c r="I105" s="14"/>
      <x:c r="J105" s="13" t="str">
        <x:f>IF($G105="","",IF(OR(NOT(ISNUMBER($H105)),NOT(ISNUMBER($I105)),$I105&lt;=0),"Complete PTO fields",IF(COUNTIF('Team Setup'!$A$10:$A$34,$G105)=1,"Ready","Check member name")))</x:f>
      </x:c>
    </x:row>
    <x:row r="106">
      <x:c r="A106" s="20"/>
      <x:c r="B106" s="12"/>
      <x:c r="C106" s="12"/>
      <x:c r="D106" s="12"/>
      <x:c r="E106" s="13" t="str">
        <x:f>IF($A106="","",IF(NOT(ISNUMBER($A106)),"Enter a real date",IF(OR($B106="",$C106="",$D106=""),"Complete holiday fields",IF(COUNTIF('Team Setup'!$H$10:$H$59,$C106)&lt;&gt;1,"Check office location",IF($D106="All","Ready",IF(COUNTIFS('Team Setup'!$H$64:$H$163,$D106,'Team Setup'!$I$64:$I$163,$C106)=1,"Ready","Check group and location"))))))</x:f>
      </x:c>
      <x:c r="F106" s="2"/>
      <x:c r="G106" s="12"/>
      <x:c r="H106" s="20"/>
      <x:c r="I106" s="14"/>
      <x:c r="J106" s="13" t="str">
        <x:f>IF($G106="","",IF(OR(NOT(ISNUMBER($H106)),NOT(ISNUMBER($I106)),$I106&lt;=0),"Complete PTO fields",IF(COUNTIF('Team Setup'!$A$10:$A$34,$G106)=1,"Ready","Check member name")))</x:f>
      </x:c>
    </x:row>
    <x:row r="107">
      <x:c r="A107" s="20"/>
      <x:c r="B107" s="12"/>
      <x:c r="C107" s="12"/>
      <x:c r="D107" s="12"/>
      <x:c r="E107" s="13" t="str">
        <x:f>IF($A107="","",IF(NOT(ISNUMBER($A107)),"Enter a real date",IF(OR($B107="",$C107="",$D107=""),"Complete holiday fields",IF(COUNTIF('Team Setup'!$H$10:$H$59,$C107)&lt;&gt;1,"Check office location",IF($D107="All","Ready",IF(COUNTIFS('Team Setup'!$H$64:$H$163,$D107,'Team Setup'!$I$64:$I$163,$C107)=1,"Ready","Check group and location"))))))</x:f>
      </x:c>
      <x:c r="F107" s="2"/>
      <x:c r="G107" s="12"/>
      <x:c r="H107" s="20"/>
      <x:c r="I107" s="14"/>
      <x:c r="J107" s="13" t="str">
        <x:f>IF($G107="","",IF(OR(NOT(ISNUMBER($H107)),NOT(ISNUMBER($I107)),$I107&lt;=0),"Complete PTO fields",IF(COUNTIF('Team Setup'!$A$10:$A$34,$G107)=1,"Ready","Check member name")))</x:f>
      </x:c>
    </x:row>
    <x:row r="108">
      <x:c r="A108" s="20"/>
      <x:c r="B108" s="12"/>
      <x:c r="C108" s="12"/>
      <x:c r="D108" s="12"/>
      <x:c r="E108" s="13" t="str">
        <x:f>IF($A108="","",IF(NOT(ISNUMBER($A108)),"Enter a real date",IF(OR($B108="",$C108="",$D108=""),"Complete holiday fields",IF(COUNTIF('Team Setup'!$H$10:$H$59,$C108)&lt;&gt;1,"Check office location",IF($D108="All","Ready",IF(COUNTIFS('Team Setup'!$H$64:$H$163,$D108,'Team Setup'!$I$64:$I$163,$C108)=1,"Ready","Check group and location"))))))</x:f>
      </x:c>
      <x:c r="F108" s="2"/>
      <x:c r="G108" s="12"/>
      <x:c r="H108" s="20"/>
      <x:c r="I108" s="14"/>
      <x:c r="J108" s="13" t="str">
        <x:f>IF($G108="","",IF(OR(NOT(ISNUMBER($H108)),NOT(ISNUMBER($I108)),$I108&lt;=0),"Complete PTO fields",IF(COUNTIF('Team Setup'!$A$10:$A$34,$G108)=1,"Ready","Check member name")))</x:f>
      </x:c>
    </x:row>
    <x:row r="109">
      <x:c r="A109" s="20"/>
      <x:c r="B109" s="12"/>
      <x:c r="C109" s="12"/>
      <x:c r="D109" s="12"/>
      <x:c r="E109" s="13" t="str">
        <x:f>IF($A109="","",IF(NOT(ISNUMBER($A109)),"Enter a real date",IF(OR($B109="",$C109="",$D109=""),"Complete holiday fields",IF(COUNTIF('Team Setup'!$H$10:$H$59,$C109)&lt;&gt;1,"Check office location",IF($D109="All","Ready",IF(COUNTIFS('Team Setup'!$H$64:$H$163,$D109,'Team Setup'!$I$64:$I$163,$C109)=1,"Ready","Check group and location"))))))</x:f>
      </x:c>
      <x:c r="F109" s="2"/>
      <x:c r="G109" s="12"/>
      <x:c r="H109" s="20"/>
      <x:c r="I109" s="14"/>
      <x:c r="J109" s="13" t="str">
        <x:f>IF($G109="","",IF(OR(NOT(ISNUMBER($H109)),NOT(ISNUMBER($I109)),$I109&lt;=0),"Complete PTO fields",IF(COUNTIF('Team Setup'!$A$10:$A$34,$G109)=1,"Ready","Check member name")))</x:f>
      </x:c>
    </x:row>
    <x:row r="110">
      <x:c r="A110" s="20"/>
      <x:c r="B110" s="12"/>
      <x:c r="C110" s="12"/>
      <x:c r="D110" s="12"/>
      <x:c r="E110" s="13" t="str">
        <x:f>IF($A110="","",IF(NOT(ISNUMBER($A110)),"Enter a real date",IF(OR($B110="",$C110="",$D110=""),"Complete holiday fields",IF(COUNTIF('Team Setup'!$H$10:$H$59,$C110)&lt;&gt;1,"Check office location",IF($D110="All","Ready",IF(COUNTIFS('Team Setup'!$H$64:$H$163,$D110,'Team Setup'!$I$64:$I$163,$C110)=1,"Ready","Check group and location"))))))</x:f>
      </x:c>
      <x:c r="F110" s="2"/>
      <x:c r="G110" s="12"/>
      <x:c r="H110" s="20"/>
      <x:c r="I110" s="14"/>
      <x:c r="J110" s="13" t="str">
        <x:f>IF($G110="","",IF(OR(NOT(ISNUMBER($H110)),NOT(ISNUMBER($I110)),$I110&lt;=0),"Complete PTO fields",IF(COUNTIF('Team Setup'!$A$10:$A$34,$G110)=1,"Ready","Check member name")))</x:f>
      </x:c>
    </x:row>
    <x:row r="111">
      <x:c r="A111" s="20"/>
      <x:c r="B111" s="12"/>
      <x:c r="C111" s="12"/>
      <x:c r="D111" s="12"/>
      <x:c r="E111" s="13" t="str">
        <x:f>IF($A111="","",IF(NOT(ISNUMBER($A111)),"Enter a real date",IF(OR($B111="",$C111="",$D111=""),"Complete holiday fields",IF(COUNTIF('Team Setup'!$H$10:$H$59,$C111)&lt;&gt;1,"Check office location",IF($D111="All","Ready",IF(COUNTIFS('Team Setup'!$H$64:$H$163,$D111,'Team Setup'!$I$64:$I$163,$C111)=1,"Ready","Check group and location"))))))</x:f>
      </x:c>
      <x:c r="F111" s="2"/>
      <x:c r="G111" s="12"/>
      <x:c r="H111" s="20"/>
      <x:c r="I111" s="14"/>
      <x:c r="J111" s="13" t="str">
        <x:f>IF($G111="","",IF(OR(NOT(ISNUMBER($H111)),NOT(ISNUMBER($I111)),$I111&lt;=0),"Complete PTO fields",IF(COUNTIF('Team Setup'!$A$10:$A$34,$G111)=1,"Ready","Check member name")))</x:f>
      </x:c>
    </x:row>
    <x:row r="112">
      <x:c r="A112" s="20"/>
      <x:c r="B112" s="12"/>
      <x:c r="C112" s="12"/>
      <x:c r="D112" s="12"/>
      <x:c r="E112" s="13" t="str">
        <x:f>IF($A112="","",IF(NOT(ISNUMBER($A112)),"Enter a real date",IF(OR($B112="",$C112="",$D112=""),"Complete holiday fields",IF(COUNTIF('Team Setup'!$H$10:$H$59,$C112)&lt;&gt;1,"Check office location",IF($D112="All","Ready",IF(COUNTIFS('Team Setup'!$H$64:$H$163,$D112,'Team Setup'!$I$64:$I$163,$C112)=1,"Ready","Check group and location"))))))</x:f>
      </x:c>
      <x:c r="F112" s="2"/>
      <x:c r="G112" s="12"/>
      <x:c r="H112" s="20"/>
      <x:c r="I112" s="14"/>
      <x:c r="J112" s="13" t="str">
        <x:f>IF($G112="","",IF(OR(NOT(ISNUMBER($H112)),NOT(ISNUMBER($I112)),$I112&lt;=0),"Complete PTO fields",IF(COUNTIF('Team Setup'!$A$10:$A$34,$G112)=1,"Ready","Check member name")))</x:f>
      </x:c>
    </x:row>
    <x:row r="113">
      <x:c r="A113" s="20"/>
      <x:c r="B113" s="12"/>
      <x:c r="C113" s="12"/>
      <x:c r="D113" s="12"/>
      <x:c r="E113" s="13" t="str">
        <x:f>IF($A113="","",IF(NOT(ISNUMBER($A113)),"Enter a real date",IF(OR($B113="",$C113="",$D113=""),"Complete holiday fields",IF(COUNTIF('Team Setup'!$H$10:$H$59,$C113)&lt;&gt;1,"Check office location",IF($D113="All","Ready",IF(COUNTIFS('Team Setup'!$H$64:$H$163,$D113,'Team Setup'!$I$64:$I$163,$C113)=1,"Ready","Check group and location"))))))</x:f>
      </x:c>
      <x:c r="F113" s="2"/>
      <x:c r="G113" s="12"/>
      <x:c r="H113" s="20"/>
      <x:c r="I113" s="14"/>
      <x:c r="J113" s="13" t="str">
        <x:f>IF($G113="","",IF(OR(NOT(ISNUMBER($H113)),NOT(ISNUMBER($I113)),$I113&lt;=0),"Complete PTO fields",IF(COUNTIF('Team Setup'!$A$10:$A$34,$G113)=1,"Ready","Check member name")))</x:f>
      </x:c>
    </x:row>
    <x:row r="114">
      <x:c r="A114" s="20"/>
      <x:c r="B114" s="12"/>
      <x:c r="C114" s="12"/>
      <x:c r="D114" s="12"/>
      <x:c r="E114" s="13" t="str">
        <x:f>IF($A114="","",IF(NOT(ISNUMBER($A114)),"Enter a real date",IF(OR($B114="",$C114="",$D114=""),"Complete holiday fields",IF(COUNTIF('Team Setup'!$H$10:$H$59,$C114)&lt;&gt;1,"Check office location",IF($D114="All","Ready",IF(COUNTIFS('Team Setup'!$H$64:$H$163,$D114,'Team Setup'!$I$64:$I$163,$C114)=1,"Ready","Check group and location"))))))</x:f>
      </x:c>
      <x:c r="F114" s="2"/>
      <x:c r="G114" s="12"/>
      <x:c r="H114" s="20"/>
      <x:c r="I114" s="14"/>
      <x:c r="J114" s="13" t="str">
        <x:f>IF($G114="","",IF(OR(NOT(ISNUMBER($H114)),NOT(ISNUMBER($I114)),$I114&lt;=0),"Complete PTO fields",IF(COUNTIF('Team Setup'!$A$10:$A$34,$G114)=1,"Ready","Check member name")))</x:f>
      </x:c>
    </x:row>
    <x:row r="115">
      <x:c r="A115" s="20"/>
      <x:c r="B115" s="12"/>
      <x:c r="C115" s="12"/>
      <x:c r="D115" s="12"/>
      <x:c r="E115" s="13" t="str">
        <x:f>IF($A115="","",IF(NOT(ISNUMBER($A115)),"Enter a real date",IF(OR($B115="",$C115="",$D115=""),"Complete holiday fields",IF(COUNTIF('Team Setup'!$H$10:$H$59,$C115)&lt;&gt;1,"Check office location",IF($D115="All","Ready",IF(COUNTIFS('Team Setup'!$H$64:$H$163,$D115,'Team Setup'!$I$64:$I$163,$C115)=1,"Ready","Check group and location"))))))</x:f>
      </x:c>
      <x:c r="F115" s="2"/>
      <x:c r="G115" s="12"/>
      <x:c r="H115" s="20"/>
      <x:c r="I115" s="14"/>
      <x:c r="J115" s="13" t="str">
        <x:f>IF($G115="","",IF(OR(NOT(ISNUMBER($H115)),NOT(ISNUMBER($I115)),$I115&lt;=0),"Complete PTO fields",IF(COUNTIF('Team Setup'!$A$10:$A$34,$G115)=1,"Ready","Check member name")))</x:f>
      </x:c>
    </x:row>
    <x:row r="116">
      <x:c r="A116" s="20"/>
      <x:c r="B116" s="12"/>
      <x:c r="C116" s="12"/>
      <x:c r="D116" s="12"/>
      <x:c r="E116" s="13" t="str">
        <x:f>IF($A116="","",IF(NOT(ISNUMBER($A116)),"Enter a real date",IF(OR($B116="",$C116="",$D116=""),"Complete holiday fields",IF(COUNTIF('Team Setup'!$H$10:$H$59,$C116)&lt;&gt;1,"Check office location",IF($D116="All","Ready",IF(COUNTIFS('Team Setup'!$H$64:$H$163,$D116,'Team Setup'!$I$64:$I$163,$C116)=1,"Ready","Check group and location"))))))</x:f>
      </x:c>
      <x:c r="F116" s="2"/>
      <x:c r="G116" s="12"/>
      <x:c r="H116" s="20"/>
      <x:c r="I116" s="14"/>
      <x:c r="J116" s="13" t="str">
        <x:f>IF($G116="","",IF(OR(NOT(ISNUMBER($H116)),NOT(ISNUMBER($I116)),$I116&lt;=0),"Complete PTO fields",IF(COUNTIF('Team Setup'!$A$10:$A$34,$G116)=1,"Ready","Check member name")))</x:f>
      </x:c>
    </x:row>
    <x:row r="117">
      <x:c r="A117" s="20"/>
      <x:c r="B117" s="12"/>
      <x:c r="C117" s="12"/>
      <x:c r="D117" s="12"/>
      <x:c r="E117" s="13" t="str">
        <x:f>IF($A117="","",IF(NOT(ISNUMBER($A117)),"Enter a real date",IF(OR($B117="",$C117="",$D117=""),"Complete holiday fields",IF(COUNTIF('Team Setup'!$H$10:$H$59,$C117)&lt;&gt;1,"Check office location",IF($D117="All","Ready",IF(COUNTIFS('Team Setup'!$H$64:$H$163,$D117,'Team Setup'!$I$64:$I$163,$C117)=1,"Ready","Check group and location"))))))</x:f>
      </x:c>
      <x:c r="F117" s="2"/>
      <x:c r="G117" s="12"/>
      <x:c r="H117" s="20"/>
      <x:c r="I117" s="14"/>
      <x:c r="J117" s="13" t="str">
        <x:f>IF($G117="","",IF(OR(NOT(ISNUMBER($H117)),NOT(ISNUMBER($I117)),$I117&lt;=0),"Complete PTO fields",IF(COUNTIF('Team Setup'!$A$10:$A$34,$G117)=1,"Ready","Check member name")))</x:f>
      </x:c>
    </x:row>
    <x:row r="118">
      <x:c r="A118" s="20"/>
      <x:c r="B118" s="12"/>
      <x:c r="C118" s="12"/>
      <x:c r="D118" s="12"/>
      <x:c r="E118" s="13" t="str">
        <x:f>IF($A118="","",IF(NOT(ISNUMBER($A118)),"Enter a real date",IF(OR($B118="",$C118="",$D118=""),"Complete holiday fields",IF(COUNTIF('Team Setup'!$H$10:$H$59,$C118)&lt;&gt;1,"Check office location",IF($D118="All","Ready",IF(COUNTIFS('Team Setup'!$H$64:$H$163,$D118,'Team Setup'!$I$64:$I$163,$C118)=1,"Ready","Check group and location"))))))</x:f>
      </x:c>
      <x:c r="F118" s="2"/>
      <x:c r="G118" s="12"/>
      <x:c r="H118" s="20"/>
      <x:c r="I118" s="14"/>
      <x:c r="J118" s="13" t="str">
        <x:f>IF($G118="","",IF(OR(NOT(ISNUMBER($H118)),NOT(ISNUMBER($I118)),$I118&lt;=0),"Complete PTO fields",IF(COUNTIF('Team Setup'!$A$10:$A$34,$G118)=1,"Ready","Check member name")))</x:f>
      </x:c>
    </x:row>
    <x:row r="119">
      <x:c r="A119" s="20"/>
      <x:c r="B119" s="12"/>
      <x:c r="C119" s="12"/>
      <x:c r="D119" s="12"/>
      <x:c r="E119" s="13" t="str">
        <x:f>IF($A119="","",IF(NOT(ISNUMBER($A119)),"Enter a real date",IF(OR($B119="",$C119="",$D119=""),"Complete holiday fields",IF(COUNTIF('Team Setup'!$H$10:$H$59,$C119)&lt;&gt;1,"Check office location",IF($D119="All","Ready",IF(COUNTIFS('Team Setup'!$H$64:$H$163,$D119,'Team Setup'!$I$64:$I$163,$C119)=1,"Ready","Check group and location"))))))</x:f>
      </x:c>
      <x:c r="F119" s="2"/>
      <x:c r="G119" s="12"/>
      <x:c r="H119" s="20"/>
      <x:c r="I119" s="14"/>
      <x:c r="J119" s="13" t="str">
        <x:f>IF($G119="","",IF(OR(NOT(ISNUMBER($H119)),NOT(ISNUMBER($I119)),$I119&lt;=0),"Complete PTO fields",IF(COUNTIF('Team Setup'!$A$10:$A$34,$G119)=1,"Ready","Check member name")))</x:f>
      </x:c>
    </x:row>
    <x:row r="120">
      <x:c r="A120" s="20"/>
      <x:c r="B120" s="12"/>
      <x:c r="C120" s="12"/>
      <x:c r="D120" s="12"/>
      <x:c r="E120" s="13" t="str">
        <x:f>IF($A120="","",IF(NOT(ISNUMBER($A120)),"Enter a real date",IF(OR($B120="",$C120="",$D120=""),"Complete holiday fields",IF(COUNTIF('Team Setup'!$H$10:$H$59,$C120)&lt;&gt;1,"Check office location",IF($D120="All","Ready",IF(COUNTIFS('Team Setup'!$H$64:$H$163,$D120,'Team Setup'!$I$64:$I$163,$C120)=1,"Ready","Check group and location"))))))</x:f>
      </x:c>
      <x:c r="F120" s="2"/>
      <x:c r="G120" s="12"/>
      <x:c r="H120" s="20"/>
      <x:c r="I120" s="14"/>
      <x:c r="J120" s="13" t="str">
        <x:f>IF($G120="","",IF(OR(NOT(ISNUMBER($H120)),NOT(ISNUMBER($I120)),$I120&lt;=0),"Complete PTO fields",IF(COUNTIF('Team Setup'!$A$10:$A$34,$G120)=1,"Ready","Check member name")))</x:f>
      </x:c>
    </x:row>
    <x:row r="121">
      <x:c r="A121" s="20"/>
      <x:c r="B121" s="12"/>
      <x:c r="C121" s="12"/>
      <x:c r="D121" s="12"/>
      <x:c r="E121" s="13" t="str">
        <x:f>IF($A121="","",IF(NOT(ISNUMBER($A121)),"Enter a real date",IF(OR($B121="",$C121="",$D121=""),"Complete holiday fields",IF(COUNTIF('Team Setup'!$H$10:$H$59,$C121)&lt;&gt;1,"Check office location",IF($D121="All","Ready",IF(COUNTIFS('Team Setup'!$H$64:$H$163,$D121,'Team Setup'!$I$64:$I$163,$C121)=1,"Ready","Check group and location"))))))</x:f>
      </x:c>
      <x:c r="F121" s="2"/>
      <x:c r="G121" s="12"/>
      <x:c r="H121" s="20"/>
      <x:c r="I121" s="14"/>
      <x:c r="J121" s="13" t="str">
        <x:f>IF($G121="","",IF(OR(NOT(ISNUMBER($H121)),NOT(ISNUMBER($I121)),$I121&lt;=0),"Complete PTO fields",IF(COUNTIF('Team Setup'!$A$10:$A$34,$G121)=1,"Ready","Check member name")))</x:f>
      </x:c>
    </x:row>
    <x:row r="122">
      <x:c r="A122" s="20"/>
      <x:c r="B122" s="12"/>
      <x:c r="C122" s="12"/>
      <x:c r="D122" s="12"/>
      <x:c r="E122" s="13" t="str">
        <x:f>IF($A122="","",IF(NOT(ISNUMBER($A122)),"Enter a real date",IF(OR($B122="",$C122="",$D122=""),"Complete holiday fields",IF(COUNTIF('Team Setup'!$H$10:$H$59,$C122)&lt;&gt;1,"Check office location",IF($D122="All","Ready",IF(COUNTIFS('Team Setup'!$H$64:$H$163,$D122,'Team Setup'!$I$64:$I$163,$C122)=1,"Ready","Check group and location"))))))</x:f>
      </x:c>
      <x:c r="F122" s="2"/>
      <x:c r="G122" s="12"/>
      <x:c r="H122" s="20"/>
      <x:c r="I122" s="14"/>
      <x:c r="J122" s="13" t="str">
        <x:f>IF($G122="","",IF(OR(NOT(ISNUMBER($H122)),NOT(ISNUMBER($I122)),$I122&lt;=0),"Complete PTO fields",IF(COUNTIF('Team Setup'!$A$10:$A$34,$G122)=1,"Ready","Check member name")))</x:f>
      </x:c>
    </x:row>
    <x:row r="123">
      <x:c r="A123" s="20"/>
      <x:c r="B123" s="12"/>
      <x:c r="C123" s="12"/>
      <x:c r="D123" s="12"/>
      <x:c r="E123" s="13" t="str">
        <x:f>IF($A123="","",IF(NOT(ISNUMBER($A123)),"Enter a real date",IF(OR($B123="",$C123="",$D123=""),"Complete holiday fields",IF(COUNTIF('Team Setup'!$H$10:$H$59,$C123)&lt;&gt;1,"Check office location",IF($D123="All","Ready",IF(COUNTIFS('Team Setup'!$H$64:$H$163,$D123,'Team Setup'!$I$64:$I$163,$C123)=1,"Ready","Check group and location"))))))</x:f>
      </x:c>
      <x:c r="F123" s="2"/>
      <x:c r="G123" s="12"/>
      <x:c r="H123" s="20"/>
      <x:c r="I123" s="14"/>
      <x:c r="J123" s="13" t="str">
        <x:f>IF($G123="","",IF(OR(NOT(ISNUMBER($H123)),NOT(ISNUMBER($I123)),$I123&lt;=0),"Complete PTO fields",IF(COUNTIF('Team Setup'!$A$10:$A$34,$G123)=1,"Ready","Check member name")))</x:f>
      </x:c>
    </x:row>
    <x:row r="124">
      <x:c r="A124" s="20"/>
      <x:c r="B124" s="12"/>
      <x:c r="C124" s="12"/>
      <x:c r="D124" s="12"/>
      <x:c r="E124" s="13" t="str">
        <x:f>IF($A124="","",IF(NOT(ISNUMBER($A124)),"Enter a real date",IF(OR($B124="",$C124="",$D124=""),"Complete holiday fields",IF(COUNTIF('Team Setup'!$H$10:$H$59,$C124)&lt;&gt;1,"Check office location",IF($D124="All","Ready",IF(COUNTIFS('Team Setup'!$H$64:$H$163,$D124,'Team Setup'!$I$64:$I$163,$C124)=1,"Ready","Check group and location"))))))</x:f>
      </x:c>
      <x:c r="F124" s="2"/>
      <x:c r="G124" s="12"/>
      <x:c r="H124" s="20"/>
      <x:c r="I124" s="14"/>
      <x:c r="J124" s="13" t="str">
        <x:f>IF($G124="","",IF(OR(NOT(ISNUMBER($H124)),NOT(ISNUMBER($I124)),$I124&lt;=0),"Complete PTO fields",IF(COUNTIF('Team Setup'!$A$10:$A$34,$G124)=1,"Ready","Check member name")))</x:f>
      </x:c>
    </x:row>
    <x:row r="125">
      <x:c r="A125" s="20"/>
      <x:c r="B125" s="12"/>
      <x:c r="C125" s="12"/>
      <x:c r="D125" s="12"/>
      <x:c r="E125" s="13" t="str">
        <x:f>IF($A125="","",IF(NOT(ISNUMBER($A125)),"Enter a real date",IF(OR($B125="",$C125="",$D125=""),"Complete holiday fields",IF(COUNTIF('Team Setup'!$H$10:$H$59,$C125)&lt;&gt;1,"Check office location",IF($D125="All","Ready",IF(COUNTIFS('Team Setup'!$H$64:$H$163,$D125,'Team Setup'!$I$64:$I$163,$C125)=1,"Ready","Check group and location"))))))</x:f>
      </x:c>
      <x:c r="F125" s="2"/>
      <x:c r="G125" s="12"/>
      <x:c r="H125" s="20"/>
      <x:c r="I125" s="14"/>
      <x:c r="J125" s="13" t="str">
        <x:f>IF($G125="","",IF(OR(NOT(ISNUMBER($H125)),NOT(ISNUMBER($I125)),$I125&lt;=0),"Complete PTO fields",IF(COUNTIF('Team Setup'!$A$10:$A$34,$G125)=1,"Ready","Check member name")))</x:f>
      </x:c>
    </x:row>
    <x:row r="126">
      <x:c r="A126" s="20"/>
      <x:c r="B126" s="12"/>
      <x:c r="C126" s="12"/>
      <x:c r="D126" s="12"/>
      <x:c r="E126" s="13" t="str">
        <x:f>IF($A126="","",IF(NOT(ISNUMBER($A126)),"Enter a real date",IF(OR($B126="",$C126="",$D126=""),"Complete holiday fields",IF(COUNTIF('Team Setup'!$H$10:$H$59,$C126)&lt;&gt;1,"Check office location",IF($D126="All","Ready",IF(COUNTIFS('Team Setup'!$H$64:$H$163,$D126,'Team Setup'!$I$64:$I$163,$C126)=1,"Ready","Check group and location"))))))</x:f>
      </x:c>
      <x:c r="F126" s="2"/>
      <x:c r="G126" s="12"/>
      <x:c r="H126" s="20"/>
      <x:c r="I126" s="14"/>
      <x:c r="J126" s="13" t="str">
        <x:f>IF($G126="","",IF(OR(NOT(ISNUMBER($H126)),NOT(ISNUMBER($I126)),$I126&lt;=0),"Complete PTO fields",IF(COUNTIF('Team Setup'!$A$10:$A$34,$G126)=1,"Ready","Check member name")))</x:f>
      </x:c>
    </x:row>
    <x:row r="127">
      <x:c r="A127" s="20"/>
      <x:c r="B127" s="12"/>
      <x:c r="C127" s="12"/>
      <x:c r="D127" s="12"/>
      <x:c r="E127" s="13" t="str">
        <x:f>IF($A127="","",IF(NOT(ISNUMBER($A127)),"Enter a real date",IF(OR($B127="",$C127="",$D127=""),"Complete holiday fields",IF(COUNTIF('Team Setup'!$H$10:$H$59,$C127)&lt;&gt;1,"Check office location",IF($D127="All","Ready",IF(COUNTIFS('Team Setup'!$H$64:$H$163,$D127,'Team Setup'!$I$64:$I$163,$C127)=1,"Ready","Check group and location"))))))</x:f>
      </x:c>
      <x:c r="F127" s="2"/>
      <x:c r="G127" s="12"/>
      <x:c r="H127" s="20"/>
      <x:c r="I127" s="14"/>
      <x:c r="J127" s="13" t="str">
        <x:f>IF($G127="","",IF(OR(NOT(ISNUMBER($H127)),NOT(ISNUMBER($I127)),$I127&lt;=0),"Complete PTO fields",IF(COUNTIF('Team Setup'!$A$10:$A$34,$G127)=1,"Ready","Check member name")))</x:f>
      </x:c>
    </x:row>
    <x:row r="128">
      <x:c r="A128" s="20"/>
      <x:c r="B128" s="12"/>
      <x:c r="C128" s="12"/>
      <x:c r="D128" s="12"/>
      <x:c r="E128" s="13" t="str">
        <x:f>IF($A128="","",IF(NOT(ISNUMBER($A128)),"Enter a real date",IF(OR($B128="",$C128="",$D128=""),"Complete holiday fields",IF(COUNTIF('Team Setup'!$H$10:$H$59,$C128)&lt;&gt;1,"Check office location",IF($D128="All","Ready",IF(COUNTIFS('Team Setup'!$H$64:$H$163,$D128,'Team Setup'!$I$64:$I$163,$C128)=1,"Ready","Check group and location"))))))</x:f>
      </x:c>
      <x:c r="F128" s="2"/>
      <x:c r="G128" s="12"/>
      <x:c r="H128" s="20"/>
      <x:c r="I128" s="14"/>
      <x:c r="J128" s="13" t="str">
        <x:f>IF($G128="","",IF(OR(NOT(ISNUMBER($H128)),NOT(ISNUMBER($I128)),$I128&lt;=0),"Complete PTO fields",IF(COUNTIF('Team Setup'!$A$10:$A$34,$G128)=1,"Ready","Check member name")))</x:f>
      </x:c>
    </x:row>
    <x:row r="129">
      <x:c r="A129" s="20"/>
      <x:c r="B129" s="12"/>
      <x:c r="C129" s="12"/>
      <x:c r="D129" s="12"/>
      <x:c r="E129" s="13" t="str">
        <x:f>IF($A129="","",IF(NOT(ISNUMBER($A129)),"Enter a real date",IF(OR($B129="",$C129="",$D129=""),"Complete holiday fields",IF(COUNTIF('Team Setup'!$H$10:$H$59,$C129)&lt;&gt;1,"Check office location",IF($D129="All","Ready",IF(COUNTIFS('Team Setup'!$H$64:$H$163,$D129,'Team Setup'!$I$64:$I$163,$C129)=1,"Ready","Check group and location"))))))</x:f>
      </x:c>
      <x:c r="F129" s="2"/>
      <x:c r="G129" s="12"/>
      <x:c r="H129" s="20"/>
      <x:c r="I129" s="14"/>
      <x:c r="J129" s="13" t="str">
        <x:f>IF($G129="","",IF(OR(NOT(ISNUMBER($H129)),NOT(ISNUMBER($I129)),$I129&lt;=0),"Complete PTO fields",IF(COUNTIF('Team Setup'!$A$10:$A$34,$G129)=1,"Ready","Check member name")))</x:f>
      </x:c>
    </x:row>
    <x:row r="130">
      <x:c r="A130" s="20"/>
      <x:c r="B130" s="12"/>
      <x:c r="C130" s="12"/>
      <x:c r="D130" s="12"/>
      <x:c r="E130" s="13" t="str">
        <x:f>IF($A130="","",IF(NOT(ISNUMBER($A130)),"Enter a real date",IF(OR($B130="",$C130="",$D130=""),"Complete holiday fields",IF(COUNTIF('Team Setup'!$H$10:$H$59,$C130)&lt;&gt;1,"Check office location",IF($D130="All","Ready",IF(COUNTIFS('Team Setup'!$H$64:$H$163,$D130,'Team Setup'!$I$64:$I$163,$C130)=1,"Ready","Check group and location"))))))</x:f>
      </x:c>
      <x:c r="F130" s="2"/>
      <x:c r="G130" s="12"/>
      <x:c r="H130" s="20"/>
      <x:c r="I130" s="14"/>
      <x:c r="J130" s="13" t="str">
        <x:f>IF($G130="","",IF(OR(NOT(ISNUMBER($H130)),NOT(ISNUMBER($I130)),$I130&lt;=0),"Complete PTO fields",IF(COUNTIF('Team Setup'!$A$10:$A$34,$G130)=1,"Ready","Check member name")))</x:f>
      </x:c>
    </x:row>
    <x:row r="131">
      <x:c r="A131" s="20"/>
      <x:c r="B131" s="12"/>
      <x:c r="C131" s="12"/>
      <x:c r="D131" s="12"/>
      <x:c r="E131" s="13" t="str">
        <x:f>IF($A131="","",IF(NOT(ISNUMBER($A131)),"Enter a real date",IF(OR($B131="",$C131="",$D131=""),"Complete holiday fields",IF(COUNTIF('Team Setup'!$H$10:$H$59,$C131)&lt;&gt;1,"Check office location",IF($D131="All","Ready",IF(COUNTIFS('Team Setup'!$H$64:$H$163,$D131,'Team Setup'!$I$64:$I$163,$C131)=1,"Ready","Check group and location"))))))</x:f>
      </x:c>
      <x:c r="F131" s="2"/>
      <x:c r="G131" s="12"/>
      <x:c r="H131" s="20"/>
      <x:c r="I131" s="14"/>
      <x:c r="J131" s="13" t="str">
        <x:f>IF($G131="","",IF(OR(NOT(ISNUMBER($H131)),NOT(ISNUMBER($I131)),$I131&lt;=0),"Complete PTO fields",IF(COUNTIF('Team Setup'!$A$10:$A$34,$G131)=1,"Ready","Check member name")))</x:f>
      </x:c>
    </x:row>
    <x:row r="132">
      <x:c r="A132" s="20"/>
      <x:c r="B132" s="12"/>
      <x:c r="C132" s="12"/>
      <x:c r="D132" s="12"/>
      <x:c r="E132" s="13" t="str">
        <x:f>IF($A132="","",IF(NOT(ISNUMBER($A132)),"Enter a real date",IF(OR($B132="",$C132="",$D132=""),"Complete holiday fields",IF(COUNTIF('Team Setup'!$H$10:$H$59,$C132)&lt;&gt;1,"Check office location",IF($D132="All","Ready",IF(COUNTIFS('Team Setup'!$H$64:$H$163,$D132,'Team Setup'!$I$64:$I$163,$C132)=1,"Ready","Check group and location"))))))</x:f>
      </x:c>
      <x:c r="F132" s="2"/>
      <x:c r="G132" s="12"/>
      <x:c r="H132" s="20"/>
      <x:c r="I132" s="14"/>
      <x:c r="J132" s="13" t="str">
        <x:f>IF($G132="","",IF(OR(NOT(ISNUMBER($H132)),NOT(ISNUMBER($I132)),$I132&lt;=0),"Complete PTO fields",IF(COUNTIF('Team Setup'!$A$10:$A$34,$G132)=1,"Ready","Check member name")))</x:f>
      </x:c>
    </x:row>
    <x:row r="133">
      <x:c r="A133" s="20"/>
      <x:c r="B133" s="12"/>
      <x:c r="C133" s="12"/>
      <x:c r="D133" s="12"/>
      <x:c r="E133" s="13" t="str">
        <x:f>IF($A133="","",IF(NOT(ISNUMBER($A133)),"Enter a real date",IF(OR($B133="",$C133="",$D133=""),"Complete holiday fields",IF(COUNTIF('Team Setup'!$H$10:$H$59,$C133)&lt;&gt;1,"Check office location",IF($D133="All","Ready",IF(COUNTIFS('Team Setup'!$H$64:$H$163,$D133,'Team Setup'!$I$64:$I$163,$C133)=1,"Ready","Check group and location"))))))</x:f>
      </x:c>
      <x:c r="F133" s="2"/>
      <x:c r="G133" s="12"/>
      <x:c r="H133" s="20"/>
      <x:c r="I133" s="14"/>
      <x:c r="J133" s="13" t="str">
        <x:f>IF($G133="","",IF(OR(NOT(ISNUMBER($H133)),NOT(ISNUMBER($I133)),$I133&lt;=0),"Complete PTO fields",IF(COUNTIF('Team Setup'!$A$10:$A$34,$G133)=1,"Ready","Check member name")))</x:f>
      </x:c>
    </x:row>
    <x:row r="134">
      <x:c r="A134" s="20"/>
      <x:c r="B134" s="12"/>
      <x:c r="C134" s="12"/>
      <x:c r="D134" s="12"/>
      <x:c r="E134" s="13" t="str">
        <x:f>IF($A134="","",IF(NOT(ISNUMBER($A134)),"Enter a real date",IF(OR($B134="",$C134="",$D134=""),"Complete holiday fields",IF(COUNTIF('Team Setup'!$H$10:$H$59,$C134)&lt;&gt;1,"Check office location",IF($D134="All","Ready",IF(COUNTIFS('Team Setup'!$H$64:$H$163,$D134,'Team Setup'!$I$64:$I$163,$C134)=1,"Ready","Check group and location"))))))</x:f>
      </x:c>
      <x:c r="F134" s="2"/>
      <x:c r="G134" s="12"/>
      <x:c r="H134" s="20"/>
      <x:c r="I134" s="14"/>
      <x:c r="J134" s="13" t="str">
        <x:f>IF($G134="","",IF(OR(NOT(ISNUMBER($H134)),NOT(ISNUMBER($I134)),$I134&lt;=0),"Complete PTO fields",IF(COUNTIF('Team Setup'!$A$10:$A$34,$G134)=1,"Ready","Check member name")))</x:f>
      </x:c>
    </x:row>
    <x:row r="135">
      <x:c r="A135" s="20"/>
      <x:c r="B135" s="12"/>
      <x:c r="C135" s="12"/>
      <x:c r="D135" s="12"/>
      <x:c r="E135" s="13" t="str">
        <x:f>IF($A135="","",IF(NOT(ISNUMBER($A135)),"Enter a real date",IF(OR($B135="",$C135="",$D135=""),"Complete holiday fields",IF(COUNTIF('Team Setup'!$H$10:$H$59,$C135)&lt;&gt;1,"Check office location",IF($D135="All","Ready",IF(COUNTIFS('Team Setup'!$H$64:$H$163,$D135,'Team Setup'!$I$64:$I$163,$C135)=1,"Ready","Check group and location"))))))</x:f>
      </x:c>
      <x:c r="F135" s="2"/>
      <x:c r="G135" s="12"/>
      <x:c r="H135" s="20"/>
      <x:c r="I135" s="14"/>
      <x:c r="J135" s="13" t="str">
        <x:f>IF($G135="","",IF(OR(NOT(ISNUMBER($H135)),NOT(ISNUMBER($I135)),$I135&lt;=0),"Complete PTO fields",IF(COUNTIF('Team Setup'!$A$10:$A$34,$G135)=1,"Ready","Check member name")))</x:f>
      </x:c>
    </x:row>
    <x:row r="136">
      <x:c r="A136" s="20"/>
      <x:c r="B136" s="12"/>
      <x:c r="C136" s="12"/>
      <x:c r="D136" s="12"/>
      <x:c r="E136" s="13" t="str">
        <x:f>IF($A136="","",IF(NOT(ISNUMBER($A136)),"Enter a real date",IF(OR($B136="",$C136="",$D136=""),"Complete holiday fields",IF(COUNTIF('Team Setup'!$H$10:$H$59,$C136)&lt;&gt;1,"Check office location",IF($D136="All","Ready",IF(COUNTIFS('Team Setup'!$H$64:$H$163,$D136,'Team Setup'!$I$64:$I$163,$C136)=1,"Ready","Check group and location"))))))</x:f>
      </x:c>
      <x:c r="F136" s="2"/>
      <x:c r="G136" s="12"/>
      <x:c r="H136" s="20"/>
      <x:c r="I136" s="14"/>
      <x:c r="J136" s="13" t="str">
        <x:f>IF($G136="","",IF(OR(NOT(ISNUMBER($H136)),NOT(ISNUMBER($I136)),$I136&lt;=0),"Complete PTO fields",IF(COUNTIF('Team Setup'!$A$10:$A$34,$G136)=1,"Ready","Check member name")))</x:f>
      </x:c>
    </x:row>
    <x:row r="137">
      <x:c r="A137" s="20"/>
      <x:c r="B137" s="12"/>
      <x:c r="C137" s="12"/>
      <x:c r="D137" s="12"/>
      <x:c r="E137" s="13" t="str">
        <x:f>IF($A137="","",IF(NOT(ISNUMBER($A137)),"Enter a real date",IF(OR($B137="",$C137="",$D137=""),"Complete holiday fields",IF(COUNTIF('Team Setup'!$H$10:$H$59,$C137)&lt;&gt;1,"Check office location",IF($D137="All","Ready",IF(COUNTIFS('Team Setup'!$H$64:$H$163,$D137,'Team Setup'!$I$64:$I$163,$C137)=1,"Ready","Check group and location"))))))</x:f>
      </x:c>
      <x:c r="F137" s="2"/>
      <x:c r="G137" s="12"/>
      <x:c r="H137" s="20"/>
      <x:c r="I137" s="14"/>
      <x:c r="J137" s="13" t="str">
        <x:f>IF($G137="","",IF(OR(NOT(ISNUMBER($H137)),NOT(ISNUMBER($I137)),$I137&lt;=0),"Complete PTO fields",IF(COUNTIF('Team Setup'!$A$10:$A$34,$G137)=1,"Ready","Check member name")))</x:f>
      </x:c>
    </x:row>
    <x:row r="138">
      <x:c r="A138" s="20"/>
      <x:c r="B138" s="12"/>
      <x:c r="C138" s="12"/>
      <x:c r="D138" s="12"/>
      <x:c r="E138" s="13" t="str">
        <x:f>IF($A138="","",IF(NOT(ISNUMBER($A138)),"Enter a real date",IF(OR($B138="",$C138="",$D138=""),"Complete holiday fields",IF(COUNTIF('Team Setup'!$H$10:$H$59,$C138)&lt;&gt;1,"Check office location",IF($D138="All","Ready",IF(COUNTIFS('Team Setup'!$H$64:$H$163,$D138,'Team Setup'!$I$64:$I$163,$C138)=1,"Ready","Check group and location"))))))</x:f>
      </x:c>
      <x:c r="F138" s="2"/>
      <x:c r="G138" s="12"/>
      <x:c r="H138" s="20"/>
      <x:c r="I138" s="14"/>
      <x:c r="J138" s="13" t="str">
        <x:f>IF($G138="","",IF(OR(NOT(ISNUMBER($H138)),NOT(ISNUMBER($I138)),$I138&lt;=0),"Complete PTO fields",IF(COUNTIF('Team Setup'!$A$10:$A$34,$G138)=1,"Ready","Check member name")))</x:f>
      </x:c>
    </x:row>
    <x:row r="139">
      <x:c r="A139" s="20"/>
      <x:c r="B139" s="12"/>
      <x:c r="C139" s="12"/>
      <x:c r="D139" s="12"/>
      <x:c r="E139" s="13" t="str">
        <x:f>IF($A139="","",IF(NOT(ISNUMBER($A139)),"Enter a real date",IF(OR($B139="",$C139="",$D139=""),"Complete holiday fields",IF(COUNTIF('Team Setup'!$H$10:$H$59,$C139)&lt;&gt;1,"Check office location",IF($D139="All","Ready",IF(COUNTIFS('Team Setup'!$H$64:$H$163,$D139,'Team Setup'!$I$64:$I$163,$C139)=1,"Ready","Check group and location"))))))</x:f>
      </x:c>
      <x:c r="F139" s="2"/>
      <x:c r="G139" s="12"/>
      <x:c r="H139" s="20"/>
      <x:c r="I139" s="14"/>
      <x:c r="J139" s="13" t="str">
        <x:f>IF($G139="","",IF(OR(NOT(ISNUMBER($H139)),NOT(ISNUMBER($I139)),$I139&lt;=0),"Complete PTO fields",IF(COUNTIF('Team Setup'!$A$10:$A$34,$G139)=1,"Ready","Check member name")))</x:f>
      </x:c>
    </x:row>
    <x:row r="140">
      <x:c r="A140" s="20"/>
      <x:c r="B140" s="12"/>
      <x:c r="C140" s="12"/>
      <x:c r="D140" s="12"/>
      <x:c r="E140" s="13" t="str">
        <x:f>IF($A140="","",IF(NOT(ISNUMBER($A140)),"Enter a real date",IF(OR($B140="",$C140="",$D140=""),"Complete holiday fields",IF(COUNTIF('Team Setup'!$H$10:$H$59,$C140)&lt;&gt;1,"Check office location",IF($D140="All","Ready",IF(COUNTIFS('Team Setup'!$H$64:$H$163,$D140,'Team Setup'!$I$64:$I$163,$C140)=1,"Ready","Check group and location"))))))</x:f>
      </x:c>
      <x:c r="F140" s="2"/>
      <x:c r="G140" s="12"/>
      <x:c r="H140" s="20"/>
      <x:c r="I140" s="14"/>
      <x:c r="J140" s="13" t="str">
        <x:f>IF($G140="","",IF(OR(NOT(ISNUMBER($H140)),NOT(ISNUMBER($I140)),$I140&lt;=0),"Complete PTO fields",IF(COUNTIF('Team Setup'!$A$10:$A$34,$G140)=1,"Ready","Check member name")))</x:f>
      </x:c>
    </x:row>
    <x:row r="141">
      <x:c r="A141" s="20"/>
      <x:c r="B141" s="12"/>
      <x:c r="C141" s="12"/>
      <x:c r="D141" s="12"/>
      <x:c r="E141" s="13" t="str">
        <x:f>IF($A141="","",IF(NOT(ISNUMBER($A141)),"Enter a real date",IF(OR($B141="",$C141="",$D141=""),"Complete holiday fields",IF(COUNTIF('Team Setup'!$H$10:$H$59,$C141)&lt;&gt;1,"Check office location",IF($D141="All","Ready",IF(COUNTIFS('Team Setup'!$H$64:$H$163,$D141,'Team Setup'!$I$64:$I$163,$C141)=1,"Ready","Check group and location"))))))</x:f>
      </x:c>
      <x:c r="F141" s="2"/>
      <x:c r="G141" s="12"/>
      <x:c r="H141" s="20"/>
      <x:c r="I141" s="14"/>
      <x:c r="J141" s="13" t="str">
        <x:f>IF($G141="","",IF(OR(NOT(ISNUMBER($H141)),NOT(ISNUMBER($I141)),$I141&lt;=0),"Complete PTO fields",IF(COUNTIF('Team Setup'!$A$10:$A$34,$G141)=1,"Ready","Check member name")))</x:f>
      </x:c>
    </x:row>
    <x:row r="142">
      <x:c r="A142" s="20"/>
      <x:c r="B142" s="12"/>
      <x:c r="C142" s="12"/>
      <x:c r="D142" s="12"/>
      <x:c r="E142" s="13" t="str">
        <x:f>IF($A142="","",IF(NOT(ISNUMBER($A142)),"Enter a real date",IF(OR($B142="",$C142="",$D142=""),"Complete holiday fields",IF(COUNTIF('Team Setup'!$H$10:$H$59,$C142)&lt;&gt;1,"Check office location",IF($D142="All","Ready",IF(COUNTIFS('Team Setup'!$H$64:$H$163,$D142,'Team Setup'!$I$64:$I$163,$C142)=1,"Ready","Check group and location"))))))</x:f>
      </x:c>
      <x:c r="F142" s="2"/>
      <x:c r="G142" s="12"/>
      <x:c r="H142" s="20"/>
      <x:c r="I142" s="14"/>
      <x:c r="J142" s="13" t="str">
        <x:f>IF($G142="","",IF(OR(NOT(ISNUMBER($H142)),NOT(ISNUMBER($I142)),$I142&lt;=0),"Complete PTO fields",IF(COUNTIF('Team Setup'!$A$10:$A$34,$G142)=1,"Ready","Check member name")))</x:f>
      </x:c>
    </x:row>
    <x:row r="143">
      <x:c r="A143" s="20"/>
      <x:c r="B143" s="12"/>
      <x:c r="C143" s="12"/>
      <x:c r="D143" s="12"/>
      <x:c r="E143" s="13" t="str">
        <x:f>IF($A143="","",IF(NOT(ISNUMBER($A143)),"Enter a real date",IF(OR($B143="",$C143="",$D143=""),"Complete holiday fields",IF(COUNTIF('Team Setup'!$H$10:$H$59,$C143)&lt;&gt;1,"Check office location",IF($D143="All","Ready",IF(COUNTIFS('Team Setup'!$H$64:$H$163,$D143,'Team Setup'!$I$64:$I$163,$C143)=1,"Ready","Check group and location"))))))</x:f>
      </x:c>
      <x:c r="F143" s="2"/>
      <x:c r="G143" s="12"/>
      <x:c r="H143" s="20"/>
      <x:c r="I143" s="14"/>
      <x:c r="J143" s="13" t="str">
        <x:f>IF($G143="","",IF(OR(NOT(ISNUMBER($H143)),NOT(ISNUMBER($I143)),$I143&lt;=0),"Complete PTO fields",IF(COUNTIF('Team Setup'!$A$10:$A$34,$G143)=1,"Ready","Check member name")))</x:f>
      </x:c>
    </x:row>
    <x:row r="144">
      <x:c r="A144" s="20"/>
      <x:c r="B144" s="12"/>
      <x:c r="C144" s="12"/>
      <x:c r="D144" s="12"/>
      <x:c r="E144" s="13" t="str">
        <x:f>IF($A144="","",IF(NOT(ISNUMBER($A144)),"Enter a real date",IF(OR($B144="",$C144="",$D144=""),"Complete holiday fields",IF(COUNTIF('Team Setup'!$H$10:$H$59,$C144)&lt;&gt;1,"Check office location",IF($D144="All","Ready",IF(COUNTIFS('Team Setup'!$H$64:$H$163,$D144,'Team Setup'!$I$64:$I$163,$C144)=1,"Ready","Check group and location"))))))</x:f>
      </x:c>
      <x:c r="F144" s="2"/>
      <x:c r="G144" s="12"/>
      <x:c r="H144" s="20"/>
      <x:c r="I144" s="14"/>
      <x:c r="J144" s="13" t="str">
        <x:f>IF($G144="","",IF(OR(NOT(ISNUMBER($H144)),NOT(ISNUMBER($I144)),$I144&lt;=0),"Complete PTO fields",IF(COUNTIF('Team Setup'!$A$10:$A$34,$G144)=1,"Ready","Check member name")))</x:f>
      </x:c>
    </x:row>
    <x:row r="145">
      <x:c r="A145" s="20"/>
      <x:c r="B145" s="12"/>
      <x:c r="C145" s="12"/>
      <x:c r="D145" s="12"/>
      <x:c r="E145" s="13" t="str">
        <x:f>IF($A145="","",IF(NOT(ISNUMBER($A145)),"Enter a real date",IF(OR($B145="",$C145="",$D145=""),"Complete holiday fields",IF(COUNTIF('Team Setup'!$H$10:$H$59,$C145)&lt;&gt;1,"Check office location",IF($D145="All","Ready",IF(COUNTIFS('Team Setup'!$H$64:$H$163,$D145,'Team Setup'!$I$64:$I$163,$C145)=1,"Ready","Check group and location"))))))</x:f>
      </x:c>
      <x:c r="F145" s="2"/>
      <x:c r="G145" s="12"/>
      <x:c r="H145" s="20"/>
      <x:c r="I145" s="14"/>
      <x:c r="J145" s="13" t="str">
        <x:f>IF($G145="","",IF(OR(NOT(ISNUMBER($H145)),NOT(ISNUMBER($I145)),$I145&lt;=0),"Complete PTO fields",IF(COUNTIF('Team Setup'!$A$10:$A$34,$G145)=1,"Ready","Check member name")))</x:f>
      </x:c>
    </x:row>
    <x:row r="146">
      <x:c r="A146" s="20"/>
      <x:c r="B146" s="12"/>
      <x:c r="C146" s="12"/>
      <x:c r="D146" s="12"/>
      <x:c r="E146" s="13" t="str">
        <x:f>IF($A146="","",IF(NOT(ISNUMBER($A146)),"Enter a real date",IF(OR($B146="",$C146="",$D146=""),"Complete holiday fields",IF(COUNTIF('Team Setup'!$H$10:$H$59,$C146)&lt;&gt;1,"Check office location",IF($D146="All","Ready",IF(COUNTIFS('Team Setup'!$H$64:$H$163,$D146,'Team Setup'!$I$64:$I$163,$C146)=1,"Ready","Check group and location"))))))</x:f>
      </x:c>
      <x:c r="F146" s="2"/>
      <x:c r="G146" s="12"/>
      <x:c r="H146" s="20"/>
      <x:c r="I146" s="14"/>
      <x:c r="J146" s="13" t="str">
        <x:f>IF($G146="","",IF(OR(NOT(ISNUMBER($H146)),NOT(ISNUMBER($I146)),$I146&lt;=0),"Complete PTO fields",IF(COUNTIF('Team Setup'!$A$10:$A$34,$G146)=1,"Ready","Check member name")))</x:f>
      </x:c>
    </x:row>
    <x:row r="147">
      <x:c r="A147" s="20"/>
      <x:c r="B147" s="12"/>
      <x:c r="C147" s="12"/>
      <x:c r="D147" s="12"/>
      <x:c r="E147" s="13" t="str">
        <x:f>IF($A147="","",IF(NOT(ISNUMBER($A147)),"Enter a real date",IF(OR($B147="",$C147="",$D147=""),"Complete holiday fields",IF(COUNTIF('Team Setup'!$H$10:$H$59,$C147)&lt;&gt;1,"Check office location",IF($D147="All","Ready",IF(COUNTIFS('Team Setup'!$H$64:$H$163,$D147,'Team Setup'!$I$64:$I$163,$C147)=1,"Ready","Check group and location"))))))</x:f>
      </x:c>
      <x:c r="F147" s="2"/>
      <x:c r="G147" s="12"/>
      <x:c r="H147" s="20"/>
      <x:c r="I147" s="14"/>
      <x:c r="J147" s="13" t="str">
        <x:f>IF($G147="","",IF(OR(NOT(ISNUMBER($H147)),NOT(ISNUMBER($I147)),$I147&lt;=0),"Complete PTO fields",IF(COUNTIF('Team Setup'!$A$10:$A$34,$G147)=1,"Ready","Check member name")))</x:f>
      </x:c>
    </x:row>
    <x:row r="148">
      <x:c r="A148" s="20"/>
      <x:c r="B148" s="12"/>
      <x:c r="C148" s="12"/>
      <x:c r="D148" s="12"/>
      <x:c r="E148" s="13" t="str">
        <x:f>IF($A148="","",IF(NOT(ISNUMBER($A148)),"Enter a real date",IF(OR($B148="",$C148="",$D148=""),"Complete holiday fields",IF(COUNTIF('Team Setup'!$H$10:$H$59,$C148)&lt;&gt;1,"Check office location",IF($D148="All","Ready",IF(COUNTIFS('Team Setup'!$H$64:$H$163,$D148,'Team Setup'!$I$64:$I$163,$C148)=1,"Ready","Check group and location"))))))</x:f>
      </x:c>
      <x:c r="F148" s="2"/>
      <x:c r="G148" s="12"/>
      <x:c r="H148" s="20"/>
      <x:c r="I148" s="14"/>
      <x:c r="J148" s="13" t="str">
        <x:f>IF($G148="","",IF(OR(NOT(ISNUMBER($H148)),NOT(ISNUMBER($I148)),$I148&lt;=0),"Complete PTO fields",IF(COUNTIF('Team Setup'!$A$10:$A$34,$G148)=1,"Ready","Check member name")))</x:f>
      </x:c>
    </x:row>
    <x:row r="149">
      <x:c r="A149" s="20"/>
      <x:c r="B149" s="12"/>
      <x:c r="C149" s="12"/>
      <x:c r="D149" s="12"/>
      <x:c r="E149" s="13" t="str">
        <x:f>IF($A149="","",IF(NOT(ISNUMBER($A149)),"Enter a real date",IF(OR($B149="",$C149="",$D149=""),"Complete holiday fields",IF(COUNTIF('Team Setup'!$H$10:$H$59,$C149)&lt;&gt;1,"Check office location",IF($D149="All","Ready",IF(COUNTIFS('Team Setup'!$H$64:$H$163,$D149,'Team Setup'!$I$64:$I$163,$C149)=1,"Ready","Check group and location"))))))</x:f>
      </x:c>
      <x:c r="F149" s="2"/>
      <x:c r="G149" s="12"/>
      <x:c r="H149" s="20"/>
      <x:c r="I149" s="14"/>
      <x:c r="J149" s="13" t="str">
        <x:f>IF($G149="","",IF(OR(NOT(ISNUMBER($H149)),NOT(ISNUMBER($I149)),$I149&lt;=0),"Complete PTO fields",IF(COUNTIF('Team Setup'!$A$10:$A$34,$G149)=1,"Ready","Check member name")))</x:f>
      </x:c>
    </x:row>
    <x:row r="150">
      <x:c r="A150" s="20"/>
      <x:c r="B150" s="12"/>
      <x:c r="C150" s="12"/>
      <x:c r="D150" s="12"/>
      <x:c r="E150" s="13" t="str">
        <x:f>IF($A150="","",IF(NOT(ISNUMBER($A150)),"Enter a real date",IF(OR($B150="",$C150="",$D150=""),"Complete holiday fields",IF(COUNTIF('Team Setup'!$H$10:$H$59,$C150)&lt;&gt;1,"Check office location",IF($D150="All","Ready",IF(COUNTIFS('Team Setup'!$H$64:$H$163,$D150,'Team Setup'!$I$64:$I$163,$C150)=1,"Ready","Check group and location"))))))</x:f>
      </x:c>
      <x:c r="F150" s="2"/>
      <x:c r="G150" s="12"/>
      <x:c r="H150" s="20"/>
      <x:c r="I150" s="14"/>
      <x:c r="J150" s="13" t="str">
        <x:f>IF($G150="","",IF(OR(NOT(ISNUMBER($H150)),NOT(ISNUMBER($I150)),$I150&lt;=0),"Complete PTO fields",IF(COUNTIF('Team Setup'!$A$10:$A$34,$G150)=1,"Ready","Check member name")))</x:f>
      </x:c>
    </x:row>
    <x:row r="151">
      <x:c r="A151" s="20"/>
      <x:c r="B151" s="12"/>
      <x:c r="C151" s="12"/>
      <x:c r="D151" s="12"/>
      <x:c r="E151" s="13" t="str">
        <x:f>IF($A151="","",IF(NOT(ISNUMBER($A151)),"Enter a real date",IF(OR($B151="",$C151="",$D151=""),"Complete holiday fields",IF(COUNTIF('Team Setup'!$H$10:$H$59,$C151)&lt;&gt;1,"Check office location",IF($D151="All","Ready",IF(COUNTIFS('Team Setup'!$H$64:$H$163,$D151,'Team Setup'!$I$64:$I$163,$C151)=1,"Ready","Check group and location"))))))</x:f>
      </x:c>
      <x:c r="F151" s="2"/>
      <x:c r="G151" s="12"/>
      <x:c r="H151" s="20"/>
      <x:c r="I151" s="14"/>
      <x:c r="J151" s="13" t="str">
        <x:f>IF($G151="","",IF(OR(NOT(ISNUMBER($H151)),NOT(ISNUMBER($I151)),$I151&lt;=0),"Complete PTO fields",IF(COUNTIF('Team Setup'!$A$10:$A$34,$G151)=1,"Ready","Check member name")))</x:f>
      </x:c>
    </x:row>
    <x:row r="152">
      <x:c r="A152" s="20"/>
      <x:c r="B152" s="12"/>
      <x:c r="C152" s="12"/>
      <x:c r="D152" s="12"/>
      <x:c r="E152" s="13" t="str">
        <x:f>IF($A152="","",IF(NOT(ISNUMBER($A152)),"Enter a real date",IF(OR($B152="",$C152="",$D152=""),"Complete holiday fields",IF(COUNTIF('Team Setup'!$H$10:$H$59,$C152)&lt;&gt;1,"Check office location",IF($D152="All","Ready",IF(COUNTIFS('Team Setup'!$H$64:$H$163,$D152,'Team Setup'!$I$64:$I$163,$C152)=1,"Ready","Check group and location"))))))</x:f>
      </x:c>
      <x:c r="F152" s="2"/>
      <x:c r="G152" s="12"/>
      <x:c r="H152" s="20"/>
      <x:c r="I152" s="14"/>
      <x:c r="J152" s="13" t="str">
        <x:f>IF($G152="","",IF(OR(NOT(ISNUMBER($H152)),NOT(ISNUMBER($I152)),$I152&lt;=0),"Complete PTO fields",IF(COUNTIF('Team Setup'!$A$10:$A$34,$G152)=1,"Ready","Check member name")))</x:f>
      </x:c>
    </x:row>
    <x:row r="153">
      <x:c r="A153" s="20"/>
      <x:c r="B153" s="12"/>
      <x:c r="C153" s="12"/>
      <x:c r="D153" s="12"/>
      <x:c r="E153" s="13" t="str">
        <x:f>IF($A153="","",IF(NOT(ISNUMBER($A153)),"Enter a real date",IF(OR($B153="",$C153="",$D153=""),"Complete holiday fields",IF(COUNTIF('Team Setup'!$H$10:$H$59,$C153)&lt;&gt;1,"Check office location",IF($D153="All","Ready",IF(COUNTIFS('Team Setup'!$H$64:$H$163,$D153,'Team Setup'!$I$64:$I$163,$C153)=1,"Ready","Check group and location"))))))</x:f>
      </x:c>
      <x:c r="F153" s="2"/>
      <x:c r="G153" s="12"/>
      <x:c r="H153" s="20"/>
      <x:c r="I153" s="14"/>
      <x:c r="J153" s="13" t="str">
        <x:f>IF($G153="","",IF(OR(NOT(ISNUMBER($H153)),NOT(ISNUMBER($I153)),$I153&lt;=0),"Complete PTO fields",IF(COUNTIF('Team Setup'!$A$10:$A$34,$G153)=1,"Ready","Check member name")))</x:f>
      </x:c>
    </x:row>
    <x:row r="154">
      <x:c r="A154" s="20"/>
      <x:c r="B154" s="12"/>
      <x:c r="C154" s="12"/>
      <x:c r="D154" s="12"/>
      <x:c r="E154" s="13" t="str">
        <x:f>IF($A154="","",IF(NOT(ISNUMBER($A154)),"Enter a real date",IF(OR($B154="",$C154="",$D154=""),"Complete holiday fields",IF(COUNTIF('Team Setup'!$H$10:$H$59,$C154)&lt;&gt;1,"Check office location",IF($D154="All","Ready",IF(COUNTIFS('Team Setup'!$H$64:$H$163,$D154,'Team Setup'!$I$64:$I$163,$C154)=1,"Ready","Check group and location"))))))</x:f>
      </x:c>
      <x:c r="F154" s="2"/>
      <x:c r="G154" s="12"/>
      <x:c r="H154" s="20"/>
      <x:c r="I154" s="14"/>
      <x:c r="J154" s="13" t="str">
        <x:f>IF($G154="","",IF(OR(NOT(ISNUMBER($H154)),NOT(ISNUMBER($I154)),$I154&lt;=0),"Complete PTO fields",IF(COUNTIF('Team Setup'!$A$10:$A$34,$G154)=1,"Ready","Check member name")))</x:f>
      </x:c>
    </x:row>
    <x:row r="155">
      <x:c r="A155" s="20"/>
      <x:c r="B155" s="12"/>
      <x:c r="C155" s="12"/>
      <x:c r="D155" s="12"/>
      <x:c r="E155" s="13" t="str">
        <x:f>IF($A155="","",IF(NOT(ISNUMBER($A155)),"Enter a real date",IF(OR($B155="",$C155="",$D155=""),"Complete holiday fields",IF(COUNTIF('Team Setup'!$H$10:$H$59,$C155)&lt;&gt;1,"Check office location",IF($D155="All","Ready",IF(COUNTIFS('Team Setup'!$H$64:$H$163,$D155,'Team Setup'!$I$64:$I$163,$C155)=1,"Ready","Check group and location"))))))</x:f>
      </x:c>
      <x:c r="F155" s="2"/>
      <x:c r="G155" s="12"/>
      <x:c r="H155" s="20"/>
      <x:c r="I155" s="14"/>
      <x:c r="J155" s="13" t="str">
        <x:f>IF($G155="","",IF(OR(NOT(ISNUMBER($H155)),NOT(ISNUMBER($I155)),$I155&lt;=0),"Complete PTO fields",IF(COUNTIF('Team Setup'!$A$10:$A$34,$G155)=1,"Ready","Check member name")))</x:f>
      </x:c>
    </x:row>
    <x:row r="156">
      <x:c r="A156" s="20"/>
      <x:c r="B156" s="12"/>
      <x:c r="C156" s="12"/>
      <x:c r="D156" s="12"/>
      <x:c r="E156" s="13" t="str">
        <x:f>IF($A156="","",IF(NOT(ISNUMBER($A156)),"Enter a real date",IF(OR($B156="",$C156="",$D156=""),"Complete holiday fields",IF(COUNTIF('Team Setup'!$H$10:$H$59,$C156)&lt;&gt;1,"Check office location",IF($D156="All","Ready",IF(COUNTIFS('Team Setup'!$H$64:$H$163,$D156,'Team Setup'!$I$64:$I$163,$C156)=1,"Ready","Check group and location"))))))</x:f>
      </x:c>
      <x:c r="F156" s="2"/>
      <x:c r="G156" s="12"/>
      <x:c r="H156" s="20"/>
      <x:c r="I156" s="14"/>
      <x:c r="J156" s="13" t="str">
        <x:f>IF($G156="","",IF(OR(NOT(ISNUMBER($H156)),NOT(ISNUMBER($I156)),$I156&lt;=0),"Complete PTO fields",IF(COUNTIF('Team Setup'!$A$10:$A$34,$G156)=1,"Ready","Check member name")))</x:f>
      </x:c>
    </x:row>
    <x:row r="157">
      <x:c r="A157" s="20"/>
      <x:c r="B157" s="12"/>
      <x:c r="C157" s="12"/>
      <x:c r="D157" s="12"/>
      <x:c r="E157" s="13" t="str">
        <x:f>IF($A157="","",IF(NOT(ISNUMBER($A157)),"Enter a real date",IF(OR($B157="",$C157="",$D157=""),"Complete holiday fields",IF(COUNTIF('Team Setup'!$H$10:$H$59,$C157)&lt;&gt;1,"Check office location",IF($D157="All","Ready",IF(COUNTIFS('Team Setup'!$H$64:$H$163,$D157,'Team Setup'!$I$64:$I$163,$C157)=1,"Ready","Check group and location"))))))</x:f>
      </x:c>
      <x:c r="F157" s="2"/>
      <x:c r="G157" s="12"/>
      <x:c r="H157" s="20"/>
      <x:c r="I157" s="14"/>
      <x:c r="J157" s="13" t="str">
        <x:f>IF($G157="","",IF(OR(NOT(ISNUMBER($H157)),NOT(ISNUMBER($I157)),$I157&lt;=0),"Complete PTO fields",IF(COUNTIF('Team Setup'!$A$10:$A$34,$G157)=1,"Ready","Check member name")))</x:f>
      </x:c>
    </x:row>
    <x:row r="158">
      <x:c r="A158" s="20"/>
      <x:c r="B158" s="12"/>
      <x:c r="C158" s="12"/>
      <x:c r="D158" s="12"/>
      <x:c r="E158" s="13" t="str">
        <x:f>IF($A158="","",IF(NOT(ISNUMBER($A158)),"Enter a real date",IF(OR($B158="",$C158="",$D158=""),"Complete holiday fields",IF(COUNTIF('Team Setup'!$H$10:$H$59,$C158)&lt;&gt;1,"Check office location",IF($D158="All","Ready",IF(COUNTIFS('Team Setup'!$H$64:$H$163,$D158,'Team Setup'!$I$64:$I$163,$C158)=1,"Ready","Check group and location"))))))</x:f>
      </x:c>
      <x:c r="F158" s="2"/>
      <x:c r="G158" s="12"/>
      <x:c r="H158" s="20"/>
      <x:c r="I158" s="14"/>
      <x:c r="J158" s="13" t="str">
        <x:f>IF($G158="","",IF(OR(NOT(ISNUMBER($H158)),NOT(ISNUMBER($I158)),$I158&lt;=0),"Complete PTO fields",IF(COUNTIF('Team Setup'!$A$10:$A$34,$G158)=1,"Ready","Check member name")))</x:f>
      </x:c>
    </x:row>
    <x:row r="159">
      <x:c r="A159" s="20"/>
      <x:c r="B159" s="12"/>
      <x:c r="C159" s="12"/>
      <x:c r="D159" s="12"/>
      <x:c r="E159" s="13" t="str">
        <x:f>IF($A159="","",IF(NOT(ISNUMBER($A159)),"Enter a real date",IF(OR($B159="",$C159="",$D159=""),"Complete holiday fields",IF(COUNTIF('Team Setup'!$H$10:$H$59,$C159)&lt;&gt;1,"Check office location",IF($D159="All","Ready",IF(COUNTIFS('Team Setup'!$H$64:$H$163,$D159,'Team Setup'!$I$64:$I$163,$C159)=1,"Ready","Check group and location"))))))</x:f>
      </x:c>
      <x:c r="F159" s="2"/>
      <x:c r="G159" s="12"/>
      <x:c r="H159" s="20"/>
      <x:c r="I159" s="14"/>
      <x:c r="J159" s="13" t="str">
        <x:f>IF($G159="","",IF(OR(NOT(ISNUMBER($H159)),NOT(ISNUMBER($I159)),$I159&lt;=0),"Complete PTO fields",IF(COUNTIF('Team Setup'!$A$10:$A$34,$G159)=1,"Ready","Check member name")))</x:f>
      </x:c>
    </x:row>
    <x:row r="160">
      <x:c r="A160" s="20"/>
      <x:c r="B160" s="12"/>
      <x:c r="C160" s="12"/>
      <x:c r="D160" s="12"/>
      <x:c r="E160" s="13" t="str">
        <x:f>IF($A160="","",IF(NOT(ISNUMBER($A160)),"Enter a real date",IF(OR($B160="",$C160="",$D160=""),"Complete holiday fields",IF(COUNTIF('Team Setup'!$H$10:$H$59,$C160)&lt;&gt;1,"Check office location",IF($D160="All","Ready",IF(COUNTIFS('Team Setup'!$H$64:$H$163,$D160,'Team Setup'!$I$64:$I$163,$C160)=1,"Ready","Check group and location"))))))</x:f>
      </x:c>
      <x:c r="F160" s="2"/>
      <x:c r="G160" s="12"/>
      <x:c r="H160" s="20"/>
      <x:c r="I160" s="14"/>
      <x:c r="J160" s="13" t="str">
        <x:f>IF($G160="","",IF(OR(NOT(ISNUMBER($H160)),NOT(ISNUMBER($I160)),$I160&lt;=0),"Complete PTO fields",IF(COUNTIF('Team Setup'!$A$10:$A$34,$G160)=1,"Ready","Check member name")))</x:f>
      </x:c>
    </x:row>
    <x:row r="161">
      <x:c r="A161" s="20"/>
      <x:c r="B161" s="12"/>
      <x:c r="C161" s="12"/>
      <x:c r="D161" s="12"/>
      <x:c r="E161" s="13" t="str">
        <x:f>IF($A161="","",IF(NOT(ISNUMBER($A161)),"Enter a real date",IF(OR($B161="",$C161="",$D161=""),"Complete holiday fields",IF(COUNTIF('Team Setup'!$H$10:$H$59,$C161)&lt;&gt;1,"Check office location",IF($D161="All","Ready",IF(COUNTIFS('Team Setup'!$H$64:$H$163,$D161,'Team Setup'!$I$64:$I$163,$C161)=1,"Ready","Check group and location"))))))</x:f>
      </x:c>
      <x:c r="F161" s="2"/>
      <x:c r="G161" s="12"/>
      <x:c r="H161" s="20"/>
      <x:c r="I161" s="14"/>
      <x:c r="J161" s="13" t="str">
        <x:f>IF($G161="","",IF(OR(NOT(ISNUMBER($H161)),NOT(ISNUMBER($I161)),$I161&lt;=0),"Complete PTO fields",IF(COUNTIF('Team Setup'!$A$10:$A$34,$G161)=1,"Ready","Check member name")))</x:f>
      </x:c>
    </x:row>
    <x:row r="162">
      <x:c r="A162" s="20"/>
      <x:c r="B162" s="12"/>
      <x:c r="C162" s="12"/>
      <x:c r="D162" s="12"/>
      <x:c r="E162" s="13" t="str">
        <x:f>IF($A162="","",IF(NOT(ISNUMBER($A162)),"Enter a real date",IF(OR($B162="",$C162="",$D162=""),"Complete holiday fields",IF(COUNTIF('Team Setup'!$H$10:$H$59,$C162)&lt;&gt;1,"Check office location",IF($D162="All","Ready",IF(COUNTIFS('Team Setup'!$H$64:$H$163,$D162,'Team Setup'!$I$64:$I$163,$C162)=1,"Ready","Check group and location"))))))</x:f>
      </x:c>
      <x:c r="F162" s="2"/>
      <x:c r="G162" s="12"/>
      <x:c r="H162" s="20"/>
      <x:c r="I162" s="14"/>
      <x:c r="J162" s="13" t="str">
        <x:f>IF($G162="","",IF(OR(NOT(ISNUMBER($H162)),NOT(ISNUMBER($I162)),$I162&lt;=0),"Complete PTO fields",IF(COUNTIF('Team Setup'!$A$10:$A$34,$G162)=1,"Ready","Check member name")))</x:f>
      </x:c>
    </x:row>
    <x:row r="163">
      <x:c r="A163" s="20"/>
      <x:c r="B163" s="12"/>
      <x:c r="C163" s="12"/>
      <x:c r="D163" s="12"/>
      <x:c r="E163" s="13" t="str">
        <x:f>IF($A163="","",IF(NOT(ISNUMBER($A163)),"Enter a real date",IF(OR($B163="",$C163="",$D163=""),"Complete holiday fields",IF(COUNTIF('Team Setup'!$H$10:$H$59,$C163)&lt;&gt;1,"Check office location",IF($D163="All","Ready",IF(COUNTIFS('Team Setup'!$H$64:$H$163,$D163,'Team Setup'!$I$64:$I$163,$C163)=1,"Ready","Check group and location"))))))</x:f>
      </x:c>
      <x:c r="F163" s="2"/>
      <x:c r="G163" s="12"/>
      <x:c r="H163" s="20"/>
      <x:c r="I163" s="14"/>
      <x:c r="J163" s="13" t="str">
        <x:f>IF($G163="","",IF(OR(NOT(ISNUMBER($H163)),NOT(ISNUMBER($I163)),$I163&lt;=0),"Complete PTO fields",IF(COUNTIF('Team Setup'!$A$10:$A$34,$G163)=1,"Ready","Check member name")))</x:f>
      </x:c>
    </x:row>
    <x:row r="164">
      <x:c r="A164" s="20"/>
      <x:c r="B164" s="12"/>
      <x:c r="C164" s="12"/>
      <x:c r="D164" s="12"/>
      <x:c r="E164" s="13" t="str">
        <x:f>IF($A164="","",IF(NOT(ISNUMBER($A164)),"Enter a real date",IF(OR($B164="",$C164="",$D164=""),"Complete holiday fields",IF(COUNTIF('Team Setup'!$H$10:$H$59,$C164)&lt;&gt;1,"Check office location",IF($D164="All","Ready",IF(COUNTIFS('Team Setup'!$H$64:$H$163,$D164,'Team Setup'!$I$64:$I$163,$C164)=1,"Ready","Check group and location"))))))</x:f>
      </x:c>
      <x:c r="F164" s="2"/>
      <x:c r="G164" s="12"/>
      <x:c r="H164" s="20"/>
      <x:c r="I164" s="14"/>
      <x:c r="J164" s="13" t="str">
        <x:f>IF($G164="","",IF(OR(NOT(ISNUMBER($H164)),NOT(ISNUMBER($I164)),$I164&lt;=0),"Complete PTO fields",IF(COUNTIF('Team Setup'!$A$10:$A$34,$G164)=1,"Ready","Check member name")))</x:f>
      </x:c>
    </x:row>
    <x:row r="165">
      <x:c r="A165" s="20"/>
      <x:c r="B165" s="12"/>
      <x:c r="C165" s="12"/>
      <x:c r="D165" s="12"/>
      <x:c r="E165" s="13" t="str">
        <x:f>IF($A165="","",IF(NOT(ISNUMBER($A165)),"Enter a real date",IF(OR($B165="",$C165="",$D165=""),"Complete holiday fields",IF(COUNTIF('Team Setup'!$H$10:$H$59,$C165)&lt;&gt;1,"Check office location",IF($D165="All","Ready",IF(COUNTIFS('Team Setup'!$H$64:$H$163,$D165,'Team Setup'!$I$64:$I$163,$C165)=1,"Ready","Check group and location"))))))</x:f>
      </x:c>
      <x:c r="F165" s="2"/>
      <x:c r="G165" s="12"/>
      <x:c r="H165" s="20"/>
      <x:c r="I165" s="14"/>
      <x:c r="J165" s="13" t="str">
        <x:f>IF($G165="","",IF(OR(NOT(ISNUMBER($H165)),NOT(ISNUMBER($I165)),$I165&lt;=0),"Complete PTO fields",IF(COUNTIF('Team Setup'!$A$10:$A$34,$G165)=1,"Ready","Check member name")))</x:f>
      </x:c>
    </x:row>
    <x:row r="166">
      <x:c r="A166" s="20"/>
      <x:c r="B166" s="12"/>
      <x:c r="C166" s="12"/>
      <x:c r="D166" s="12"/>
      <x:c r="E166" s="13" t="str">
        <x:f>IF($A166="","",IF(NOT(ISNUMBER($A166)),"Enter a real date",IF(OR($B166="",$C166="",$D166=""),"Complete holiday fields",IF(COUNTIF('Team Setup'!$H$10:$H$59,$C166)&lt;&gt;1,"Check office location",IF($D166="All","Ready",IF(COUNTIFS('Team Setup'!$H$64:$H$163,$D166,'Team Setup'!$I$64:$I$163,$C166)=1,"Ready","Check group and location"))))))</x:f>
      </x:c>
      <x:c r="F166" s="2"/>
      <x:c r="G166" s="12"/>
      <x:c r="H166" s="20"/>
      <x:c r="I166" s="14"/>
      <x:c r="J166" s="13" t="str">
        <x:f>IF($G166="","",IF(OR(NOT(ISNUMBER($H166)),NOT(ISNUMBER($I166)),$I166&lt;=0),"Complete PTO fields",IF(COUNTIF('Team Setup'!$A$10:$A$34,$G166)=1,"Ready","Check member name")))</x:f>
      </x:c>
    </x:row>
    <x:row r="167">
      <x:c r="A167" s="20"/>
      <x:c r="B167" s="12"/>
      <x:c r="C167" s="12"/>
      <x:c r="D167" s="12"/>
      <x:c r="E167" s="13" t="str">
        <x:f>IF($A167="","",IF(NOT(ISNUMBER($A167)),"Enter a real date",IF(OR($B167="",$C167="",$D167=""),"Complete holiday fields",IF(COUNTIF('Team Setup'!$H$10:$H$59,$C167)&lt;&gt;1,"Check office location",IF($D167="All","Ready",IF(COUNTIFS('Team Setup'!$H$64:$H$163,$D167,'Team Setup'!$I$64:$I$163,$C167)=1,"Ready","Check group and location"))))))</x:f>
      </x:c>
      <x:c r="F167" s="2"/>
      <x:c r="G167" s="12"/>
      <x:c r="H167" s="20"/>
      <x:c r="I167" s="14"/>
      <x:c r="J167" s="13" t="str">
        <x:f>IF($G167="","",IF(OR(NOT(ISNUMBER($H167)),NOT(ISNUMBER($I167)),$I167&lt;=0),"Complete PTO fields",IF(COUNTIF('Team Setup'!$A$10:$A$34,$G167)=1,"Ready","Check member name")))</x:f>
      </x:c>
    </x:row>
    <x:row r="168">
      <x:c r="A168" s="20"/>
      <x:c r="B168" s="12"/>
      <x:c r="C168" s="12"/>
      <x:c r="D168" s="12"/>
      <x:c r="E168" s="13" t="str">
        <x:f>IF($A168="","",IF(NOT(ISNUMBER($A168)),"Enter a real date",IF(OR($B168="",$C168="",$D168=""),"Complete holiday fields",IF(COUNTIF('Team Setup'!$H$10:$H$59,$C168)&lt;&gt;1,"Check office location",IF($D168="All","Ready",IF(COUNTIFS('Team Setup'!$H$64:$H$163,$D168,'Team Setup'!$I$64:$I$163,$C168)=1,"Ready","Check group and location"))))))</x:f>
      </x:c>
      <x:c r="F168" s="2"/>
      <x:c r="G168" s="12"/>
      <x:c r="H168" s="20"/>
      <x:c r="I168" s="14"/>
      <x:c r="J168" s="13" t="str">
        <x:f>IF($G168="","",IF(OR(NOT(ISNUMBER($H168)),NOT(ISNUMBER($I168)),$I168&lt;=0),"Complete PTO fields",IF(COUNTIF('Team Setup'!$A$10:$A$34,$G168)=1,"Ready","Check member name")))</x:f>
      </x:c>
    </x:row>
    <x:row r="169">
      <x:c r="A169" s="20"/>
      <x:c r="B169" s="12"/>
      <x:c r="C169" s="12"/>
      <x:c r="D169" s="12"/>
      <x:c r="E169" s="13" t="str">
        <x:f>IF($A169="","",IF(NOT(ISNUMBER($A169)),"Enter a real date",IF(OR($B169="",$C169="",$D169=""),"Complete holiday fields",IF(COUNTIF('Team Setup'!$H$10:$H$59,$C169)&lt;&gt;1,"Check office location",IF($D169="All","Ready",IF(COUNTIFS('Team Setup'!$H$64:$H$163,$D169,'Team Setup'!$I$64:$I$163,$C169)=1,"Ready","Check group and location"))))))</x:f>
      </x:c>
      <x:c r="F169" s="2"/>
      <x:c r="G169" s="12"/>
      <x:c r="H169" s="20"/>
      <x:c r="I169" s="14"/>
      <x:c r="J169" s="13" t="str">
        <x:f>IF($G169="","",IF(OR(NOT(ISNUMBER($H169)),NOT(ISNUMBER($I169)),$I169&lt;=0),"Complete PTO fields",IF(COUNTIF('Team Setup'!$A$10:$A$34,$G169)=1,"Ready","Check member name")))</x:f>
      </x:c>
    </x:row>
    <x:row r="170">
      <x:c r="A170" s="20"/>
      <x:c r="B170" s="12"/>
      <x:c r="C170" s="12"/>
      <x:c r="D170" s="12"/>
      <x:c r="E170" s="13" t="str">
        <x:f>IF($A170="","",IF(NOT(ISNUMBER($A170)),"Enter a real date",IF(OR($B170="",$C170="",$D170=""),"Complete holiday fields",IF(COUNTIF('Team Setup'!$H$10:$H$59,$C170)&lt;&gt;1,"Check office location",IF($D170="All","Ready",IF(COUNTIFS('Team Setup'!$H$64:$H$163,$D170,'Team Setup'!$I$64:$I$163,$C170)=1,"Ready","Check group and location"))))))</x:f>
      </x:c>
      <x:c r="F170" s="2"/>
      <x:c r="G170" s="12"/>
      <x:c r="H170" s="20"/>
      <x:c r="I170" s="14"/>
      <x:c r="J170" s="13" t="str">
        <x:f>IF($G170="","",IF(OR(NOT(ISNUMBER($H170)),NOT(ISNUMBER($I170)),$I170&lt;=0),"Complete PTO fields",IF(COUNTIF('Team Setup'!$A$10:$A$34,$G170)=1,"Ready","Check member name")))</x:f>
      </x:c>
    </x:row>
    <x:row r="171">
      <x:c r="A171" s="20"/>
      <x:c r="B171" s="12"/>
      <x:c r="C171" s="12"/>
      <x:c r="D171" s="12"/>
      <x:c r="E171" s="13" t="str">
        <x:f>IF($A171="","",IF(NOT(ISNUMBER($A171)),"Enter a real date",IF(OR($B171="",$C171="",$D171=""),"Complete holiday fields",IF(COUNTIF('Team Setup'!$H$10:$H$59,$C171)&lt;&gt;1,"Check office location",IF($D171="All","Ready",IF(COUNTIFS('Team Setup'!$H$64:$H$163,$D171,'Team Setup'!$I$64:$I$163,$C171)=1,"Ready","Check group and location"))))))</x:f>
      </x:c>
      <x:c r="F171" s="2"/>
      <x:c r="G171" s="12"/>
      <x:c r="H171" s="20"/>
      <x:c r="I171" s="14"/>
      <x:c r="J171" s="13" t="str">
        <x:f>IF($G171="","",IF(OR(NOT(ISNUMBER($H171)),NOT(ISNUMBER($I171)),$I171&lt;=0),"Complete PTO fields",IF(COUNTIF('Team Setup'!$A$10:$A$34,$G171)=1,"Ready","Check member name")))</x:f>
      </x:c>
    </x:row>
    <x:row r="172">
      <x:c r="A172" s="20"/>
      <x:c r="B172" s="12"/>
      <x:c r="C172" s="12"/>
      <x:c r="D172" s="12"/>
      <x:c r="E172" s="13" t="str">
        <x:f>IF($A172="","",IF(NOT(ISNUMBER($A172)),"Enter a real date",IF(OR($B172="",$C172="",$D172=""),"Complete holiday fields",IF(COUNTIF('Team Setup'!$H$10:$H$59,$C172)&lt;&gt;1,"Check office location",IF($D172="All","Ready",IF(COUNTIFS('Team Setup'!$H$64:$H$163,$D172,'Team Setup'!$I$64:$I$163,$C172)=1,"Ready","Check group and location"))))))</x:f>
      </x:c>
      <x:c r="F172" s="2"/>
      <x:c r="G172" s="12"/>
      <x:c r="H172" s="20"/>
      <x:c r="I172" s="14"/>
      <x:c r="J172" s="13" t="str">
        <x:f>IF($G172="","",IF(OR(NOT(ISNUMBER($H172)),NOT(ISNUMBER($I172)),$I172&lt;=0),"Complete PTO fields",IF(COUNTIF('Team Setup'!$A$10:$A$34,$G172)=1,"Ready","Check member name")))</x:f>
      </x:c>
    </x:row>
    <x:row r="173">
      <x:c r="A173" s="20"/>
      <x:c r="B173" s="12"/>
      <x:c r="C173" s="12"/>
      <x:c r="D173" s="12"/>
      <x:c r="E173" s="13" t="str">
        <x:f>IF($A173="","",IF(NOT(ISNUMBER($A173)),"Enter a real date",IF(OR($B173="",$C173="",$D173=""),"Complete holiday fields",IF(COUNTIF('Team Setup'!$H$10:$H$59,$C173)&lt;&gt;1,"Check office location",IF($D173="All","Ready",IF(COUNTIFS('Team Setup'!$H$64:$H$163,$D173,'Team Setup'!$I$64:$I$163,$C173)=1,"Ready","Check group and location"))))))</x:f>
      </x:c>
      <x:c r="F173" s="2"/>
      <x:c r="G173" s="12"/>
      <x:c r="H173" s="20"/>
      <x:c r="I173" s="14"/>
      <x:c r="J173" s="13" t="str">
        <x:f>IF($G173="","",IF(OR(NOT(ISNUMBER($H173)),NOT(ISNUMBER($I173)),$I173&lt;=0),"Complete PTO fields",IF(COUNTIF('Team Setup'!$A$10:$A$34,$G173)=1,"Ready","Check member name")))</x:f>
      </x:c>
    </x:row>
    <x:row r="174">
      <x:c r="A174" s="20"/>
      <x:c r="B174" s="12"/>
      <x:c r="C174" s="12"/>
      <x:c r="D174" s="12"/>
      <x:c r="E174" s="13" t="str">
        <x:f>IF($A174="","",IF(NOT(ISNUMBER($A174)),"Enter a real date",IF(OR($B174="",$C174="",$D174=""),"Complete holiday fields",IF(COUNTIF('Team Setup'!$H$10:$H$59,$C174)&lt;&gt;1,"Check office location",IF($D174="All","Ready",IF(COUNTIFS('Team Setup'!$H$64:$H$163,$D174,'Team Setup'!$I$64:$I$163,$C174)=1,"Ready","Check group and location"))))))</x:f>
      </x:c>
      <x:c r="F174" s="2"/>
      <x:c r="G174" s="12"/>
      <x:c r="H174" s="20"/>
      <x:c r="I174" s="14"/>
      <x:c r="J174" s="13" t="str">
        <x:f>IF($G174="","",IF(OR(NOT(ISNUMBER($H174)),NOT(ISNUMBER($I174)),$I174&lt;=0),"Complete PTO fields",IF(COUNTIF('Team Setup'!$A$10:$A$34,$G174)=1,"Ready","Check member name")))</x:f>
      </x:c>
    </x:row>
    <x:row r="175">
      <x:c r="A175" s="20"/>
      <x:c r="B175" s="12"/>
      <x:c r="C175" s="12"/>
      <x:c r="D175" s="12"/>
      <x:c r="E175" s="13" t="str">
        <x:f>IF($A175="","",IF(NOT(ISNUMBER($A175)),"Enter a real date",IF(OR($B175="",$C175="",$D175=""),"Complete holiday fields",IF(COUNTIF('Team Setup'!$H$10:$H$59,$C175)&lt;&gt;1,"Check office location",IF($D175="All","Ready",IF(COUNTIFS('Team Setup'!$H$64:$H$163,$D175,'Team Setup'!$I$64:$I$163,$C175)=1,"Ready","Check group and location"))))))</x:f>
      </x:c>
      <x:c r="F175" s="2"/>
      <x:c r="G175" s="12"/>
      <x:c r="H175" s="20"/>
      <x:c r="I175" s="14"/>
      <x:c r="J175" s="13" t="str">
        <x:f>IF($G175="","",IF(OR(NOT(ISNUMBER($H175)),NOT(ISNUMBER($I175)),$I175&lt;=0),"Complete PTO fields",IF(COUNTIF('Team Setup'!$A$10:$A$34,$G175)=1,"Ready","Check member name")))</x:f>
      </x:c>
    </x:row>
    <x:row r="176">
      <x:c r="A176" s="20"/>
      <x:c r="B176" s="12"/>
      <x:c r="C176" s="12"/>
      <x:c r="D176" s="12"/>
      <x:c r="E176" s="13" t="str">
        <x:f>IF($A176="","",IF(NOT(ISNUMBER($A176)),"Enter a real date",IF(OR($B176="",$C176="",$D176=""),"Complete holiday fields",IF(COUNTIF('Team Setup'!$H$10:$H$59,$C176)&lt;&gt;1,"Check office location",IF($D176="All","Ready",IF(COUNTIFS('Team Setup'!$H$64:$H$163,$D176,'Team Setup'!$I$64:$I$163,$C176)=1,"Ready","Check group and location"))))))</x:f>
      </x:c>
      <x:c r="F176" s="2"/>
      <x:c r="G176" s="12"/>
      <x:c r="H176" s="20"/>
      <x:c r="I176" s="14"/>
      <x:c r="J176" s="13" t="str">
        <x:f>IF($G176="","",IF(OR(NOT(ISNUMBER($H176)),NOT(ISNUMBER($I176)),$I176&lt;=0),"Complete PTO fields",IF(COUNTIF('Team Setup'!$A$10:$A$34,$G176)=1,"Ready","Check member name")))</x:f>
      </x:c>
    </x:row>
    <x:row r="177">
      <x:c r="A177" s="20"/>
      <x:c r="B177" s="12"/>
      <x:c r="C177" s="12"/>
      <x:c r="D177" s="12"/>
      <x:c r="E177" s="13" t="str">
        <x:f>IF($A177="","",IF(NOT(ISNUMBER($A177)),"Enter a real date",IF(OR($B177="",$C177="",$D177=""),"Complete holiday fields",IF(COUNTIF('Team Setup'!$H$10:$H$59,$C177)&lt;&gt;1,"Check office location",IF($D177="All","Ready",IF(COUNTIFS('Team Setup'!$H$64:$H$163,$D177,'Team Setup'!$I$64:$I$163,$C177)=1,"Ready","Check group and location"))))))</x:f>
      </x:c>
      <x:c r="F177" s="2"/>
      <x:c r="G177" s="12"/>
      <x:c r="H177" s="20"/>
      <x:c r="I177" s="14"/>
      <x:c r="J177" s="13" t="str">
        <x:f>IF($G177="","",IF(OR(NOT(ISNUMBER($H177)),NOT(ISNUMBER($I177)),$I177&lt;=0),"Complete PTO fields",IF(COUNTIF('Team Setup'!$A$10:$A$34,$G177)=1,"Ready","Check member name")))</x:f>
      </x:c>
    </x:row>
    <x:row r="178">
      <x:c r="A178" s="20"/>
      <x:c r="B178" s="12"/>
      <x:c r="C178" s="12"/>
      <x:c r="D178" s="12"/>
      <x:c r="E178" s="13" t="str">
        <x:f>IF($A178="","",IF(NOT(ISNUMBER($A178)),"Enter a real date",IF(OR($B178="",$C178="",$D178=""),"Complete holiday fields",IF(COUNTIF('Team Setup'!$H$10:$H$59,$C178)&lt;&gt;1,"Check office location",IF($D178="All","Ready",IF(COUNTIFS('Team Setup'!$H$64:$H$163,$D178,'Team Setup'!$I$64:$I$163,$C178)=1,"Ready","Check group and location"))))))</x:f>
      </x:c>
      <x:c r="F178" s="2"/>
      <x:c r="G178" s="12"/>
      <x:c r="H178" s="20"/>
      <x:c r="I178" s="14"/>
      <x:c r="J178" s="13" t="str">
        <x:f>IF($G178="","",IF(OR(NOT(ISNUMBER($H178)),NOT(ISNUMBER($I178)),$I178&lt;=0),"Complete PTO fields",IF(COUNTIF('Team Setup'!$A$10:$A$34,$G178)=1,"Ready","Check member name")))</x:f>
      </x:c>
    </x:row>
    <x:row r="179">
      <x:c r="A179" s="20"/>
      <x:c r="B179" s="12"/>
      <x:c r="C179" s="12"/>
      <x:c r="D179" s="12"/>
      <x:c r="E179" s="13" t="str">
        <x:f>IF($A179="","",IF(NOT(ISNUMBER($A179)),"Enter a real date",IF(OR($B179="",$C179="",$D179=""),"Complete holiday fields",IF(COUNTIF('Team Setup'!$H$10:$H$59,$C179)&lt;&gt;1,"Check office location",IF($D179="All","Ready",IF(COUNTIFS('Team Setup'!$H$64:$H$163,$D179,'Team Setup'!$I$64:$I$163,$C179)=1,"Ready","Check group and location"))))))</x:f>
      </x:c>
      <x:c r="F179" s="2"/>
      <x:c r="G179" s="12"/>
      <x:c r="H179" s="20"/>
      <x:c r="I179" s="14"/>
      <x:c r="J179" s="13" t="str">
        <x:f>IF($G179="","",IF(OR(NOT(ISNUMBER($H179)),NOT(ISNUMBER($I179)),$I179&lt;=0),"Complete PTO fields",IF(COUNTIF('Team Setup'!$A$10:$A$34,$G179)=1,"Ready","Check member name")))</x:f>
      </x:c>
    </x:row>
    <x:row r="180">
      <x:c r="A180" s="20"/>
      <x:c r="B180" s="12"/>
      <x:c r="C180" s="12"/>
      <x:c r="D180" s="12"/>
      <x:c r="E180" s="13" t="str">
        <x:f>IF($A180="","",IF(NOT(ISNUMBER($A180)),"Enter a real date",IF(OR($B180="",$C180="",$D180=""),"Complete holiday fields",IF(COUNTIF('Team Setup'!$H$10:$H$59,$C180)&lt;&gt;1,"Check office location",IF($D180="All","Ready",IF(COUNTIFS('Team Setup'!$H$64:$H$163,$D180,'Team Setup'!$I$64:$I$163,$C180)=1,"Ready","Check group and location"))))))</x:f>
      </x:c>
      <x:c r="F180" s="2"/>
      <x:c r="G180" s="12"/>
      <x:c r="H180" s="20"/>
      <x:c r="I180" s="14"/>
      <x:c r="J180" s="13" t="str">
        <x:f>IF($G180="","",IF(OR(NOT(ISNUMBER($H180)),NOT(ISNUMBER($I180)),$I180&lt;=0),"Complete PTO fields",IF(COUNTIF('Team Setup'!$A$10:$A$34,$G180)=1,"Ready","Check member name")))</x:f>
      </x:c>
    </x:row>
    <x:row r="181">
      <x:c r="A181" s="20"/>
      <x:c r="B181" s="12"/>
      <x:c r="C181" s="12"/>
      <x:c r="D181" s="12"/>
      <x:c r="E181" s="13" t="str">
        <x:f>IF($A181="","",IF(NOT(ISNUMBER($A181)),"Enter a real date",IF(OR($B181="",$C181="",$D181=""),"Complete holiday fields",IF(COUNTIF('Team Setup'!$H$10:$H$59,$C181)&lt;&gt;1,"Check office location",IF($D181="All","Ready",IF(COUNTIFS('Team Setup'!$H$64:$H$163,$D181,'Team Setup'!$I$64:$I$163,$C181)=1,"Ready","Check group and location"))))))</x:f>
      </x:c>
      <x:c r="F181" s="2"/>
      <x:c r="G181" s="12"/>
      <x:c r="H181" s="20"/>
      <x:c r="I181" s="14"/>
      <x:c r="J181" s="13" t="str">
        <x:f>IF($G181="","",IF(OR(NOT(ISNUMBER($H181)),NOT(ISNUMBER($I181)),$I181&lt;=0),"Complete PTO fields",IF(COUNTIF('Team Setup'!$A$10:$A$34,$G181)=1,"Ready","Check member name")))</x:f>
      </x:c>
    </x:row>
    <x:row r="182">
      <x:c r="A182" s="20"/>
      <x:c r="B182" s="12"/>
      <x:c r="C182" s="12"/>
      <x:c r="D182" s="12"/>
      <x:c r="E182" s="13" t="str">
        <x:f>IF($A182="","",IF(NOT(ISNUMBER($A182)),"Enter a real date",IF(OR($B182="",$C182="",$D182=""),"Complete holiday fields",IF(COUNTIF('Team Setup'!$H$10:$H$59,$C182)&lt;&gt;1,"Check office location",IF($D182="All","Ready",IF(COUNTIFS('Team Setup'!$H$64:$H$163,$D182,'Team Setup'!$I$64:$I$163,$C182)=1,"Ready","Check group and location"))))))</x:f>
      </x:c>
      <x:c r="F182" s="2"/>
      <x:c r="G182" s="12"/>
      <x:c r="H182" s="20"/>
      <x:c r="I182" s="14"/>
      <x:c r="J182" s="13" t="str">
        <x:f>IF($G182="","",IF(OR(NOT(ISNUMBER($H182)),NOT(ISNUMBER($I182)),$I182&lt;=0),"Complete PTO fields",IF(COUNTIF('Team Setup'!$A$10:$A$34,$G182)=1,"Ready","Check member name")))</x:f>
      </x:c>
    </x:row>
    <x:row r="183">
      <x:c r="A183" s="20"/>
      <x:c r="B183" s="12"/>
      <x:c r="C183" s="12"/>
      <x:c r="D183" s="12"/>
      <x:c r="E183" s="13" t="str">
        <x:f>IF($A183="","",IF(NOT(ISNUMBER($A183)),"Enter a real date",IF(OR($B183="",$C183="",$D183=""),"Complete holiday fields",IF(COUNTIF('Team Setup'!$H$10:$H$59,$C183)&lt;&gt;1,"Check office location",IF($D183="All","Ready",IF(COUNTIFS('Team Setup'!$H$64:$H$163,$D183,'Team Setup'!$I$64:$I$163,$C183)=1,"Ready","Check group and location"))))))</x:f>
      </x:c>
      <x:c r="F183" s="2"/>
      <x:c r="G183" s="12"/>
      <x:c r="H183" s="20"/>
      <x:c r="I183" s="14"/>
      <x:c r="J183" s="13" t="str">
        <x:f>IF($G183="","",IF(OR(NOT(ISNUMBER($H183)),NOT(ISNUMBER($I183)),$I183&lt;=0),"Complete PTO fields",IF(COUNTIF('Team Setup'!$A$10:$A$34,$G183)=1,"Ready","Check member name")))</x:f>
      </x:c>
    </x:row>
    <x:row r="184">
      <x:c r="A184" s="20"/>
      <x:c r="B184" s="12"/>
      <x:c r="C184" s="12"/>
      <x:c r="D184" s="12"/>
      <x:c r="E184" s="13" t="str">
        <x:f>IF($A184="","",IF(NOT(ISNUMBER($A184)),"Enter a real date",IF(OR($B184="",$C184="",$D184=""),"Complete holiday fields",IF(COUNTIF('Team Setup'!$H$10:$H$59,$C184)&lt;&gt;1,"Check office location",IF($D184="All","Ready",IF(COUNTIFS('Team Setup'!$H$64:$H$163,$D184,'Team Setup'!$I$64:$I$163,$C184)=1,"Ready","Check group and location"))))))</x:f>
      </x:c>
      <x:c r="F184" s="2"/>
      <x:c r="G184" s="12"/>
      <x:c r="H184" s="20"/>
      <x:c r="I184" s="14"/>
      <x:c r="J184" s="13" t="str">
        <x:f>IF($G184="","",IF(OR(NOT(ISNUMBER($H184)),NOT(ISNUMBER($I184)),$I184&lt;=0),"Complete PTO fields",IF(COUNTIF('Team Setup'!$A$10:$A$34,$G184)=1,"Ready","Check member name")))</x:f>
      </x:c>
    </x:row>
    <x:row r="185">
      <x:c r="A185" s="20"/>
      <x:c r="B185" s="12"/>
      <x:c r="C185" s="12"/>
      <x:c r="D185" s="12"/>
      <x:c r="E185" s="13" t="str">
        <x:f>IF($A185="","",IF(NOT(ISNUMBER($A185)),"Enter a real date",IF(OR($B185="",$C185="",$D185=""),"Complete holiday fields",IF(COUNTIF('Team Setup'!$H$10:$H$59,$C185)&lt;&gt;1,"Check office location",IF($D185="All","Ready",IF(COUNTIFS('Team Setup'!$H$64:$H$163,$D185,'Team Setup'!$I$64:$I$163,$C185)=1,"Ready","Check group and location"))))))</x:f>
      </x:c>
      <x:c r="F185" s="2"/>
      <x:c r="G185" s="12"/>
      <x:c r="H185" s="20"/>
      <x:c r="I185" s="14"/>
      <x:c r="J185" s="13" t="str">
        <x:f>IF($G185="","",IF(OR(NOT(ISNUMBER($H185)),NOT(ISNUMBER($I185)),$I185&lt;=0),"Complete PTO fields",IF(COUNTIF('Team Setup'!$A$10:$A$34,$G185)=1,"Ready","Check member name")))</x:f>
      </x:c>
    </x:row>
    <x:row r="186">
      <x:c r="A186" s="20"/>
      <x:c r="B186" s="12"/>
      <x:c r="C186" s="12"/>
      <x:c r="D186" s="12"/>
      <x:c r="E186" s="13" t="str">
        <x:f>IF($A186="","",IF(NOT(ISNUMBER($A186)),"Enter a real date",IF(OR($B186="",$C186="",$D186=""),"Complete holiday fields",IF(COUNTIF('Team Setup'!$H$10:$H$59,$C186)&lt;&gt;1,"Check office location",IF($D186="All","Ready",IF(COUNTIFS('Team Setup'!$H$64:$H$163,$D186,'Team Setup'!$I$64:$I$163,$C186)=1,"Ready","Check group and location"))))))</x:f>
      </x:c>
      <x:c r="F186" s="2"/>
      <x:c r="G186" s="12"/>
      <x:c r="H186" s="20"/>
      <x:c r="I186" s="14"/>
      <x:c r="J186" s="13" t="str">
        <x:f>IF($G186="","",IF(OR(NOT(ISNUMBER($H186)),NOT(ISNUMBER($I186)),$I186&lt;=0),"Complete PTO fields",IF(COUNTIF('Team Setup'!$A$10:$A$34,$G186)=1,"Ready","Check member name")))</x:f>
      </x:c>
    </x:row>
    <x:row r="187">
      <x:c r="A187" s="20"/>
      <x:c r="B187" s="12"/>
      <x:c r="C187" s="12"/>
      <x:c r="D187" s="12"/>
      <x:c r="E187" s="13" t="str">
        <x:f>IF($A187="","",IF(NOT(ISNUMBER($A187)),"Enter a real date",IF(OR($B187="",$C187="",$D187=""),"Complete holiday fields",IF(COUNTIF('Team Setup'!$H$10:$H$59,$C187)&lt;&gt;1,"Check office location",IF($D187="All","Ready",IF(COUNTIFS('Team Setup'!$H$64:$H$163,$D187,'Team Setup'!$I$64:$I$163,$C187)=1,"Ready","Check group and location"))))))</x:f>
      </x:c>
      <x:c r="F187" s="2"/>
      <x:c r="G187" s="12"/>
      <x:c r="H187" s="20"/>
      <x:c r="I187" s="14"/>
      <x:c r="J187" s="13" t="str">
        <x:f>IF($G187="","",IF(OR(NOT(ISNUMBER($H187)),NOT(ISNUMBER($I187)),$I187&lt;=0),"Complete PTO fields",IF(COUNTIF('Team Setup'!$A$10:$A$34,$G187)=1,"Ready","Check member name")))</x:f>
      </x:c>
    </x:row>
    <x:row r="188">
      <x:c r="A188" s="20"/>
      <x:c r="B188" s="12"/>
      <x:c r="C188" s="12"/>
      <x:c r="D188" s="12"/>
      <x:c r="E188" s="13" t="str">
        <x:f>IF($A188="","",IF(NOT(ISNUMBER($A188)),"Enter a real date",IF(OR($B188="",$C188="",$D188=""),"Complete holiday fields",IF(COUNTIF('Team Setup'!$H$10:$H$59,$C188)&lt;&gt;1,"Check office location",IF($D188="All","Ready",IF(COUNTIFS('Team Setup'!$H$64:$H$163,$D188,'Team Setup'!$I$64:$I$163,$C188)=1,"Ready","Check group and location"))))))</x:f>
      </x:c>
      <x:c r="F188" s="2"/>
      <x:c r="G188" s="12"/>
      <x:c r="H188" s="20"/>
      <x:c r="I188" s="14"/>
      <x:c r="J188" s="13" t="str">
        <x:f>IF($G188="","",IF(OR(NOT(ISNUMBER($H188)),NOT(ISNUMBER($I188)),$I188&lt;=0),"Complete PTO fields",IF(COUNTIF('Team Setup'!$A$10:$A$34,$G188)=1,"Ready","Check member name")))</x:f>
      </x:c>
    </x:row>
    <x:row r="189">
      <x:c r="A189" s="20"/>
      <x:c r="B189" s="12"/>
      <x:c r="C189" s="12"/>
      <x:c r="D189" s="12"/>
      <x:c r="E189" s="13" t="str">
        <x:f>IF($A189="","",IF(NOT(ISNUMBER($A189)),"Enter a real date",IF(OR($B189="",$C189="",$D189=""),"Complete holiday fields",IF(COUNTIF('Team Setup'!$H$10:$H$59,$C189)&lt;&gt;1,"Check office location",IF($D189="All","Ready",IF(COUNTIFS('Team Setup'!$H$64:$H$163,$D189,'Team Setup'!$I$64:$I$163,$C189)=1,"Ready","Check group and location"))))))</x:f>
      </x:c>
      <x:c r="F189" s="2"/>
      <x:c r="G189" s="12"/>
      <x:c r="H189" s="20"/>
      <x:c r="I189" s="14"/>
      <x:c r="J189" s="13" t="str">
        <x:f>IF($G189="","",IF(OR(NOT(ISNUMBER($H189)),NOT(ISNUMBER($I189)),$I189&lt;=0),"Complete PTO fields",IF(COUNTIF('Team Setup'!$A$10:$A$34,$G189)=1,"Ready","Check member name")))</x:f>
      </x:c>
    </x:row>
    <x:row r="190">
      <x:c r="A190" s="20"/>
      <x:c r="B190" s="12"/>
      <x:c r="C190" s="12"/>
      <x:c r="D190" s="12"/>
      <x:c r="E190" s="13" t="str">
        <x:f>IF($A190="","",IF(NOT(ISNUMBER($A190)),"Enter a real date",IF(OR($B190="",$C190="",$D190=""),"Complete holiday fields",IF(COUNTIF('Team Setup'!$H$10:$H$59,$C190)&lt;&gt;1,"Check office location",IF($D190="All","Ready",IF(COUNTIFS('Team Setup'!$H$64:$H$163,$D190,'Team Setup'!$I$64:$I$163,$C190)=1,"Ready","Check group and location"))))))</x:f>
      </x:c>
      <x:c r="F190" s="2"/>
      <x:c r="G190" s="12"/>
      <x:c r="H190" s="20"/>
      <x:c r="I190" s="14"/>
      <x:c r="J190" s="13" t="str">
        <x:f>IF($G190="","",IF(OR(NOT(ISNUMBER($H190)),NOT(ISNUMBER($I190)),$I190&lt;=0),"Complete PTO fields",IF(COUNTIF('Team Setup'!$A$10:$A$34,$G190)=1,"Ready","Check member name")))</x:f>
      </x:c>
    </x:row>
    <x:row r="191">
      <x:c r="A191" s="20"/>
      <x:c r="B191" s="12"/>
      <x:c r="C191" s="12"/>
      <x:c r="D191" s="12"/>
      <x:c r="E191" s="13" t="str">
        <x:f>IF($A191="","",IF(NOT(ISNUMBER($A191)),"Enter a real date",IF(OR($B191="",$C191="",$D191=""),"Complete holiday fields",IF(COUNTIF('Team Setup'!$H$10:$H$59,$C191)&lt;&gt;1,"Check office location",IF($D191="All","Ready",IF(COUNTIFS('Team Setup'!$H$64:$H$163,$D191,'Team Setup'!$I$64:$I$163,$C191)=1,"Ready","Check group and location"))))))</x:f>
      </x:c>
      <x:c r="F191" s="2"/>
      <x:c r="G191" s="12"/>
      <x:c r="H191" s="20"/>
      <x:c r="I191" s="14"/>
      <x:c r="J191" s="13" t="str">
        <x:f>IF($G191="","",IF(OR(NOT(ISNUMBER($H191)),NOT(ISNUMBER($I191)),$I191&lt;=0),"Complete PTO fields",IF(COUNTIF('Team Setup'!$A$10:$A$34,$G191)=1,"Ready","Check member name")))</x:f>
      </x:c>
    </x:row>
    <x:row r="192">
      <x:c r="A192" s="20"/>
      <x:c r="B192" s="12"/>
      <x:c r="C192" s="12"/>
      <x:c r="D192" s="12"/>
      <x:c r="E192" s="13" t="str">
        <x:f>IF($A192="","",IF(NOT(ISNUMBER($A192)),"Enter a real date",IF(OR($B192="",$C192="",$D192=""),"Complete holiday fields",IF(COUNTIF('Team Setup'!$H$10:$H$59,$C192)&lt;&gt;1,"Check office location",IF($D192="All","Ready",IF(COUNTIFS('Team Setup'!$H$64:$H$163,$D192,'Team Setup'!$I$64:$I$163,$C192)=1,"Ready","Check group and location"))))))</x:f>
      </x:c>
      <x:c r="F192" s="2"/>
      <x:c r="G192" s="12"/>
      <x:c r="H192" s="20"/>
      <x:c r="I192" s="14"/>
      <x:c r="J192" s="13" t="str">
        <x:f>IF($G192="","",IF(OR(NOT(ISNUMBER($H192)),NOT(ISNUMBER($I192)),$I192&lt;=0),"Complete PTO fields",IF(COUNTIF('Team Setup'!$A$10:$A$34,$G192)=1,"Ready","Check member name")))</x:f>
      </x:c>
    </x:row>
    <x:row r="193">
      <x:c r="A193" s="20"/>
      <x:c r="B193" s="12"/>
      <x:c r="C193" s="12"/>
      <x:c r="D193" s="12"/>
      <x:c r="E193" s="13" t="str">
        <x:f>IF($A193="","",IF(NOT(ISNUMBER($A193)),"Enter a real date",IF(OR($B193="",$C193="",$D193=""),"Complete holiday fields",IF(COUNTIF('Team Setup'!$H$10:$H$59,$C193)&lt;&gt;1,"Check office location",IF($D193="All","Ready",IF(COUNTIFS('Team Setup'!$H$64:$H$163,$D193,'Team Setup'!$I$64:$I$163,$C193)=1,"Ready","Check group and location"))))))</x:f>
      </x:c>
      <x:c r="F193" s="2"/>
      <x:c r="G193" s="12"/>
      <x:c r="H193" s="20"/>
      <x:c r="I193" s="14"/>
      <x:c r="J193" s="13" t="str">
        <x:f>IF($G193="","",IF(OR(NOT(ISNUMBER($H193)),NOT(ISNUMBER($I193)),$I193&lt;=0),"Complete PTO fields",IF(COUNTIF('Team Setup'!$A$10:$A$34,$G193)=1,"Ready","Check member name")))</x:f>
      </x:c>
    </x:row>
    <x:row r="194">
      <x:c r="A194" s="20"/>
      <x:c r="B194" s="12"/>
      <x:c r="C194" s="12"/>
      <x:c r="D194" s="12"/>
      <x:c r="E194" s="13" t="str">
        <x:f>IF($A194="","",IF(NOT(ISNUMBER($A194)),"Enter a real date",IF(OR($B194="",$C194="",$D194=""),"Complete holiday fields",IF(COUNTIF('Team Setup'!$H$10:$H$59,$C194)&lt;&gt;1,"Check office location",IF($D194="All","Ready",IF(COUNTIFS('Team Setup'!$H$64:$H$163,$D194,'Team Setup'!$I$64:$I$163,$C194)=1,"Ready","Check group and location"))))))</x:f>
      </x:c>
      <x:c r="F194" s="2"/>
      <x:c r="G194" s="12"/>
      <x:c r="H194" s="20"/>
      <x:c r="I194" s="14"/>
      <x:c r="J194" s="13" t="str">
        <x:f>IF($G194="","",IF(OR(NOT(ISNUMBER($H194)),NOT(ISNUMBER($I194)),$I194&lt;=0),"Complete PTO fields",IF(COUNTIF('Team Setup'!$A$10:$A$34,$G194)=1,"Ready","Check member name")))</x:f>
      </x:c>
    </x:row>
    <x:row r="195">
      <x:c r="A195" s="20"/>
      <x:c r="B195" s="12"/>
      <x:c r="C195" s="12"/>
      <x:c r="D195" s="12"/>
      <x:c r="E195" s="13" t="str">
        <x:f>IF($A195="","",IF(NOT(ISNUMBER($A195)),"Enter a real date",IF(OR($B195="",$C195="",$D195=""),"Complete holiday fields",IF(COUNTIF('Team Setup'!$H$10:$H$59,$C195)&lt;&gt;1,"Check office location",IF($D195="All","Ready",IF(COUNTIFS('Team Setup'!$H$64:$H$163,$D195,'Team Setup'!$I$64:$I$163,$C195)=1,"Ready","Check group and location"))))))</x:f>
      </x:c>
      <x:c r="F195" s="2"/>
      <x:c r="G195" s="12"/>
      <x:c r="H195" s="20"/>
      <x:c r="I195" s="14"/>
      <x:c r="J195" s="13" t="str">
        <x:f>IF($G195="","",IF(OR(NOT(ISNUMBER($H195)),NOT(ISNUMBER($I195)),$I195&lt;=0),"Complete PTO fields",IF(COUNTIF('Team Setup'!$A$10:$A$34,$G195)=1,"Ready","Check member name")))</x:f>
      </x:c>
    </x:row>
    <x:row r="196">
      <x:c r="A196" s="20"/>
      <x:c r="B196" s="12"/>
      <x:c r="C196" s="12"/>
      <x:c r="D196" s="12"/>
      <x:c r="E196" s="13" t="str">
        <x:f>IF($A196="","",IF(NOT(ISNUMBER($A196)),"Enter a real date",IF(OR($B196="",$C196="",$D196=""),"Complete holiday fields",IF(COUNTIF('Team Setup'!$H$10:$H$59,$C196)&lt;&gt;1,"Check office location",IF($D196="All","Ready",IF(COUNTIFS('Team Setup'!$H$64:$H$163,$D196,'Team Setup'!$I$64:$I$163,$C196)=1,"Ready","Check group and location"))))))</x:f>
      </x:c>
      <x:c r="F196" s="2"/>
      <x:c r="G196" s="12"/>
      <x:c r="H196" s="20"/>
      <x:c r="I196" s="14"/>
      <x:c r="J196" s="13" t="str">
        <x:f>IF($G196="","",IF(OR(NOT(ISNUMBER($H196)),NOT(ISNUMBER($I196)),$I196&lt;=0),"Complete PTO fields",IF(COUNTIF('Team Setup'!$A$10:$A$34,$G196)=1,"Ready","Check member name")))</x:f>
      </x:c>
    </x:row>
    <x:row r="197">
      <x:c r="A197" s="20"/>
      <x:c r="B197" s="12"/>
      <x:c r="C197" s="12"/>
      <x:c r="D197" s="12"/>
      <x:c r="E197" s="13" t="str">
        <x:f>IF($A197="","",IF(NOT(ISNUMBER($A197)),"Enter a real date",IF(OR($B197="",$C197="",$D197=""),"Complete holiday fields",IF(COUNTIF('Team Setup'!$H$10:$H$59,$C197)&lt;&gt;1,"Check office location",IF($D197="All","Ready",IF(COUNTIFS('Team Setup'!$H$64:$H$163,$D197,'Team Setup'!$I$64:$I$163,$C197)=1,"Ready","Check group and location"))))))</x:f>
      </x:c>
      <x:c r="F197" s="2"/>
      <x:c r="G197" s="12"/>
      <x:c r="H197" s="20"/>
      <x:c r="I197" s="14"/>
      <x:c r="J197" s="13" t="str">
        <x:f>IF($G197="","",IF(OR(NOT(ISNUMBER($H197)),NOT(ISNUMBER($I197)),$I197&lt;=0),"Complete PTO fields",IF(COUNTIF('Team Setup'!$A$10:$A$34,$G197)=1,"Ready","Check member name")))</x:f>
      </x:c>
    </x:row>
    <x:row r="198">
      <x:c r="A198" s="20"/>
      <x:c r="B198" s="12"/>
      <x:c r="C198" s="12"/>
      <x:c r="D198" s="12"/>
      <x:c r="E198" s="13" t="str">
        <x:f>IF($A198="","",IF(NOT(ISNUMBER($A198)),"Enter a real date",IF(OR($B198="",$C198="",$D198=""),"Complete holiday fields",IF(COUNTIF('Team Setup'!$H$10:$H$59,$C198)&lt;&gt;1,"Check office location",IF($D198="All","Ready",IF(COUNTIFS('Team Setup'!$H$64:$H$163,$D198,'Team Setup'!$I$64:$I$163,$C198)=1,"Ready","Check group and location"))))))</x:f>
      </x:c>
      <x:c r="F198" s="2"/>
      <x:c r="G198" s="12"/>
      <x:c r="H198" s="20"/>
      <x:c r="I198" s="14"/>
      <x:c r="J198" s="13" t="str">
        <x:f>IF($G198="","",IF(OR(NOT(ISNUMBER($H198)),NOT(ISNUMBER($I198)),$I198&lt;=0),"Complete PTO fields",IF(COUNTIF('Team Setup'!$A$10:$A$34,$G198)=1,"Ready","Check member name")))</x:f>
      </x:c>
    </x:row>
    <x:row r="199">
      <x:c r="A199" s="20"/>
      <x:c r="B199" s="12"/>
      <x:c r="C199" s="12"/>
      <x:c r="D199" s="12"/>
      <x:c r="E199" s="13" t="str">
        <x:f>IF($A199="","",IF(NOT(ISNUMBER($A199)),"Enter a real date",IF(OR($B199="",$C199="",$D199=""),"Complete holiday fields",IF(COUNTIF('Team Setup'!$H$10:$H$59,$C199)&lt;&gt;1,"Check office location",IF($D199="All","Ready",IF(COUNTIFS('Team Setup'!$H$64:$H$163,$D199,'Team Setup'!$I$64:$I$163,$C199)=1,"Ready","Check group and location"))))))</x:f>
      </x:c>
      <x:c r="F199" s="2"/>
      <x:c r="G199" s="12"/>
      <x:c r="H199" s="20"/>
      <x:c r="I199" s="14"/>
      <x:c r="J199" s="13" t="str">
        <x:f>IF($G199="","",IF(OR(NOT(ISNUMBER($H199)),NOT(ISNUMBER($I199)),$I199&lt;=0),"Complete PTO fields",IF(COUNTIF('Team Setup'!$A$10:$A$34,$G199)=1,"Ready","Check member name")))</x:f>
      </x:c>
    </x:row>
    <x:row r="200">
      <x:c r="A200" s="20"/>
      <x:c r="B200" s="12"/>
      <x:c r="C200" s="12"/>
      <x:c r="D200" s="12"/>
      <x:c r="E200" s="13" t="str">
        <x:f>IF($A200="","",IF(NOT(ISNUMBER($A200)),"Enter a real date",IF(OR($B200="",$C200="",$D200=""),"Complete holiday fields",IF(COUNTIF('Team Setup'!$H$10:$H$59,$C200)&lt;&gt;1,"Check office location",IF($D200="All","Ready",IF(COUNTIFS('Team Setup'!$H$64:$H$163,$D200,'Team Setup'!$I$64:$I$163,$C200)=1,"Ready","Check group and location"))))))</x:f>
      </x:c>
      <x:c r="F200" s="2"/>
      <x:c r="G200" s="12"/>
      <x:c r="H200" s="20"/>
      <x:c r="I200" s="14"/>
      <x:c r="J200" s="13" t="str">
        <x:f>IF($G200="","",IF(OR(NOT(ISNUMBER($H200)),NOT(ISNUMBER($I200)),$I200&lt;=0),"Complete PTO fields",IF(COUNTIF('Team Setup'!$A$10:$A$34,$G200)=1,"Ready","Check member name")))</x:f>
      </x:c>
    </x:row>
    <x:row r="201">
      <x:c r="A201" s="20"/>
      <x:c r="B201" s="12"/>
      <x:c r="C201" s="12"/>
      <x:c r="D201" s="12"/>
      <x:c r="E201" s="13" t="str">
        <x:f>IF($A201="","",IF(NOT(ISNUMBER($A201)),"Enter a real date",IF(OR($B201="",$C201="",$D201=""),"Complete holiday fields",IF(COUNTIF('Team Setup'!$H$10:$H$59,$C201)&lt;&gt;1,"Check office location",IF($D201="All","Ready",IF(COUNTIFS('Team Setup'!$H$64:$H$163,$D201,'Team Setup'!$I$64:$I$163,$C201)=1,"Ready","Check group and location"))))))</x:f>
      </x:c>
      <x:c r="F201" s="2"/>
      <x:c r="G201" s="12"/>
      <x:c r="H201" s="20"/>
      <x:c r="I201" s="14"/>
      <x:c r="J201" s="13" t="str">
        <x:f>IF($G201="","",IF(OR(NOT(ISNUMBER($H201)),NOT(ISNUMBER($I201)),$I201&lt;=0),"Complete PTO fields",IF(COUNTIF('Team Setup'!$A$10:$A$34,$G201)=1,"Ready","Check member name")))</x:f>
      </x:c>
    </x:row>
    <x:row r="202">
      <x:c r="A202" s="20"/>
      <x:c r="B202" s="12"/>
      <x:c r="C202" s="12"/>
      <x:c r="D202" s="12"/>
      <x:c r="E202" s="13" t="str">
        <x:f>IF($A202="","",IF(NOT(ISNUMBER($A202)),"Enter a real date",IF(OR($B202="",$C202="",$D202=""),"Complete holiday fields",IF(COUNTIF('Team Setup'!$H$10:$H$59,$C202)&lt;&gt;1,"Check office location",IF($D202="All","Ready",IF(COUNTIFS('Team Setup'!$H$64:$H$163,$D202,'Team Setup'!$I$64:$I$163,$C202)=1,"Ready","Check group and location"))))))</x:f>
      </x:c>
      <x:c r="F202" s="2"/>
      <x:c r="G202" s="12"/>
      <x:c r="H202" s="20"/>
      <x:c r="I202" s="14"/>
      <x:c r="J202" s="13" t="str">
        <x:f>IF($G202="","",IF(OR(NOT(ISNUMBER($H202)),NOT(ISNUMBER($I202)),$I202&lt;=0),"Complete PTO fields",IF(COUNTIF('Team Setup'!$A$10:$A$34,$G202)=1,"Ready","Check member name")))</x:f>
      </x:c>
    </x:row>
    <x:row r="203">
      <x:c r="A203" s="20"/>
      <x:c r="B203" s="12"/>
      <x:c r="C203" s="12"/>
      <x:c r="D203" s="12"/>
      <x:c r="E203" s="13" t="str">
        <x:f>IF($A203="","",IF(NOT(ISNUMBER($A203)),"Enter a real date",IF(OR($B203="",$C203="",$D203=""),"Complete holiday fields",IF(COUNTIF('Team Setup'!$H$10:$H$59,$C203)&lt;&gt;1,"Check office location",IF($D203="All","Ready",IF(COUNTIFS('Team Setup'!$H$64:$H$163,$D203,'Team Setup'!$I$64:$I$163,$C203)=1,"Ready","Check group and location"))))))</x:f>
      </x:c>
      <x:c r="F203" s="2"/>
      <x:c r="G203" s="12"/>
      <x:c r="H203" s="20"/>
      <x:c r="I203" s="14"/>
      <x:c r="J203" s="13" t="str">
        <x:f>IF($G203="","",IF(OR(NOT(ISNUMBER($H203)),NOT(ISNUMBER($I203)),$I203&lt;=0),"Complete PTO fields",IF(COUNTIF('Team Setup'!$A$10:$A$34,$G203)=1,"Ready","Check member name")))</x:f>
      </x:c>
    </x:row>
    <x:row r="204">
      <x:c r="A204" s="20"/>
      <x:c r="B204" s="12"/>
      <x:c r="C204" s="12"/>
      <x:c r="D204" s="12"/>
      <x:c r="E204" s="13" t="str">
        <x:f>IF($A204="","",IF(NOT(ISNUMBER($A204)),"Enter a real date",IF(OR($B204="",$C204="",$D204=""),"Complete holiday fields",IF(COUNTIF('Team Setup'!$H$10:$H$59,$C204)&lt;&gt;1,"Check office location",IF($D204="All","Ready",IF(COUNTIFS('Team Setup'!$H$64:$H$163,$D204,'Team Setup'!$I$64:$I$163,$C204)=1,"Ready","Check group and location"))))))</x:f>
      </x:c>
      <x:c r="F204" s="2"/>
      <x:c r="G204" s="12"/>
      <x:c r="H204" s="20"/>
      <x:c r="I204" s="14"/>
      <x:c r="J204" s="13" t="str">
        <x:f>IF($G204="","",IF(OR(NOT(ISNUMBER($H204)),NOT(ISNUMBER($I204)),$I204&lt;=0),"Complete PTO fields",IF(COUNTIF('Team Setup'!$A$10:$A$34,$G204)=1,"Ready","Check member name")))</x:f>
      </x:c>
    </x:row>
    <x:row r="205">
      <x:c r="A205" s="20"/>
      <x:c r="B205" s="12"/>
      <x:c r="C205" s="12"/>
      <x:c r="D205" s="12"/>
      <x:c r="E205" s="13" t="str">
        <x:f>IF($A205="","",IF(NOT(ISNUMBER($A205)),"Enter a real date",IF(OR($B205="",$C205="",$D205=""),"Complete holiday fields",IF(COUNTIF('Team Setup'!$H$10:$H$59,$C205)&lt;&gt;1,"Check office location",IF($D205="All","Ready",IF(COUNTIFS('Team Setup'!$H$64:$H$163,$D205,'Team Setup'!$I$64:$I$163,$C205)=1,"Ready","Check group and location"))))))</x:f>
      </x:c>
      <x:c r="F205" s="2"/>
      <x:c r="G205" s="12"/>
      <x:c r="H205" s="20"/>
      <x:c r="I205" s="14"/>
      <x:c r="J205" s="13" t="str">
        <x:f>IF($G205="","",IF(OR(NOT(ISNUMBER($H205)),NOT(ISNUMBER($I205)),$I205&lt;=0),"Complete PTO fields",IF(COUNTIF('Team Setup'!$A$10:$A$34,$G205)=1,"Ready","Check member name")))</x:f>
      </x:c>
    </x:row>
    <x:row r="206">
      <x:c r="A206" s="20"/>
      <x:c r="B206" s="12"/>
      <x:c r="C206" s="12"/>
      <x:c r="D206" s="12"/>
      <x:c r="E206" s="13" t="str">
        <x:f>IF($A206="","",IF(NOT(ISNUMBER($A206)),"Enter a real date",IF(OR($B206="",$C206="",$D206=""),"Complete holiday fields",IF(COUNTIF('Team Setup'!$H$10:$H$59,$C206)&lt;&gt;1,"Check office location",IF($D206="All","Ready",IF(COUNTIFS('Team Setup'!$H$64:$H$163,$D206,'Team Setup'!$I$64:$I$163,$C206)=1,"Ready","Check group and location"))))))</x:f>
      </x:c>
      <x:c r="F206" s="2"/>
      <x:c r="G206" s="12"/>
      <x:c r="H206" s="20"/>
      <x:c r="I206" s="14"/>
      <x:c r="J206" s="13" t="str">
        <x:f>IF($G206="","",IF(OR(NOT(ISNUMBER($H206)),NOT(ISNUMBER($I206)),$I206&lt;=0),"Complete PTO fields",IF(COUNTIF('Team Setup'!$A$10:$A$34,$G206)=1,"Ready","Check member name")))</x:f>
      </x:c>
    </x:row>
    <x:row r="207">
      <x:c r="A207" s="20"/>
      <x:c r="B207" s="12"/>
      <x:c r="C207" s="12"/>
      <x:c r="D207" s="12"/>
      <x:c r="E207" s="13" t="str">
        <x:f>IF($A207="","",IF(NOT(ISNUMBER($A207)),"Enter a real date",IF(OR($B207="",$C207="",$D207=""),"Complete holiday fields",IF(COUNTIF('Team Setup'!$H$10:$H$59,$C207)&lt;&gt;1,"Check office location",IF($D207="All","Ready",IF(COUNTIFS('Team Setup'!$H$64:$H$163,$D207,'Team Setup'!$I$64:$I$163,$C207)=1,"Ready","Check group and location"))))))</x:f>
      </x:c>
      <x:c r="F207" s="2"/>
      <x:c r="G207" s="12"/>
      <x:c r="H207" s="20"/>
      <x:c r="I207" s="14"/>
      <x:c r="J207" s="13" t="str">
        <x:f>IF($G207="","",IF(OR(NOT(ISNUMBER($H207)),NOT(ISNUMBER($I207)),$I207&lt;=0),"Complete PTO fields",IF(COUNTIF('Team Setup'!$A$10:$A$34,$G207)=1,"Ready","Check member name")))</x:f>
      </x:c>
    </x:row>
    <x:row r="208">
      <x:c r="A208" s="20"/>
      <x:c r="B208" s="12"/>
      <x:c r="C208" s="12"/>
      <x:c r="D208" s="12"/>
      <x:c r="E208" s="13" t="str">
        <x:f>IF($A208="","",IF(NOT(ISNUMBER($A208)),"Enter a real date",IF(OR($B208="",$C208="",$D208=""),"Complete holiday fields",IF(COUNTIF('Team Setup'!$H$10:$H$59,$C208)&lt;&gt;1,"Check office location",IF($D208="All","Ready",IF(COUNTIFS('Team Setup'!$H$64:$H$163,$D208,'Team Setup'!$I$64:$I$163,$C208)=1,"Ready","Check group and location"))))))</x:f>
      </x:c>
      <x:c r="F208" s="2"/>
      <x:c r="G208" s="12"/>
      <x:c r="H208" s="20"/>
      <x:c r="I208" s="14"/>
      <x:c r="J208" s="13" t="str">
        <x:f>IF($G208="","",IF(OR(NOT(ISNUMBER($H208)),NOT(ISNUMBER($I208)),$I208&lt;=0),"Complete PTO fields",IF(COUNTIF('Team Setup'!$A$10:$A$34,$G208)=1,"Ready","Check member name")))</x:f>
      </x:c>
    </x:row>
    <x:row r="209">
      <x:c r="A209" s="20"/>
      <x:c r="B209" s="12"/>
      <x:c r="C209" s="12"/>
      <x:c r="D209" s="12"/>
      <x:c r="E209" s="13" t="str">
        <x:f>IF($A209="","",IF(NOT(ISNUMBER($A209)),"Enter a real date",IF(OR($B209="",$C209="",$D209=""),"Complete holiday fields",IF(COUNTIF('Team Setup'!$H$10:$H$59,$C209)&lt;&gt;1,"Check office location",IF($D209="All","Ready",IF(COUNTIFS('Team Setup'!$H$64:$H$163,$D209,'Team Setup'!$I$64:$I$163,$C209)=1,"Ready","Check group and location"))))))</x:f>
      </x:c>
      <x:c r="F209" s="2"/>
      <x:c r="G209" s="12"/>
      <x:c r="H209" s="20"/>
      <x:c r="I209" s="14"/>
      <x:c r="J209" s="13" t="str">
        <x:f>IF($G209="","",IF(OR(NOT(ISNUMBER($H209)),NOT(ISNUMBER($I209)),$I209&lt;=0),"Complete PTO fields",IF(COUNTIF('Team Setup'!$A$10:$A$34,$G209)=1,"Ready","Check member name")))</x:f>
      </x:c>
    </x:row>
    <x:row r="210">
      <x:c r="A210" s="20"/>
      <x:c r="B210" s="12"/>
      <x:c r="C210" s="12"/>
      <x:c r="D210" s="12"/>
      <x:c r="E210" s="13" t="str">
        <x:f>IF($A210="","",IF(NOT(ISNUMBER($A210)),"Enter a real date",IF(OR($B210="",$C210="",$D210=""),"Complete holiday fields",IF(COUNTIF('Team Setup'!$H$10:$H$59,$C210)&lt;&gt;1,"Check office location",IF($D210="All","Ready",IF(COUNTIFS('Team Setup'!$H$64:$H$163,$D210,'Team Setup'!$I$64:$I$163,$C210)=1,"Ready","Check group and location"))))))</x:f>
      </x:c>
      <x:c r="F210" s="2"/>
      <x:c r="G210" s="12"/>
      <x:c r="H210" s="20"/>
      <x:c r="I210" s="14"/>
      <x:c r="J210" s="13" t="str">
        <x:f>IF($G210="","",IF(OR(NOT(ISNUMBER($H210)),NOT(ISNUMBER($I210)),$I210&lt;=0),"Complete PTO fields",IF(COUNTIF('Team Setup'!$A$10:$A$34,$G210)=1,"Ready","Check member name")))</x:f>
      </x:c>
    </x:row>
    <x:row r="211">
      <x:c r="A211" s="20"/>
      <x:c r="B211" s="12"/>
      <x:c r="C211" s="12"/>
      <x:c r="D211" s="12"/>
      <x:c r="E211" s="13" t="str">
        <x:f>IF($A211="","",IF(NOT(ISNUMBER($A211)),"Enter a real date",IF(OR($B211="",$C211="",$D211=""),"Complete holiday fields",IF(COUNTIF('Team Setup'!$H$10:$H$59,$C211)&lt;&gt;1,"Check office location",IF($D211="All","Ready",IF(COUNTIFS('Team Setup'!$H$64:$H$163,$D211,'Team Setup'!$I$64:$I$163,$C211)=1,"Ready","Check group and location"))))))</x:f>
      </x:c>
      <x:c r="F211" s="2"/>
      <x:c r="G211" s="12"/>
      <x:c r="H211" s="20"/>
      <x:c r="I211" s="14"/>
      <x:c r="J211" s="13" t="str">
        <x:f>IF($G211="","",IF(OR(NOT(ISNUMBER($H211)),NOT(ISNUMBER($I211)),$I211&lt;=0),"Complete PTO fields",IF(COUNTIF('Team Setup'!$A$10:$A$34,$G211)=1,"Ready","Check member name")))</x:f>
      </x:c>
    </x:row>
    <x:row r="212">
      <x:c r="A212" s="20"/>
      <x:c r="B212" s="12"/>
      <x:c r="C212" s="12"/>
      <x:c r="D212" s="12"/>
      <x:c r="E212" s="13" t="str">
        <x:f>IF($A212="","",IF(NOT(ISNUMBER($A212)),"Enter a real date",IF(OR($B212="",$C212="",$D212=""),"Complete holiday fields",IF(COUNTIF('Team Setup'!$H$10:$H$59,$C212)&lt;&gt;1,"Check office location",IF($D212="All","Ready",IF(COUNTIFS('Team Setup'!$H$64:$H$163,$D212,'Team Setup'!$I$64:$I$163,$C212)=1,"Ready","Check group and location"))))))</x:f>
      </x:c>
      <x:c r="F212" s="2"/>
      <x:c r="G212" s="12"/>
      <x:c r="H212" s="20"/>
      <x:c r="I212" s="14"/>
      <x:c r="J212" s="13" t="str">
        <x:f>IF($G212="","",IF(OR(NOT(ISNUMBER($H212)),NOT(ISNUMBER($I212)),$I212&lt;=0),"Complete PTO fields",IF(COUNTIF('Team Setup'!$A$10:$A$34,$G212)=1,"Ready","Check member name")))</x:f>
      </x:c>
    </x:row>
    <x:row r="213">
      <x:c r="A213" s="20"/>
      <x:c r="B213" s="12"/>
      <x:c r="C213" s="12"/>
      <x:c r="D213" s="12"/>
      <x:c r="E213" s="13" t="str">
        <x:f>IF($A213="","",IF(NOT(ISNUMBER($A213)),"Enter a real date",IF(OR($B213="",$C213="",$D213=""),"Complete holiday fields",IF(COUNTIF('Team Setup'!$H$10:$H$59,$C213)&lt;&gt;1,"Check office location",IF($D213="All","Ready",IF(COUNTIFS('Team Setup'!$H$64:$H$163,$D213,'Team Setup'!$I$64:$I$163,$C213)=1,"Ready","Check group and location"))))))</x:f>
      </x:c>
      <x:c r="F213" s="2"/>
      <x:c r="G213" s="12"/>
      <x:c r="H213" s="20"/>
      <x:c r="I213" s="14"/>
      <x:c r="J213" s="13" t="str">
        <x:f>IF($G213="","",IF(OR(NOT(ISNUMBER($H213)),NOT(ISNUMBER($I213)),$I213&lt;=0),"Complete PTO fields",IF(COUNTIF('Team Setup'!$A$10:$A$34,$G213)=1,"Ready","Check member name")))</x:f>
      </x:c>
    </x:row>
    <x:row r="214">
      <x:c r="A214" s="20"/>
      <x:c r="B214" s="12"/>
      <x:c r="C214" s="12"/>
      <x:c r="D214" s="12"/>
      <x:c r="E214" s="13" t="str">
        <x:f>IF($A214="","",IF(NOT(ISNUMBER($A214)),"Enter a real date",IF(OR($B214="",$C214="",$D214=""),"Complete holiday fields",IF(COUNTIF('Team Setup'!$H$10:$H$59,$C214)&lt;&gt;1,"Check office location",IF($D214="All","Ready",IF(COUNTIFS('Team Setup'!$H$64:$H$163,$D214,'Team Setup'!$I$64:$I$163,$C214)=1,"Ready","Check group and location"))))))</x:f>
      </x:c>
      <x:c r="F214" s="2"/>
      <x:c r="G214" s="12"/>
      <x:c r="H214" s="20"/>
      <x:c r="I214" s="14"/>
      <x:c r="J214" s="13" t="str">
        <x:f>IF($G214="","",IF(OR(NOT(ISNUMBER($H214)),NOT(ISNUMBER($I214)),$I214&lt;=0),"Complete PTO fields",IF(COUNTIF('Team Setup'!$A$10:$A$34,$G214)=1,"Ready","Check member name")))</x:f>
      </x:c>
    </x:row>
    <x:row r="215">
      <x:c r="A215" s="20"/>
      <x:c r="B215" s="12"/>
      <x:c r="C215" s="12"/>
      <x:c r="D215" s="12"/>
      <x:c r="E215" s="13" t="str">
        <x:f>IF($A215="","",IF(NOT(ISNUMBER($A215)),"Enter a real date",IF(OR($B215="",$C215="",$D215=""),"Complete holiday fields",IF(COUNTIF('Team Setup'!$H$10:$H$59,$C215)&lt;&gt;1,"Check office location",IF($D215="All","Ready",IF(COUNTIFS('Team Setup'!$H$64:$H$163,$D215,'Team Setup'!$I$64:$I$163,$C215)=1,"Ready","Check group and location"))))))</x:f>
      </x:c>
      <x:c r="F215" s="2"/>
      <x:c r="G215" s="12"/>
      <x:c r="H215" s="20"/>
      <x:c r="I215" s="14"/>
      <x:c r="J215" s="13" t="str">
        <x:f>IF($G215="","",IF(OR(NOT(ISNUMBER($H215)),NOT(ISNUMBER($I215)),$I215&lt;=0),"Complete PTO fields",IF(COUNTIF('Team Setup'!$A$10:$A$34,$G215)=1,"Ready","Check member name")))</x:f>
      </x:c>
    </x:row>
    <x:row r="216">
      <x:c r="A216" s="20"/>
      <x:c r="B216" s="12"/>
      <x:c r="C216" s="12"/>
      <x:c r="D216" s="12"/>
      <x:c r="E216" s="13" t="str">
        <x:f>IF($A216="","",IF(NOT(ISNUMBER($A216)),"Enter a real date",IF(OR($B216="",$C216="",$D216=""),"Complete holiday fields",IF(COUNTIF('Team Setup'!$H$10:$H$59,$C216)&lt;&gt;1,"Check office location",IF($D216="All","Ready",IF(COUNTIFS('Team Setup'!$H$64:$H$163,$D216,'Team Setup'!$I$64:$I$163,$C216)=1,"Ready","Check group and location"))))))</x:f>
      </x:c>
      <x:c r="F216" s="2"/>
      <x:c r="G216" s="12"/>
      <x:c r="H216" s="20"/>
      <x:c r="I216" s="14"/>
      <x:c r="J216" s="13" t="str">
        <x:f>IF($G216="","",IF(OR(NOT(ISNUMBER($H216)),NOT(ISNUMBER($I216)),$I216&lt;=0),"Complete PTO fields",IF(COUNTIF('Team Setup'!$A$10:$A$34,$G216)=1,"Ready","Check member name")))</x:f>
      </x:c>
    </x:row>
    <x:row r="217">
      <x:c r="A217" s="20"/>
      <x:c r="B217" s="12"/>
      <x:c r="C217" s="12"/>
      <x:c r="D217" s="12"/>
      <x:c r="E217" s="13" t="str">
        <x:f>IF($A217="","",IF(NOT(ISNUMBER($A217)),"Enter a real date",IF(OR($B217="",$C217="",$D217=""),"Complete holiday fields",IF(COUNTIF('Team Setup'!$H$10:$H$59,$C217)&lt;&gt;1,"Check office location",IF($D217="All","Ready",IF(COUNTIFS('Team Setup'!$H$64:$H$163,$D217,'Team Setup'!$I$64:$I$163,$C217)=1,"Ready","Check group and location"))))))</x:f>
      </x:c>
      <x:c r="F217" s="2"/>
      <x:c r="G217" s="12"/>
      <x:c r="H217" s="20"/>
      <x:c r="I217" s="14"/>
      <x:c r="J217" s="13" t="str">
        <x:f>IF($G217="","",IF(OR(NOT(ISNUMBER($H217)),NOT(ISNUMBER($I217)),$I217&lt;=0),"Complete PTO fields",IF(COUNTIF('Team Setup'!$A$10:$A$34,$G217)=1,"Ready","Check member name")))</x:f>
      </x:c>
    </x:row>
    <x:row r="218">
      <x:c r="A218" s="20"/>
      <x:c r="B218" s="12"/>
      <x:c r="C218" s="12"/>
      <x:c r="D218" s="12"/>
      <x:c r="E218" s="13" t="str">
        <x:f>IF($A218="","",IF(NOT(ISNUMBER($A218)),"Enter a real date",IF(OR($B218="",$C218="",$D218=""),"Complete holiday fields",IF(COUNTIF('Team Setup'!$H$10:$H$59,$C218)&lt;&gt;1,"Check office location",IF($D218="All","Ready",IF(COUNTIFS('Team Setup'!$H$64:$H$163,$D218,'Team Setup'!$I$64:$I$163,$C218)=1,"Ready","Check group and location"))))))</x:f>
      </x:c>
      <x:c r="F218" s="2"/>
      <x:c r="G218" s="12"/>
      <x:c r="H218" s="20"/>
      <x:c r="I218" s="14"/>
      <x:c r="J218" s="13" t="str">
        <x:f>IF($G218="","",IF(OR(NOT(ISNUMBER($H218)),NOT(ISNUMBER($I218)),$I218&lt;=0),"Complete PTO fields",IF(COUNTIF('Team Setup'!$A$10:$A$34,$G218)=1,"Ready","Check member name")))</x:f>
      </x:c>
    </x:row>
    <x:row r="219">
      <x:c r="A219" s="20"/>
      <x:c r="B219" s="12"/>
      <x:c r="C219" s="12"/>
      <x:c r="D219" s="12"/>
      <x:c r="E219" s="13" t="str">
        <x:f>IF($A219="","",IF(NOT(ISNUMBER($A219)),"Enter a real date",IF(OR($B219="",$C219="",$D219=""),"Complete holiday fields",IF(COUNTIF('Team Setup'!$H$10:$H$59,$C219)&lt;&gt;1,"Check office location",IF($D219="All","Ready",IF(COUNTIFS('Team Setup'!$H$64:$H$163,$D219,'Team Setup'!$I$64:$I$163,$C219)=1,"Ready","Check group and location"))))))</x:f>
      </x:c>
      <x:c r="F219" s="2"/>
      <x:c r="G219" s="12"/>
      <x:c r="H219" s="20"/>
      <x:c r="I219" s="14"/>
      <x:c r="J219" s="13" t="str">
        <x:f>IF($G219="","",IF(OR(NOT(ISNUMBER($H219)),NOT(ISNUMBER($I219)),$I219&lt;=0),"Complete PTO fields",IF(COUNTIF('Team Setup'!$A$10:$A$34,$G219)=1,"Ready","Check member name")))</x:f>
      </x:c>
    </x:row>
    <x:row r="220">
      <x:c r="A220" s="20"/>
      <x:c r="B220" s="12"/>
      <x:c r="C220" s="12"/>
      <x:c r="D220" s="12"/>
      <x:c r="E220" s="13" t="str">
        <x:f>IF($A220="","",IF(NOT(ISNUMBER($A220)),"Enter a real date",IF(OR($B220="",$C220="",$D220=""),"Complete holiday fields",IF(COUNTIF('Team Setup'!$H$10:$H$59,$C220)&lt;&gt;1,"Check office location",IF($D220="All","Ready",IF(COUNTIFS('Team Setup'!$H$64:$H$163,$D220,'Team Setup'!$I$64:$I$163,$C220)=1,"Ready","Check group and location"))))))</x:f>
      </x:c>
      <x:c r="F220" s="2"/>
      <x:c r="G220" s="12"/>
      <x:c r="H220" s="20"/>
      <x:c r="I220" s="14"/>
      <x:c r="J220" s="13" t="str">
        <x:f>IF($G220="","",IF(OR(NOT(ISNUMBER($H220)),NOT(ISNUMBER($I220)),$I220&lt;=0),"Complete PTO fields",IF(COUNTIF('Team Setup'!$A$10:$A$34,$G220)=1,"Ready","Check member name")))</x:f>
      </x:c>
    </x:row>
    <x:row r="221">
      <x:c r="A221" s="20"/>
      <x:c r="B221" s="12"/>
      <x:c r="C221" s="12"/>
      <x:c r="D221" s="12"/>
      <x:c r="E221" s="13" t="str">
        <x:f>IF($A221="","",IF(NOT(ISNUMBER($A221)),"Enter a real date",IF(OR($B221="",$C221="",$D221=""),"Complete holiday fields",IF(COUNTIF('Team Setup'!$H$10:$H$59,$C221)&lt;&gt;1,"Check office location",IF($D221="All","Ready",IF(COUNTIFS('Team Setup'!$H$64:$H$163,$D221,'Team Setup'!$I$64:$I$163,$C221)=1,"Ready","Check group and location"))))))</x:f>
      </x:c>
      <x:c r="F221" s="2"/>
      <x:c r="G221" s="12"/>
      <x:c r="H221" s="20"/>
      <x:c r="I221" s="14"/>
      <x:c r="J221" s="13" t="str">
        <x:f>IF($G221="","",IF(OR(NOT(ISNUMBER($H221)),NOT(ISNUMBER($I221)),$I221&lt;=0),"Complete PTO fields",IF(COUNTIF('Team Setup'!$A$10:$A$34,$G221)=1,"Ready","Check member name")))</x:f>
      </x:c>
    </x:row>
    <x:row r="222">
      <x:c r="A222" s="20"/>
      <x:c r="B222" s="12"/>
      <x:c r="C222" s="12"/>
      <x:c r="D222" s="12"/>
      <x:c r="E222" s="13" t="str">
        <x:f>IF($A222="","",IF(NOT(ISNUMBER($A222)),"Enter a real date",IF(OR($B222="",$C222="",$D222=""),"Complete holiday fields",IF(COUNTIF('Team Setup'!$H$10:$H$59,$C222)&lt;&gt;1,"Check office location",IF($D222="All","Ready",IF(COUNTIFS('Team Setup'!$H$64:$H$163,$D222,'Team Setup'!$I$64:$I$163,$C222)=1,"Ready","Check group and location"))))))</x:f>
      </x:c>
      <x:c r="F222" s="2"/>
      <x:c r="G222" s="12"/>
      <x:c r="H222" s="20"/>
      <x:c r="I222" s="14"/>
      <x:c r="J222" s="13" t="str">
        <x:f>IF($G222="","",IF(OR(NOT(ISNUMBER($H222)),NOT(ISNUMBER($I222)),$I222&lt;=0),"Complete PTO fields",IF(COUNTIF('Team Setup'!$A$10:$A$34,$G222)=1,"Ready","Check member name")))</x:f>
      </x:c>
    </x:row>
    <x:row r="223">
      <x:c r="A223" s="20"/>
      <x:c r="B223" s="12"/>
      <x:c r="C223" s="12"/>
      <x:c r="D223" s="12"/>
      <x:c r="E223" s="13" t="str">
        <x:f>IF($A223="","",IF(NOT(ISNUMBER($A223)),"Enter a real date",IF(OR($B223="",$C223="",$D223=""),"Complete holiday fields",IF(COUNTIF('Team Setup'!$H$10:$H$59,$C223)&lt;&gt;1,"Check office location",IF($D223="All","Ready",IF(COUNTIFS('Team Setup'!$H$64:$H$163,$D223,'Team Setup'!$I$64:$I$163,$C223)=1,"Ready","Check group and location"))))))</x:f>
      </x:c>
      <x:c r="F223" s="2"/>
      <x:c r="G223" s="12"/>
      <x:c r="H223" s="20"/>
      <x:c r="I223" s="14"/>
      <x:c r="J223" s="13" t="str">
        <x:f>IF($G223="","",IF(OR(NOT(ISNUMBER($H223)),NOT(ISNUMBER($I223)),$I223&lt;=0),"Complete PTO fields",IF(COUNTIF('Team Setup'!$A$10:$A$34,$G223)=1,"Ready","Check member name")))</x:f>
      </x:c>
    </x:row>
    <x:row r="224">
      <x:c r="A224" s="20"/>
      <x:c r="B224" s="12"/>
      <x:c r="C224" s="12"/>
      <x:c r="D224" s="12"/>
      <x:c r="E224" s="13" t="str">
        <x:f>IF($A224="","",IF(NOT(ISNUMBER($A224)),"Enter a real date",IF(OR($B224="",$C224="",$D224=""),"Complete holiday fields",IF(COUNTIF('Team Setup'!$H$10:$H$59,$C224)&lt;&gt;1,"Check office location",IF($D224="All","Ready",IF(COUNTIFS('Team Setup'!$H$64:$H$163,$D224,'Team Setup'!$I$64:$I$163,$C224)=1,"Ready","Check group and location"))))))</x:f>
      </x:c>
      <x:c r="F224" s="2"/>
      <x:c r="G224" s="12"/>
      <x:c r="H224" s="20"/>
      <x:c r="I224" s="14"/>
      <x:c r="J224" s="13" t="str">
        <x:f>IF($G224="","",IF(OR(NOT(ISNUMBER($H224)),NOT(ISNUMBER($I224)),$I224&lt;=0),"Complete PTO fields",IF(COUNTIF('Team Setup'!$A$10:$A$34,$G224)=1,"Ready","Check member name")))</x:f>
      </x:c>
    </x:row>
    <x:row r="225">
      <x:c r="A225" s="20"/>
      <x:c r="B225" s="12"/>
      <x:c r="C225" s="12"/>
      <x:c r="D225" s="12"/>
      <x:c r="E225" s="13" t="str">
        <x:f>IF($A225="","",IF(NOT(ISNUMBER($A225)),"Enter a real date",IF(OR($B225="",$C225="",$D225=""),"Complete holiday fields",IF(COUNTIF('Team Setup'!$H$10:$H$59,$C225)&lt;&gt;1,"Check office location",IF($D225="All","Ready",IF(COUNTIFS('Team Setup'!$H$64:$H$163,$D225,'Team Setup'!$I$64:$I$163,$C225)=1,"Ready","Check group and location"))))))</x:f>
      </x:c>
      <x:c r="F225" s="2"/>
      <x:c r="G225" s="12"/>
      <x:c r="H225" s="20"/>
      <x:c r="I225" s="14"/>
      <x:c r="J225" s="13" t="str">
        <x:f>IF($G225="","",IF(OR(NOT(ISNUMBER($H225)),NOT(ISNUMBER($I225)),$I225&lt;=0),"Complete PTO fields",IF(COUNTIF('Team Setup'!$A$10:$A$34,$G225)=1,"Ready","Check member name")))</x:f>
      </x:c>
    </x:row>
    <x:row r="226">
      <x:c r="A226" s="20"/>
      <x:c r="B226" s="12"/>
      <x:c r="C226" s="12"/>
      <x:c r="D226" s="12"/>
      <x:c r="E226" s="13" t="str">
        <x:f>IF($A226="","",IF(NOT(ISNUMBER($A226)),"Enter a real date",IF(OR($B226="",$C226="",$D226=""),"Complete holiday fields",IF(COUNTIF('Team Setup'!$H$10:$H$59,$C226)&lt;&gt;1,"Check office location",IF($D226="All","Ready",IF(COUNTIFS('Team Setup'!$H$64:$H$163,$D226,'Team Setup'!$I$64:$I$163,$C226)=1,"Ready","Check group and location"))))))</x:f>
      </x:c>
      <x:c r="F226" s="2"/>
      <x:c r="G226" s="12"/>
      <x:c r="H226" s="20"/>
      <x:c r="I226" s="14"/>
      <x:c r="J226" s="13" t="str">
        <x:f>IF($G226="","",IF(OR(NOT(ISNUMBER($H226)),NOT(ISNUMBER($I226)),$I226&lt;=0),"Complete PTO fields",IF(COUNTIF('Team Setup'!$A$10:$A$34,$G226)=1,"Ready","Check member name")))</x:f>
      </x:c>
    </x:row>
    <x:row r="227">
      <x:c r="A227" s="20"/>
      <x:c r="B227" s="12"/>
      <x:c r="C227" s="12"/>
      <x:c r="D227" s="12"/>
      <x:c r="E227" s="13" t="str">
        <x:f>IF($A227="","",IF(NOT(ISNUMBER($A227)),"Enter a real date",IF(OR($B227="",$C227="",$D227=""),"Complete holiday fields",IF(COUNTIF('Team Setup'!$H$10:$H$59,$C227)&lt;&gt;1,"Check office location",IF($D227="All","Ready",IF(COUNTIFS('Team Setup'!$H$64:$H$163,$D227,'Team Setup'!$I$64:$I$163,$C227)=1,"Ready","Check group and location"))))))</x:f>
      </x:c>
      <x:c r="F227" s="2"/>
      <x:c r="G227" s="12"/>
      <x:c r="H227" s="20"/>
      <x:c r="I227" s="14"/>
      <x:c r="J227" s="13" t="str">
        <x:f>IF($G227="","",IF(OR(NOT(ISNUMBER($H227)),NOT(ISNUMBER($I227)),$I227&lt;=0),"Complete PTO fields",IF(COUNTIF('Team Setup'!$A$10:$A$34,$G227)=1,"Ready","Check member name")))</x:f>
      </x:c>
    </x:row>
    <x:row r="228">
      <x:c r="A228" s="20"/>
      <x:c r="B228" s="12"/>
      <x:c r="C228" s="12"/>
      <x:c r="D228" s="12"/>
      <x:c r="E228" s="13" t="str">
        <x:f>IF($A228="","",IF(NOT(ISNUMBER($A228)),"Enter a real date",IF(OR($B228="",$C228="",$D228=""),"Complete holiday fields",IF(COUNTIF('Team Setup'!$H$10:$H$59,$C228)&lt;&gt;1,"Check office location",IF($D228="All","Ready",IF(COUNTIFS('Team Setup'!$H$64:$H$163,$D228,'Team Setup'!$I$64:$I$163,$C228)=1,"Ready","Check group and location"))))))</x:f>
      </x:c>
      <x:c r="F228" s="2"/>
      <x:c r="G228" s="12"/>
      <x:c r="H228" s="20"/>
      <x:c r="I228" s="14"/>
      <x:c r="J228" s="13" t="str">
        <x:f>IF($G228="","",IF(OR(NOT(ISNUMBER($H228)),NOT(ISNUMBER($I228)),$I228&lt;=0),"Complete PTO fields",IF(COUNTIF('Team Setup'!$A$10:$A$34,$G228)=1,"Ready","Check member name")))</x:f>
      </x:c>
    </x:row>
    <x:row r="229">
      <x:c r="A229" s="20"/>
      <x:c r="B229" s="12"/>
      <x:c r="C229" s="12"/>
      <x:c r="D229" s="12"/>
      <x:c r="E229" s="13" t="str">
        <x:f>IF($A229="","",IF(NOT(ISNUMBER($A229)),"Enter a real date",IF(OR($B229="",$C229="",$D229=""),"Complete holiday fields",IF(COUNTIF('Team Setup'!$H$10:$H$59,$C229)&lt;&gt;1,"Check office location",IF($D229="All","Ready",IF(COUNTIFS('Team Setup'!$H$64:$H$163,$D229,'Team Setup'!$I$64:$I$163,$C229)=1,"Ready","Check group and location"))))))</x:f>
      </x:c>
      <x:c r="F229" s="2"/>
      <x:c r="G229" s="12"/>
      <x:c r="H229" s="20"/>
      <x:c r="I229" s="14"/>
      <x:c r="J229" s="13" t="str">
        <x:f>IF($G229="","",IF(OR(NOT(ISNUMBER($H229)),NOT(ISNUMBER($I229)),$I229&lt;=0),"Complete PTO fields",IF(COUNTIF('Team Setup'!$A$10:$A$34,$G229)=1,"Ready","Check member name")))</x:f>
      </x:c>
    </x:row>
    <x:row r="230">
      <x:c r="A230" s="20"/>
      <x:c r="B230" s="12"/>
      <x:c r="C230" s="12"/>
      <x:c r="D230" s="12"/>
      <x:c r="E230" s="13" t="str">
        <x:f>IF($A230="","",IF(NOT(ISNUMBER($A230)),"Enter a real date",IF(OR($B230="",$C230="",$D230=""),"Complete holiday fields",IF(COUNTIF('Team Setup'!$H$10:$H$59,$C230)&lt;&gt;1,"Check office location",IF($D230="All","Ready",IF(COUNTIFS('Team Setup'!$H$64:$H$163,$D230,'Team Setup'!$I$64:$I$163,$C230)=1,"Ready","Check group and location"))))))</x:f>
      </x:c>
      <x:c r="F230" s="2"/>
      <x:c r="G230" s="12"/>
      <x:c r="H230" s="20"/>
      <x:c r="I230" s="14"/>
      <x:c r="J230" s="13" t="str">
        <x:f>IF($G230="","",IF(OR(NOT(ISNUMBER($H230)),NOT(ISNUMBER($I230)),$I230&lt;=0),"Complete PTO fields",IF(COUNTIF('Team Setup'!$A$10:$A$34,$G230)=1,"Ready","Check member name")))</x:f>
      </x:c>
    </x:row>
    <x:row r="231">
      <x:c r="A231" s="20"/>
      <x:c r="B231" s="12"/>
      <x:c r="C231" s="12"/>
      <x:c r="D231" s="12"/>
      <x:c r="E231" s="13" t="str">
        <x:f>IF($A231="","",IF(NOT(ISNUMBER($A231)),"Enter a real date",IF(OR($B231="",$C231="",$D231=""),"Complete holiday fields",IF(COUNTIF('Team Setup'!$H$10:$H$59,$C231)&lt;&gt;1,"Check office location",IF($D231="All","Ready",IF(COUNTIFS('Team Setup'!$H$64:$H$163,$D231,'Team Setup'!$I$64:$I$163,$C231)=1,"Ready","Check group and location"))))))</x:f>
      </x:c>
      <x:c r="F231" s="2"/>
      <x:c r="G231" s="12"/>
      <x:c r="H231" s="20"/>
      <x:c r="I231" s="14"/>
      <x:c r="J231" s="13" t="str">
        <x:f>IF($G231="","",IF(OR(NOT(ISNUMBER($H231)),NOT(ISNUMBER($I231)),$I231&lt;=0),"Complete PTO fields",IF(COUNTIF('Team Setup'!$A$10:$A$34,$G231)=1,"Ready","Check member name")))</x:f>
      </x:c>
    </x:row>
    <x:row r="232">
      <x:c r="A232" s="20"/>
      <x:c r="B232" s="12"/>
      <x:c r="C232" s="12"/>
      <x:c r="D232" s="12"/>
      <x:c r="E232" s="13" t="str">
        <x:f>IF($A232="","",IF(NOT(ISNUMBER($A232)),"Enter a real date",IF(OR($B232="",$C232="",$D232=""),"Complete holiday fields",IF(COUNTIF('Team Setup'!$H$10:$H$59,$C232)&lt;&gt;1,"Check office location",IF($D232="All","Ready",IF(COUNTIFS('Team Setup'!$H$64:$H$163,$D232,'Team Setup'!$I$64:$I$163,$C232)=1,"Ready","Check group and location"))))))</x:f>
      </x:c>
      <x:c r="F232" s="2"/>
      <x:c r="G232" s="12"/>
      <x:c r="H232" s="20"/>
      <x:c r="I232" s="14"/>
      <x:c r="J232" s="13" t="str">
        <x:f>IF($G232="","",IF(OR(NOT(ISNUMBER($H232)),NOT(ISNUMBER($I232)),$I232&lt;=0),"Complete PTO fields",IF(COUNTIF('Team Setup'!$A$10:$A$34,$G232)=1,"Ready","Check member name")))</x:f>
      </x:c>
    </x:row>
    <x:row r="233">
      <x:c r="A233" s="20"/>
      <x:c r="B233" s="12"/>
      <x:c r="C233" s="12"/>
      <x:c r="D233" s="12"/>
      <x:c r="E233" s="13" t="str">
        <x:f>IF($A233="","",IF(NOT(ISNUMBER($A233)),"Enter a real date",IF(OR($B233="",$C233="",$D233=""),"Complete holiday fields",IF(COUNTIF('Team Setup'!$H$10:$H$59,$C233)&lt;&gt;1,"Check office location",IF($D233="All","Ready",IF(COUNTIFS('Team Setup'!$H$64:$H$163,$D233,'Team Setup'!$I$64:$I$163,$C233)=1,"Ready","Check group and location"))))))</x:f>
      </x:c>
      <x:c r="F233" s="2"/>
      <x:c r="G233" s="12"/>
      <x:c r="H233" s="20"/>
      <x:c r="I233" s="14"/>
      <x:c r="J233" s="13" t="str">
        <x:f>IF($G233="","",IF(OR(NOT(ISNUMBER($H233)),NOT(ISNUMBER($I233)),$I233&lt;=0),"Complete PTO fields",IF(COUNTIF('Team Setup'!$A$10:$A$34,$G233)=1,"Ready","Check member name")))</x:f>
      </x:c>
    </x:row>
    <x:row r="234">
      <x:c r="A234" s="20"/>
      <x:c r="B234" s="12"/>
      <x:c r="C234" s="12"/>
      <x:c r="D234" s="12"/>
      <x:c r="E234" s="13" t="str">
        <x:f>IF($A234="","",IF(NOT(ISNUMBER($A234)),"Enter a real date",IF(OR($B234="",$C234="",$D234=""),"Complete holiday fields",IF(COUNTIF('Team Setup'!$H$10:$H$59,$C234)&lt;&gt;1,"Check office location",IF($D234="All","Ready",IF(COUNTIFS('Team Setup'!$H$64:$H$163,$D234,'Team Setup'!$I$64:$I$163,$C234)=1,"Ready","Check group and location"))))))</x:f>
      </x:c>
      <x:c r="F234" s="2"/>
      <x:c r="G234" s="12"/>
      <x:c r="H234" s="20"/>
      <x:c r="I234" s="14"/>
      <x:c r="J234" s="13" t="str">
        <x:f>IF($G234="","",IF(OR(NOT(ISNUMBER($H234)),NOT(ISNUMBER($I234)),$I234&lt;=0),"Complete PTO fields",IF(COUNTIF('Team Setup'!$A$10:$A$34,$G234)=1,"Ready","Check member name")))</x:f>
      </x:c>
    </x:row>
    <x:row r="235">
      <x:c r="A235" s="20"/>
      <x:c r="B235" s="12"/>
      <x:c r="C235" s="12"/>
      <x:c r="D235" s="12"/>
      <x:c r="E235" s="13" t="str">
        <x:f>IF($A235="","",IF(NOT(ISNUMBER($A235)),"Enter a real date",IF(OR($B235="",$C235="",$D235=""),"Complete holiday fields",IF(COUNTIF('Team Setup'!$H$10:$H$59,$C235)&lt;&gt;1,"Check office location",IF($D235="All","Ready",IF(COUNTIFS('Team Setup'!$H$64:$H$163,$D235,'Team Setup'!$I$64:$I$163,$C235)=1,"Ready","Check group and location"))))))</x:f>
      </x:c>
      <x:c r="F235" s="2"/>
      <x:c r="G235" s="12"/>
      <x:c r="H235" s="20"/>
      <x:c r="I235" s="14"/>
      <x:c r="J235" s="13" t="str">
        <x:f>IF($G235="","",IF(OR(NOT(ISNUMBER($H235)),NOT(ISNUMBER($I235)),$I235&lt;=0),"Complete PTO fields",IF(COUNTIF('Team Setup'!$A$10:$A$34,$G235)=1,"Ready","Check member name")))</x:f>
      </x:c>
    </x:row>
    <x:row r="236">
      <x:c r="A236" s="20"/>
      <x:c r="B236" s="12"/>
      <x:c r="C236" s="12"/>
      <x:c r="D236" s="12"/>
      <x:c r="E236" s="13" t="str">
        <x:f>IF($A236="","",IF(NOT(ISNUMBER($A236)),"Enter a real date",IF(OR($B236="",$C236="",$D236=""),"Complete holiday fields",IF(COUNTIF('Team Setup'!$H$10:$H$59,$C236)&lt;&gt;1,"Check office location",IF($D236="All","Ready",IF(COUNTIFS('Team Setup'!$H$64:$H$163,$D236,'Team Setup'!$I$64:$I$163,$C236)=1,"Ready","Check group and location"))))))</x:f>
      </x:c>
      <x:c r="F236" s="2"/>
      <x:c r="G236" s="12"/>
      <x:c r="H236" s="20"/>
      <x:c r="I236" s="14"/>
      <x:c r="J236" s="13" t="str">
        <x:f>IF($G236="","",IF(OR(NOT(ISNUMBER($H236)),NOT(ISNUMBER($I236)),$I236&lt;=0),"Complete PTO fields",IF(COUNTIF('Team Setup'!$A$10:$A$34,$G236)=1,"Ready","Check member name")))</x:f>
      </x:c>
    </x:row>
    <x:row r="237">
      <x:c r="A237" s="20"/>
      <x:c r="B237" s="12"/>
      <x:c r="C237" s="12"/>
      <x:c r="D237" s="12"/>
      <x:c r="E237" s="13" t="str">
        <x:f>IF($A237="","",IF(NOT(ISNUMBER($A237)),"Enter a real date",IF(OR($B237="",$C237="",$D237=""),"Complete holiday fields",IF(COUNTIF('Team Setup'!$H$10:$H$59,$C237)&lt;&gt;1,"Check office location",IF($D237="All","Ready",IF(COUNTIFS('Team Setup'!$H$64:$H$163,$D237,'Team Setup'!$I$64:$I$163,$C237)=1,"Ready","Check group and location"))))))</x:f>
      </x:c>
      <x:c r="F237" s="2"/>
      <x:c r="G237" s="12"/>
      <x:c r="H237" s="20"/>
      <x:c r="I237" s="14"/>
      <x:c r="J237" s="13" t="str">
        <x:f>IF($G237="","",IF(OR(NOT(ISNUMBER($H237)),NOT(ISNUMBER($I237)),$I237&lt;=0),"Complete PTO fields",IF(COUNTIF('Team Setup'!$A$10:$A$34,$G237)=1,"Ready","Check member name")))</x:f>
      </x:c>
    </x:row>
    <x:row r="238">
      <x:c r="A238" s="20"/>
      <x:c r="B238" s="12"/>
      <x:c r="C238" s="12"/>
      <x:c r="D238" s="12"/>
      <x:c r="E238" s="13" t="str">
        <x:f>IF($A238="","",IF(NOT(ISNUMBER($A238)),"Enter a real date",IF(OR($B238="",$C238="",$D238=""),"Complete holiday fields",IF(COUNTIF('Team Setup'!$H$10:$H$59,$C238)&lt;&gt;1,"Check office location",IF($D238="All","Ready",IF(COUNTIFS('Team Setup'!$H$64:$H$163,$D238,'Team Setup'!$I$64:$I$163,$C238)=1,"Ready","Check group and location"))))))</x:f>
      </x:c>
      <x:c r="F238" s="2"/>
      <x:c r="G238" s="12"/>
      <x:c r="H238" s="20"/>
      <x:c r="I238" s="14"/>
      <x:c r="J238" s="13" t="str">
        <x:f>IF($G238="","",IF(OR(NOT(ISNUMBER($H238)),NOT(ISNUMBER($I238)),$I238&lt;=0),"Complete PTO fields",IF(COUNTIF('Team Setup'!$A$10:$A$34,$G238)=1,"Ready","Check member name")))</x:f>
      </x:c>
    </x:row>
    <x:row r="239">
      <x:c r="A239" s="20"/>
      <x:c r="B239" s="12"/>
      <x:c r="C239" s="12"/>
      <x:c r="D239" s="12"/>
      <x:c r="E239" s="13" t="str">
        <x:f>IF($A239="","",IF(NOT(ISNUMBER($A239)),"Enter a real date",IF(OR($B239="",$C239="",$D239=""),"Complete holiday fields",IF(COUNTIF('Team Setup'!$H$10:$H$59,$C239)&lt;&gt;1,"Check office location",IF($D239="All","Ready",IF(COUNTIFS('Team Setup'!$H$64:$H$163,$D239,'Team Setup'!$I$64:$I$163,$C239)=1,"Ready","Check group and location"))))))</x:f>
      </x:c>
      <x:c r="F239" s="2"/>
      <x:c r="G239" s="12"/>
      <x:c r="H239" s="20"/>
      <x:c r="I239" s="14"/>
      <x:c r="J239" s="13" t="str">
        <x:f>IF($G239="","",IF(OR(NOT(ISNUMBER($H239)),NOT(ISNUMBER($I239)),$I239&lt;=0),"Complete PTO fields",IF(COUNTIF('Team Setup'!$A$10:$A$34,$G239)=1,"Ready","Check member name")))</x:f>
      </x:c>
    </x:row>
    <x:row r="240">
      <x:c r="A240" s="20"/>
      <x:c r="B240" s="12"/>
      <x:c r="C240" s="12"/>
      <x:c r="D240" s="12"/>
      <x:c r="E240" s="13" t="str">
        <x:f>IF($A240="","",IF(NOT(ISNUMBER($A240)),"Enter a real date",IF(OR($B240="",$C240="",$D240=""),"Complete holiday fields",IF(COUNTIF('Team Setup'!$H$10:$H$59,$C240)&lt;&gt;1,"Check office location",IF($D240="All","Ready",IF(COUNTIFS('Team Setup'!$H$64:$H$163,$D240,'Team Setup'!$I$64:$I$163,$C240)=1,"Ready","Check group and location"))))))</x:f>
      </x:c>
      <x:c r="F240" s="2"/>
      <x:c r="G240" s="12"/>
      <x:c r="H240" s="20"/>
      <x:c r="I240" s="14"/>
      <x:c r="J240" s="13" t="str">
        <x:f>IF($G240="","",IF(OR(NOT(ISNUMBER($H240)),NOT(ISNUMBER($I240)),$I240&lt;=0),"Complete PTO fields",IF(COUNTIF('Team Setup'!$A$10:$A$34,$G240)=1,"Ready","Check member name")))</x:f>
      </x:c>
    </x:row>
    <x:row r="241">
      <x:c r="A241" s="20"/>
      <x:c r="B241" s="12"/>
      <x:c r="C241" s="12"/>
      <x:c r="D241" s="12"/>
      <x:c r="E241" s="13" t="str">
        <x:f>IF($A241="","",IF(NOT(ISNUMBER($A241)),"Enter a real date",IF(OR($B241="",$C241="",$D241=""),"Complete holiday fields",IF(COUNTIF('Team Setup'!$H$10:$H$59,$C241)&lt;&gt;1,"Check office location",IF($D241="All","Ready",IF(COUNTIFS('Team Setup'!$H$64:$H$163,$D241,'Team Setup'!$I$64:$I$163,$C241)=1,"Ready","Check group and location"))))))</x:f>
      </x:c>
      <x:c r="F241" s="2"/>
      <x:c r="G241" s="12"/>
      <x:c r="H241" s="20"/>
      <x:c r="I241" s="14"/>
      <x:c r="J241" s="13" t="str">
        <x:f>IF($G241="","",IF(OR(NOT(ISNUMBER($H241)),NOT(ISNUMBER($I241)),$I241&lt;=0),"Complete PTO fields",IF(COUNTIF('Team Setup'!$A$10:$A$34,$G241)=1,"Ready","Check member name")))</x:f>
      </x:c>
    </x:row>
    <x:row r="242">
      <x:c r="A242" s="20"/>
      <x:c r="B242" s="12"/>
      <x:c r="C242" s="12"/>
      <x:c r="D242" s="12"/>
      <x:c r="E242" s="13" t="str">
        <x:f>IF($A242="","",IF(NOT(ISNUMBER($A242)),"Enter a real date",IF(OR($B242="",$C242="",$D242=""),"Complete holiday fields",IF(COUNTIF('Team Setup'!$H$10:$H$59,$C242)&lt;&gt;1,"Check office location",IF($D242="All","Ready",IF(COUNTIFS('Team Setup'!$H$64:$H$163,$D242,'Team Setup'!$I$64:$I$163,$C242)=1,"Ready","Check group and location"))))))</x:f>
      </x:c>
      <x:c r="F242" s="2"/>
      <x:c r="G242" s="12"/>
      <x:c r="H242" s="20"/>
      <x:c r="I242" s="14"/>
      <x:c r="J242" s="13" t="str">
        <x:f>IF($G242="","",IF(OR(NOT(ISNUMBER($H242)),NOT(ISNUMBER($I242)),$I242&lt;=0),"Complete PTO fields",IF(COUNTIF('Team Setup'!$A$10:$A$34,$G242)=1,"Ready","Check member name")))</x:f>
      </x:c>
    </x:row>
    <x:row r="243">
      <x:c r="A243" s="20"/>
      <x:c r="B243" s="12"/>
      <x:c r="C243" s="12"/>
      <x:c r="D243" s="12"/>
      <x:c r="E243" s="13" t="str">
        <x:f>IF($A243="","",IF(NOT(ISNUMBER($A243)),"Enter a real date",IF(OR($B243="",$C243="",$D243=""),"Complete holiday fields",IF(COUNTIF('Team Setup'!$H$10:$H$59,$C243)&lt;&gt;1,"Check office location",IF($D243="All","Ready",IF(COUNTIFS('Team Setup'!$H$64:$H$163,$D243,'Team Setup'!$I$64:$I$163,$C243)=1,"Ready","Check group and location"))))))</x:f>
      </x:c>
      <x:c r="F243" s="2"/>
      <x:c r="G243" s="12"/>
      <x:c r="H243" s="20"/>
      <x:c r="I243" s="14"/>
      <x:c r="J243" s="13" t="str">
        <x:f>IF($G243="","",IF(OR(NOT(ISNUMBER($H243)),NOT(ISNUMBER($I243)),$I243&lt;=0),"Complete PTO fields",IF(COUNTIF('Team Setup'!$A$10:$A$34,$G243)=1,"Ready","Check member name")))</x:f>
      </x:c>
    </x:row>
    <x:row r="244">
      <x:c r="A244" s="20"/>
      <x:c r="B244" s="12"/>
      <x:c r="C244" s="12"/>
      <x:c r="D244" s="12"/>
      <x:c r="E244" s="13" t="str">
        <x:f>IF($A244="","",IF(NOT(ISNUMBER($A244)),"Enter a real date",IF(OR($B244="",$C244="",$D244=""),"Complete holiday fields",IF(COUNTIF('Team Setup'!$H$10:$H$59,$C244)&lt;&gt;1,"Check office location",IF($D244="All","Ready",IF(COUNTIFS('Team Setup'!$H$64:$H$163,$D244,'Team Setup'!$I$64:$I$163,$C244)=1,"Ready","Check group and location"))))))</x:f>
      </x:c>
      <x:c r="F244" s="2"/>
      <x:c r="G244" s="12"/>
      <x:c r="H244" s="20"/>
      <x:c r="I244" s="14"/>
      <x:c r="J244" s="13" t="str">
        <x:f>IF($G244="","",IF(OR(NOT(ISNUMBER($H244)),NOT(ISNUMBER($I244)),$I244&lt;=0),"Complete PTO fields",IF(COUNTIF('Team Setup'!$A$10:$A$34,$G244)=1,"Ready","Check member name")))</x:f>
      </x:c>
    </x:row>
    <x:row r="245">
      <x:c r="A245" s="20"/>
      <x:c r="B245" s="12"/>
      <x:c r="C245" s="12"/>
      <x:c r="D245" s="12"/>
      <x:c r="E245" s="13" t="str">
        <x:f>IF($A245="","",IF(NOT(ISNUMBER($A245)),"Enter a real date",IF(OR($B245="",$C245="",$D245=""),"Complete holiday fields",IF(COUNTIF('Team Setup'!$H$10:$H$59,$C245)&lt;&gt;1,"Check office location",IF($D245="All","Ready",IF(COUNTIFS('Team Setup'!$H$64:$H$163,$D245,'Team Setup'!$I$64:$I$163,$C245)=1,"Ready","Check group and location"))))))</x:f>
      </x:c>
      <x:c r="F245" s="2"/>
      <x:c r="G245" s="12"/>
      <x:c r="H245" s="20"/>
      <x:c r="I245" s="14"/>
      <x:c r="J245" s="13" t="str">
        <x:f>IF($G245="","",IF(OR(NOT(ISNUMBER($H245)),NOT(ISNUMBER($I245)),$I245&lt;=0),"Complete PTO fields",IF(COUNTIF('Team Setup'!$A$10:$A$34,$G245)=1,"Ready","Check member name")))</x:f>
      </x:c>
    </x:row>
    <x:row r="246">
      <x:c r="A246" s="20"/>
      <x:c r="B246" s="12"/>
      <x:c r="C246" s="12"/>
      <x:c r="D246" s="12"/>
      <x:c r="E246" s="13" t="str">
        <x:f>IF($A246="","",IF(NOT(ISNUMBER($A246)),"Enter a real date",IF(OR($B246="",$C246="",$D246=""),"Complete holiday fields",IF(COUNTIF('Team Setup'!$H$10:$H$59,$C246)&lt;&gt;1,"Check office location",IF($D246="All","Ready",IF(COUNTIFS('Team Setup'!$H$64:$H$163,$D246,'Team Setup'!$I$64:$I$163,$C246)=1,"Ready","Check group and location"))))))</x:f>
      </x:c>
      <x:c r="F246" s="2"/>
      <x:c r="G246" s="12"/>
      <x:c r="H246" s="20"/>
      <x:c r="I246" s="14"/>
      <x:c r="J246" s="13" t="str">
        <x:f>IF($G246="","",IF(OR(NOT(ISNUMBER($H246)),NOT(ISNUMBER($I246)),$I246&lt;=0),"Complete PTO fields",IF(COUNTIF('Team Setup'!$A$10:$A$34,$G246)=1,"Ready","Check member name")))</x:f>
      </x:c>
    </x:row>
    <x:row r="247">
      <x:c r="A247" s="20"/>
      <x:c r="B247" s="12"/>
      <x:c r="C247" s="12"/>
      <x:c r="D247" s="12"/>
      <x:c r="E247" s="13" t="str">
        <x:f>IF($A247="","",IF(NOT(ISNUMBER($A247)),"Enter a real date",IF(OR($B247="",$C247="",$D247=""),"Complete holiday fields",IF(COUNTIF('Team Setup'!$H$10:$H$59,$C247)&lt;&gt;1,"Check office location",IF($D247="All","Ready",IF(COUNTIFS('Team Setup'!$H$64:$H$163,$D247,'Team Setup'!$I$64:$I$163,$C247)=1,"Ready","Check group and location"))))))</x:f>
      </x:c>
      <x:c r="F247" s="2"/>
      <x:c r="G247" s="12"/>
      <x:c r="H247" s="20"/>
      <x:c r="I247" s="14"/>
      <x:c r="J247" s="13" t="str">
        <x:f>IF($G247="","",IF(OR(NOT(ISNUMBER($H247)),NOT(ISNUMBER($I247)),$I247&lt;=0),"Complete PTO fields",IF(COUNTIF('Team Setup'!$A$10:$A$34,$G247)=1,"Ready","Check member name")))</x:f>
      </x:c>
    </x:row>
    <x:row r="248">
      <x:c r="A248" s="20"/>
      <x:c r="B248" s="12"/>
      <x:c r="C248" s="12"/>
      <x:c r="D248" s="12"/>
      <x:c r="E248" s="13" t="str">
        <x:f>IF($A248="","",IF(NOT(ISNUMBER($A248)),"Enter a real date",IF(OR($B248="",$C248="",$D248=""),"Complete holiday fields",IF(COUNTIF('Team Setup'!$H$10:$H$59,$C248)&lt;&gt;1,"Check office location",IF($D248="All","Ready",IF(COUNTIFS('Team Setup'!$H$64:$H$163,$D248,'Team Setup'!$I$64:$I$163,$C248)=1,"Ready","Check group and location"))))))</x:f>
      </x:c>
      <x:c r="F248" s="2"/>
      <x:c r="G248" s="12"/>
      <x:c r="H248" s="20"/>
      <x:c r="I248" s="14"/>
      <x:c r="J248" s="13" t="str">
        <x:f>IF($G248="","",IF(OR(NOT(ISNUMBER($H248)),NOT(ISNUMBER($I248)),$I248&lt;=0),"Complete PTO fields",IF(COUNTIF('Team Setup'!$A$10:$A$34,$G248)=1,"Ready","Check member name")))</x:f>
      </x:c>
    </x:row>
    <x:row r="249">
      <x:c r="A249" s="20"/>
      <x:c r="B249" s="12"/>
      <x:c r="C249" s="12"/>
      <x:c r="D249" s="12"/>
      <x:c r="E249" s="13" t="str">
        <x:f>IF($A249="","",IF(NOT(ISNUMBER($A249)),"Enter a real date",IF(OR($B249="",$C249="",$D249=""),"Complete holiday fields",IF(COUNTIF('Team Setup'!$H$10:$H$59,$C249)&lt;&gt;1,"Check office location",IF($D249="All","Ready",IF(COUNTIFS('Team Setup'!$H$64:$H$163,$D249,'Team Setup'!$I$64:$I$163,$C249)=1,"Ready","Check group and location"))))))</x:f>
      </x:c>
      <x:c r="F249" s="2"/>
      <x:c r="G249" s="12"/>
      <x:c r="H249" s="20"/>
      <x:c r="I249" s="14"/>
      <x:c r="J249" s="13" t="str">
        <x:f>IF($G249="","",IF(OR(NOT(ISNUMBER($H249)),NOT(ISNUMBER($I249)),$I249&lt;=0),"Complete PTO fields",IF(COUNTIF('Team Setup'!$A$10:$A$34,$G249)=1,"Ready","Check member name")))</x:f>
      </x:c>
    </x:row>
    <x:row r="250">
      <x:c r="A250" s="20"/>
      <x:c r="B250" s="12"/>
      <x:c r="C250" s="12"/>
      <x:c r="D250" s="12"/>
      <x:c r="E250" s="13" t="str">
        <x:f>IF($A250="","",IF(NOT(ISNUMBER($A250)),"Enter a real date",IF(OR($B250="",$C250="",$D250=""),"Complete holiday fields",IF(COUNTIF('Team Setup'!$H$10:$H$59,$C250)&lt;&gt;1,"Check office location",IF($D250="All","Ready",IF(COUNTIFS('Team Setup'!$H$64:$H$163,$D250,'Team Setup'!$I$64:$I$163,$C250)=1,"Ready","Check group and location"))))))</x:f>
      </x:c>
      <x:c r="F250" s="2"/>
      <x:c r="G250" s="12"/>
      <x:c r="H250" s="20"/>
      <x:c r="I250" s="14"/>
      <x:c r="J250" s="13" t="str">
        <x:f>IF($G250="","",IF(OR(NOT(ISNUMBER($H250)),NOT(ISNUMBER($I250)),$I250&lt;=0),"Complete PTO fields",IF(COUNTIF('Team Setup'!$A$10:$A$34,$G250)=1,"Ready","Check member name")))</x:f>
      </x:c>
    </x:row>
    <x:row r="251">
      <x:c r="A251" s="20"/>
      <x:c r="B251" s="12"/>
      <x:c r="C251" s="12"/>
      <x:c r="D251" s="12"/>
      <x:c r="E251" s="13" t="str">
        <x:f>IF($A251="","",IF(NOT(ISNUMBER($A251)),"Enter a real date",IF(OR($B251="",$C251="",$D251=""),"Complete holiday fields",IF(COUNTIF('Team Setup'!$H$10:$H$59,$C251)&lt;&gt;1,"Check office location",IF($D251="All","Ready",IF(COUNTIFS('Team Setup'!$H$64:$H$163,$D251,'Team Setup'!$I$64:$I$163,$C251)=1,"Ready","Check group and location"))))))</x:f>
      </x:c>
      <x:c r="F251" s="2"/>
      <x:c r="G251" s="12"/>
      <x:c r="H251" s="20"/>
      <x:c r="I251" s="14"/>
      <x:c r="J251" s="13" t="str">
        <x:f>IF($G251="","",IF(OR(NOT(ISNUMBER($H251)),NOT(ISNUMBER($I251)),$I251&lt;=0),"Complete PTO fields",IF(COUNTIF('Team Setup'!$A$10:$A$34,$G251)=1,"Ready","Check member name")))</x:f>
      </x:c>
    </x:row>
    <x:row r="252">
      <x:c r="A252" s="20"/>
      <x:c r="B252" s="12"/>
      <x:c r="C252" s="12"/>
      <x:c r="D252" s="12"/>
      <x:c r="E252" s="13" t="str">
        <x:f>IF($A252="","",IF(NOT(ISNUMBER($A252)),"Enter a real date",IF(OR($B252="",$C252="",$D252=""),"Complete holiday fields",IF(COUNTIF('Team Setup'!$H$10:$H$59,$C252)&lt;&gt;1,"Check office location",IF($D252="All","Ready",IF(COUNTIFS('Team Setup'!$H$64:$H$163,$D252,'Team Setup'!$I$64:$I$163,$C252)=1,"Ready","Check group and location"))))))</x:f>
      </x:c>
      <x:c r="F252" s="2"/>
      <x:c r="G252" s="12"/>
      <x:c r="H252" s="20"/>
      <x:c r="I252" s="14"/>
      <x:c r="J252" s="13" t="str">
        <x:f>IF($G252="","",IF(OR(NOT(ISNUMBER($H252)),NOT(ISNUMBER($I252)),$I252&lt;=0),"Complete PTO fields",IF(COUNTIF('Team Setup'!$A$10:$A$34,$G252)=1,"Ready","Check member name")))</x:f>
      </x:c>
    </x:row>
    <x:row r="253">
      <x:c r="A253" s="20"/>
      <x:c r="B253" s="12"/>
      <x:c r="C253" s="12"/>
      <x:c r="D253" s="12"/>
      <x:c r="E253" s="13" t="str">
        <x:f>IF($A253="","",IF(NOT(ISNUMBER($A253)),"Enter a real date",IF(OR($B253="",$C253="",$D253=""),"Complete holiday fields",IF(COUNTIF('Team Setup'!$H$10:$H$59,$C253)&lt;&gt;1,"Check office location",IF($D253="All","Ready",IF(COUNTIFS('Team Setup'!$H$64:$H$163,$D253,'Team Setup'!$I$64:$I$163,$C253)=1,"Ready","Check group and location"))))))</x:f>
      </x:c>
      <x:c r="F253" s="2"/>
      <x:c r="G253" s="12"/>
      <x:c r="H253" s="20"/>
      <x:c r="I253" s="14"/>
      <x:c r="J253" s="13" t="str">
        <x:f>IF($G253="","",IF(OR(NOT(ISNUMBER($H253)),NOT(ISNUMBER($I253)),$I253&lt;=0),"Complete PTO fields",IF(COUNTIF('Team Setup'!$A$10:$A$34,$G253)=1,"Ready","Check member name")))</x:f>
      </x:c>
    </x:row>
    <x:row r="254">
      <x:c r="A254" s="20"/>
      <x:c r="B254" s="12"/>
      <x:c r="C254" s="12"/>
      <x:c r="D254" s="12"/>
      <x:c r="E254" s="13" t="str">
        <x:f>IF($A254="","",IF(NOT(ISNUMBER($A254)),"Enter a real date",IF(OR($B254="",$C254="",$D254=""),"Complete holiday fields",IF(COUNTIF('Team Setup'!$H$10:$H$59,$C254)&lt;&gt;1,"Check office location",IF($D254="All","Ready",IF(COUNTIFS('Team Setup'!$H$64:$H$163,$D254,'Team Setup'!$I$64:$I$163,$C254)=1,"Ready","Check group and location"))))))</x:f>
      </x:c>
      <x:c r="F254" s="2"/>
      <x:c r="G254" s="12"/>
      <x:c r="H254" s="20"/>
      <x:c r="I254" s="14"/>
      <x:c r="J254" s="13" t="str">
        <x:f>IF($G254="","",IF(OR(NOT(ISNUMBER($H254)),NOT(ISNUMBER($I254)),$I254&lt;=0),"Complete PTO fields",IF(COUNTIF('Team Setup'!$A$10:$A$34,$G254)=1,"Ready","Check member name")))</x:f>
      </x:c>
    </x:row>
    <x:row r="255">
      <x:c r="A255" s="20"/>
      <x:c r="B255" s="12"/>
      <x:c r="C255" s="12"/>
      <x:c r="D255" s="12"/>
      <x:c r="E255" s="13" t="str">
        <x:f>IF($A255="","",IF(NOT(ISNUMBER($A255)),"Enter a real date",IF(OR($B255="",$C255="",$D255=""),"Complete holiday fields",IF(COUNTIF('Team Setup'!$H$10:$H$59,$C255)&lt;&gt;1,"Check office location",IF($D255="All","Ready",IF(COUNTIFS('Team Setup'!$H$64:$H$163,$D255,'Team Setup'!$I$64:$I$163,$C255)=1,"Ready","Check group and location"))))))</x:f>
      </x:c>
      <x:c r="F255" s="2"/>
      <x:c r="G255" s="12"/>
      <x:c r="H255" s="20"/>
      <x:c r="I255" s="14"/>
      <x:c r="J255" s="13" t="str">
        <x:f>IF($G255="","",IF(OR(NOT(ISNUMBER($H255)),NOT(ISNUMBER($I255)),$I255&lt;=0),"Complete PTO fields",IF(COUNTIF('Team Setup'!$A$10:$A$34,$G255)=1,"Ready","Check member name")))</x:f>
      </x:c>
    </x:row>
    <x:row r="256">
      <x:c r="A256" s="20"/>
      <x:c r="B256" s="12"/>
      <x:c r="C256" s="12"/>
      <x:c r="D256" s="12"/>
      <x:c r="E256" s="13" t="str">
        <x:f>IF($A256="","",IF(NOT(ISNUMBER($A256)),"Enter a real date",IF(OR($B256="",$C256="",$D256=""),"Complete holiday fields",IF(COUNTIF('Team Setup'!$H$10:$H$59,$C256)&lt;&gt;1,"Check office location",IF($D256="All","Ready",IF(COUNTIFS('Team Setup'!$H$64:$H$163,$D256,'Team Setup'!$I$64:$I$163,$C256)=1,"Ready","Check group and location"))))))</x:f>
      </x:c>
      <x:c r="F256" s="2"/>
      <x:c r="G256" s="12"/>
      <x:c r="H256" s="20"/>
      <x:c r="I256" s="14"/>
      <x:c r="J256" s="13" t="str">
        <x:f>IF($G256="","",IF(OR(NOT(ISNUMBER($H256)),NOT(ISNUMBER($I256)),$I256&lt;=0),"Complete PTO fields",IF(COUNTIF('Team Setup'!$A$10:$A$34,$G256)=1,"Ready","Check member name")))</x:f>
      </x:c>
    </x:row>
    <x:row r="257">
      <x:c r="A257" s="20"/>
      <x:c r="B257" s="12"/>
      <x:c r="C257" s="12"/>
      <x:c r="D257" s="12"/>
      <x:c r="E257" s="13" t="str">
        <x:f>IF($A257="","",IF(NOT(ISNUMBER($A257)),"Enter a real date",IF(OR($B257="",$C257="",$D257=""),"Complete holiday fields",IF(COUNTIF('Team Setup'!$H$10:$H$59,$C257)&lt;&gt;1,"Check office location",IF($D257="All","Ready",IF(COUNTIFS('Team Setup'!$H$64:$H$163,$D257,'Team Setup'!$I$64:$I$163,$C257)=1,"Ready","Check group and location"))))))</x:f>
      </x:c>
      <x:c r="F257" s="2"/>
      <x:c r="G257" s="12"/>
      <x:c r="H257" s="20"/>
      <x:c r="I257" s="14"/>
      <x:c r="J257" s="13" t="str">
        <x:f>IF($G257="","",IF(OR(NOT(ISNUMBER($H257)),NOT(ISNUMBER($I257)),$I257&lt;=0),"Complete PTO fields",IF(COUNTIF('Team Setup'!$A$10:$A$34,$G257)=1,"Ready","Check member name")))</x:f>
      </x:c>
    </x:row>
    <x:row r="258">
      <x:c r="A258" s="20"/>
      <x:c r="B258" s="12"/>
      <x:c r="C258" s="12"/>
      <x:c r="D258" s="12"/>
      <x:c r="E258" s="13" t="str">
        <x:f>IF($A258="","",IF(NOT(ISNUMBER($A258)),"Enter a real date",IF(OR($B258="",$C258="",$D258=""),"Complete holiday fields",IF(COUNTIF('Team Setup'!$H$10:$H$59,$C258)&lt;&gt;1,"Check office location",IF($D258="All","Ready",IF(COUNTIFS('Team Setup'!$H$64:$H$163,$D258,'Team Setup'!$I$64:$I$163,$C258)=1,"Ready","Check group and location"))))))</x:f>
      </x:c>
      <x:c r="F258" s="2"/>
      <x:c r="G258" s="12"/>
      <x:c r="H258" s="20"/>
      <x:c r="I258" s="14"/>
      <x:c r="J258" s="13" t="str">
        <x:f>IF($G258="","",IF(OR(NOT(ISNUMBER($H258)),NOT(ISNUMBER($I258)),$I258&lt;=0),"Complete PTO fields",IF(COUNTIF('Team Setup'!$A$10:$A$34,$G258)=1,"Ready","Check member name")))</x:f>
      </x:c>
    </x:row>
    <x:row r="259">
      <x:c r="A259" s="20"/>
      <x:c r="B259" s="12"/>
      <x:c r="C259" s="12"/>
      <x:c r="D259" s="12"/>
      <x:c r="E259" s="13" t="str">
        <x:f>IF($A259="","",IF(NOT(ISNUMBER($A259)),"Enter a real date",IF(OR($B259="",$C259="",$D259=""),"Complete holiday fields",IF(COUNTIF('Team Setup'!$H$10:$H$59,$C259)&lt;&gt;1,"Check office location",IF($D259="All","Ready",IF(COUNTIFS('Team Setup'!$H$64:$H$163,$D259,'Team Setup'!$I$64:$I$163,$C259)=1,"Ready","Check group and location"))))))</x:f>
      </x:c>
      <x:c r="F259" s="2"/>
      <x:c r="G259" s="12"/>
      <x:c r="H259" s="20"/>
      <x:c r="I259" s="14"/>
      <x:c r="J259" s="13" t="str">
        <x:f>IF($G259="","",IF(OR(NOT(ISNUMBER($H259)),NOT(ISNUMBER($I259)),$I259&lt;=0),"Complete PTO fields",IF(COUNTIF('Team Setup'!$A$10:$A$34,$G259)=1,"Ready","Check member name")))</x:f>
      </x:c>
    </x:row>
    <x:row r="260">
      <x:c r="A260" s="20"/>
      <x:c r="B260" s="12"/>
      <x:c r="C260" s="12"/>
      <x:c r="D260" s="12"/>
      <x:c r="E260" s="13" t="str">
        <x:f>IF($A260="","",IF(NOT(ISNUMBER($A260)),"Enter a real date",IF(OR($B260="",$C260="",$D260=""),"Complete holiday fields",IF(COUNTIF('Team Setup'!$H$10:$H$59,$C260)&lt;&gt;1,"Check office location",IF($D260="All","Ready",IF(COUNTIFS('Team Setup'!$H$64:$H$163,$D260,'Team Setup'!$I$64:$I$163,$C260)=1,"Ready","Check group and location"))))))</x:f>
      </x:c>
      <x:c r="F260" s="2"/>
      <x:c r="G260" s="12"/>
      <x:c r="H260" s="20"/>
      <x:c r="I260" s="14"/>
      <x:c r="J260" s="13" t="str">
        <x:f>IF($G260="","",IF(OR(NOT(ISNUMBER($H260)),NOT(ISNUMBER($I260)),$I260&lt;=0),"Complete PTO fields",IF(COUNTIF('Team Setup'!$A$10:$A$34,$G260)=1,"Ready","Check member name")))</x:f>
      </x:c>
    </x:row>
    <x:row r="261">
      <x:c r="A261" s="20"/>
      <x:c r="B261" s="12"/>
      <x:c r="C261" s="12"/>
      <x:c r="D261" s="12"/>
      <x:c r="E261" s="13" t="str">
        <x:f>IF($A261="","",IF(NOT(ISNUMBER($A261)),"Enter a real date",IF(OR($B261="",$C261="",$D261=""),"Complete holiday fields",IF(COUNTIF('Team Setup'!$H$10:$H$59,$C261)&lt;&gt;1,"Check office location",IF($D261="All","Ready",IF(COUNTIFS('Team Setup'!$H$64:$H$163,$D261,'Team Setup'!$I$64:$I$163,$C261)=1,"Ready","Check group and location"))))))</x:f>
      </x:c>
      <x:c r="F261" s="2"/>
      <x:c r="G261" s="12"/>
      <x:c r="H261" s="20"/>
      <x:c r="I261" s="14"/>
      <x:c r="J261" s="13" t="str">
        <x:f>IF($G261="","",IF(OR(NOT(ISNUMBER($H261)),NOT(ISNUMBER($I261)),$I261&lt;=0),"Complete PTO fields",IF(COUNTIF('Team Setup'!$A$10:$A$34,$G261)=1,"Ready","Check member name")))</x:f>
      </x:c>
    </x:row>
    <x:row r="262">
      <x:c r="A262" s="20"/>
      <x:c r="B262" s="12"/>
      <x:c r="C262" s="12"/>
      <x:c r="D262" s="12"/>
      <x:c r="E262" s="13" t="str">
        <x:f>IF($A262="","",IF(NOT(ISNUMBER($A262)),"Enter a real date",IF(OR($B262="",$C262="",$D262=""),"Complete holiday fields",IF(COUNTIF('Team Setup'!$H$10:$H$59,$C262)&lt;&gt;1,"Check office location",IF($D262="All","Ready",IF(COUNTIFS('Team Setup'!$H$64:$H$163,$D262,'Team Setup'!$I$64:$I$163,$C262)=1,"Ready","Check group and location"))))))</x:f>
      </x:c>
      <x:c r="F262" s="2"/>
      <x:c r="G262" s="12"/>
      <x:c r="H262" s="20"/>
      <x:c r="I262" s="14"/>
      <x:c r="J262" s="13" t="str">
        <x:f>IF($G262="","",IF(OR(NOT(ISNUMBER($H262)),NOT(ISNUMBER($I262)),$I262&lt;=0),"Complete PTO fields",IF(COUNTIF('Team Setup'!$A$10:$A$34,$G262)=1,"Ready","Check member name")))</x:f>
      </x:c>
    </x:row>
    <x:row r="263">
      <x:c r="A263" s="20"/>
      <x:c r="B263" s="12"/>
      <x:c r="C263" s="12"/>
      <x:c r="D263" s="12"/>
      <x:c r="E263" s="13" t="str">
        <x:f>IF($A263="","",IF(NOT(ISNUMBER($A263)),"Enter a real date",IF(OR($B263="",$C263="",$D263=""),"Complete holiday fields",IF(COUNTIF('Team Setup'!$H$10:$H$59,$C263)&lt;&gt;1,"Check office location",IF($D263="All","Ready",IF(COUNTIFS('Team Setup'!$H$64:$H$163,$D263,'Team Setup'!$I$64:$I$163,$C263)=1,"Ready","Check group and location"))))))</x:f>
      </x:c>
      <x:c r="F263" s="2"/>
      <x:c r="G263" s="12"/>
      <x:c r="H263" s="20"/>
      <x:c r="I263" s="14"/>
      <x:c r="J263" s="13" t="str">
        <x:f>IF($G263="","",IF(OR(NOT(ISNUMBER($H263)),NOT(ISNUMBER($I263)),$I263&lt;=0),"Complete PTO fields",IF(COUNTIF('Team Setup'!$A$10:$A$34,$G263)=1,"Ready","Check member name")))</x:f>
      </x:c>
    </x:row>
    <x:row r="264">
      <x:c r="A264" s="20"/>
      <x:c r="B264" s="12"/>
      <x:c r="C264" s="12"/>
      <x:c r="D264" s="12"/>
      <x:c r="E264" s="13" t="str">
        <x:f>IF($A264="","",IF(NOT(ISNUMBER($A264)),"Enter a real date",IF(OR($B264="",$C264="",$D264=""),"Complete holiday fields",IF(COUNTIF('Team Setup'!$H$10:$H$59,$C264)&lt;&gt;1,"Check office location",IF($D264="All","Ready",IF(COUNTIFS('Team Setup'!$H$64:$H$163,$D264,'Team Setup'!$I$64:$I$163,$C264)=1,"Ready","Check group and location"))))))</x:f>
      </x:c>
      <x:c r="F264" s="2"/>
      <x:c r="G264" s="12"/>
      <x:c r="H264" s="20"/>
      <x:c r="I264" s="14"/>
      <x:c r="J264" s="13" t="str">
        <x:f>IF($G264="","",IF(OR(NOT(ISNUMBER($H264)),NOT(ISNUMBER($I264)),$I264&lt;=0),"Complete PTO fields",IF(COUNTIF('Team Setup'!$A$10:$A$34,$G264)=1,"Ready","Check member name")))</x:f>
      </x:c>
    </x:row>
    <x:row r="265">
      <x:c r="A265" s="20"/>
      <x:c r="B265" s="12"/>
      <x:c r="C265" s="12"/>
      <x:c r="D265" s="12"/>
      <x:c r="E265" s="13" t="str">
        <x:f>IF($A265="","",IF(NOT(ISNUMBER($A265)),"Enter a real date",IF(OR($B265="",$C265="",$D265=""),"Complete holiday fields",IF(COUNTIF('Team Setup'!$H$10:$H$59,$C265)&lt;&gt;1,"Check office location",IF($D265="All","Ready",IF(COUNTIFS('Team Setup'!$H$64:$H$163,$D265,'Team Setup'!$I$64:$I$163,$C265)=1,"Ready","Check group and location"))))))</x:f>
      </x:c>
      <x:c r="F265" s="2"/>
      <x:c r="G265" s="12"/>
      <x:c r="H265" s="20"/>
      <x:c r="I265" s="14"/>
      <x:c r="J265" s="13" t="str">
        <x:f>IF($G265="","",IF(OR(NOT(ISNUMBER($H265)),NOT(ISNUMBER($I265)),$I265&lt;=0),"Complete PTO fields",IF(COUNTIF('Team Setup'!$A$10:$A$34,$G265)=1,"Ready","Check member name")))</x:f>
      </x:c>
    </x:row>
    <x:row r="266">
      <x:c r="A266" s="20"/>
      <x:c r="B266" s="12"/>
      <x:c r="C266" s="12"/>
      <x:c r="D266" s="12"/>
      <x:c r="E266" s="13" t="str">
        <x:f>IF($A266="","",IF(NOT(ISNUMBER($A266)),"Enter a real date",IF(OR($B266="",$C266="",$D266=""),"Complete holiday fields",IF(COUNTIF('Team Setup'!$H$10:$H$59,$C266)&lt;&gt;1,"Check office location",IF($D266="All","Ready",IF(COUNTIFS('Team Setup'!$H$64:$H$163,$D266,'Team Setup'!$I$64:$I$163,$C266)=1,"Ready","Check group and location"))))))</x:f>
      </x:c>
      <x:c r="F266" s="2"/>
      <x:c r="G266" s="12"/>
      <x:c r="H266" s="20"/>
      <x:c r="I266" s="14"/>
      <x:c r="J266" s="13" t="str">
        <x:f>IF($G266="","",IF(OR(NOT(ISNUMBER($H266)),NOT(ISNUMBER($I266)),$I266&lt;=0),"Complete PTO fields",IF(COUNTIF('Team Setup'!$A$10:$A$34,$G266)=1,"Ready","Check member name")))</x:f>
      </x:c>
    </x:row>
    <x:row r="267">
      <x:c r="A267" s="20"/>
      <x:c r="B267" s="12"/>
      <x:c r="C267" s="12"/>
      <x:c r="D267" s="12"/>
      <x:c r="E267" s="13" t="str">
        <x:f>IF($A267="","",IF(NOT(ISNUMBER($A267)),"Enter a real date",IF(OR($B267="",$C267="",$D267=""),"Complete holiday fields",IF(COUNTIF('Team Setup'!$H$10:$H$59,$C267)&lt;&gt;1,"Check office location",IF($D267="All","Ready",IF(COUNTIFS('Team Setup'!$H$64:$H$163,$D267,'Team Setup'!$I$64:$I$163,$C267)=1,"Ready","Check group and location"))))))</x:f>
      </x:c>
      <x:c r="F267" s="2"/>
      <x:c r="G267" s="12"/>
      <x:c r="H267" s="20"/>
      <x:c r="I267" s="14"/>
      <x:c r="J267" s="13" t="str">
        <x:f>IF($G267="","",IF(OR(NOT(ISNUMBER($H267)),NOT(ISNUMBER($I267)),$I267&lt;=0),"Complete PTO fields",IF(COUNTIF('Team Setup'!$A$10:$A$34,$G267)=1,"Ready","Check member name")))</x:f>
      </x:c>
    </x:row>
    <x:row r="268">
      <x:c r="A268" s="20"/>
      <x:c r="B268" s="12"/>
      <x:c r="C268" s="12"/>
      <x:c r="D268" s="12"/>
      <x:c r="E268" s="13" t="str">
        <x:f>IF($A268="","",IF(NOT(ISNUMBER($A268)),"Enter a real date",IF(OR($B268="",$C268="",$D268=""),"Complete holiday fields",IF(COUNTIF('Team Setup'!$H$10:$H$59,$C268)&lt;&gt;1,"Check office location",IF($D268="All","Ready",IF(COUNTIFS('Team Setup'!$H$64:$H$163,$D268,'Team Setup'!$I$64:$I$163,$C268)=1,"Ready","Check group and location"))))))</x:f>
      </x:c>
      <x:c r="F268" s="2"/>
      <x:c r="G268" s="12"/>
      <x:c r="H268" s="20"/>
      <x:c r="I268" s="14"/>
      <x:c r="J268" s="13" t="str">
        <x:f>IF($G268="","",IF(OR(NOT(ISNUMBER($H268)),NOT(ISNUMBER($I268)),$I268&lt;=0),"Complete PTO fields",IF(COUNTIF('Team Setup'!$A$10:$A$34,$G268)=1,"Ready","Check member name")))</x:f>
      </x:c>
    </x:row>
    <x:row r="269">
      <x:c r="A269" s="20"/>
      <x:c r="B269" s="12"/>
      <x:c r="C269" s="12"/>
      <x:c r="D269" s="12"/>
      <x:c r="E269" s="13" t="str">
        <x:f>IF($A269="","",IF(NOT(ISNUMBER($A269)),"Enter a real date",IF(OR($B269="",$C269="",$D269=""),"Complete holiday fields",IF(COUNTIF('Team Setup'!$H$10:$H$59,$C269)&lt;&gt;1,"Check office location",IF($D269="All","Ready",IF(COUNTIFS('Team Setup'!$H$64:$H$163,$D269,'Team Setup'!$I$64:$I$163,$C269)=1,"Ready","Check group and location"))))))</x:f>
      </x:c>
      <x:c r="F269" s="2"/>
      <x:c r="G269" s="12"/>
      <x:c r="H269" s="20"/>
      <x:c r="I269" s="14"/>
      <x:c r="J269" s="13" t="str">
        <x:f>IF($G269="","",IF(OR(NOT(ISNUMBER($H269)),NOT(ISNUMBER($I269)),$I269&lt;=0),"Complete PTO fields",IF(COUNTIF('Team Setup'!$A$10:$A$34,$G269)=1,"Ready","Check member name")))</x:f>
      </x:c>
    </x:row>
    <x:row r="270">
      <x:c r="A270" s="20"/>
      <x:c r="B270" s="12"/>
      <x:c r="C270" s="12"/>
      <x:c r="D270" s="12"/>
      <x:c r="E270" s="13" t="str">
        <x:f>IF($A270="","",IF(NOT(ISNUMBER($A270)),"Enter a real date",IF(OR($B270="",$C270="",$D270=""),"Complete holiday fields",IF(COUNTIF('Team Setup'!$H$10:$H$59,$C270)&lt;&gt;1,"Check office location",IF($D270="All","Ready",IF(COUNTIFS('Team Setup'!$H$64:$H$163,$D270,'Team Setup'!$I$64:$I$163,$C270)=1,"Ready","Check group and location"))))))</x:f>
      </x:c>
      <x:c r="F270" s="2"/>
      <x:c r="G270" s="12"/>
      <x:c r="H270" s="20"/>
      <x:c r="I270" s="14"/>
      <x:c r="J270" s="13" t="str">
        <x:f>IF($G270="","",IF(OR(NOT(ISNUMBER($H270)),NOT(ISNUMBER($I270)),$I270&lt;=0),"Complete PTO fields",IF(COUNTIF('Team Setup'!$A$10:$A$34,$G270)=1,"Ready","Check member name")))</x:f>
      </x:c>
    </x:row>
    <x:row r="271">
      <x:c r="A271" s="20"/>
      <x:c r="B271" s="12"/>
      <x:c r="C271" s="12"/>
      <x:c r="D271" s="12"/>
      <x:c r="E271" s="13" t="str">
        <x:f>IF($A271="","",IF(NOT(ISNUMBER($A271)),"Enter a real date",IF(OR($B271="",$C271="",$D271=""),"Complete holiday fields",IF(COUNTIF('Team Setup'!$H$10:$H$59,$C271)&lt;&gt;1,"Check office location",IF($D271="All","Ready",IF(COUNTIFS('Team Setup'!$H$64:$H$163,$D271,'Team Setup'!$I$64:$I$163,$C271)=1,"Ready","Check group and location"))))))</x:f>
      </x:c>
      <x:c r="F271" s="2"/>
      <x:c r="G271" s="12"/>
      <x:c r="H271" s="20"/>
      <x:c r="I271" s="14"/>
      <x:c r="J271" s="13" t="str">
        <x:f>IF($G271="","",IF(OR(NOT(ISNUMBER($H271)),NOT(ISNUMBER($I271)),$I271&lt;=0),"Complete PTO fields",IF(COUNTIF('Team Setup'!$A$10:$A$34,$G271)=1,"Ready","Check member name")))</x:f>
      </x:c>
    </x:row>
    <x:row r="272">
      <x:c r="A272" s="20"/>
      <x:c r="B272" s="12"/>
      <x:c r="C272" s="12"/>
      <x:c r="D272" s="12"/>
      <x:c r="E272" s="13" t="str">
        <x:f>IF($A272="","",IF(NOT(ISNUMBER($A272)),"Enter a real date",IF(OR($B272="",$C272="",$D272=""),"Complete holiday fields",IF(COUNTIF('Team Setup'!$H$10:$H$59,$C272)&lt;&gt;1,"Check office location",IF($D272="All","Ready",IF(COUNTIFS('Team Setup'!$H$64:$H$163,$D272,'Team Setup'!$I$64:$I$163,$C272)=1,"Ready","Check group and location"))))))</x:f>
      </x:c>
      <x:c r="F272" s="2"/>
      <x:c r="G272" s="12"/>
      <x:c r="H272" s="20"/>
      <x:c r="I272" s="14"/>
      <x:c r="J272" s="13" t="str">
        <x:f>IF($G272="","",IF(OR(NOT(ISNUMBER($H272)),NOT(ISNUMBER($I272)),$I272&lt;=0),"Complete PTO fields",IF(COUNTIF('Team Setup'!$A$10:$A$34,$G272)=1,"Ready","Check member name")))</x:f>
      </x:c>
    </x:row>
    <x:row r="273">
      <x:c r="A273" s="20"/>
      <x:c r="B273" s="12"/>
      <x:c r="C273" s="12"/>
      <x:c r="D273" s="12"/>
      <x:c r="E273" s="13" t="str">
        <x:f>IF($A273="","",IF(NOT(ISNUMBER($A273)),"Enter a real date",IF(OR($B273="",$C273="",$D273=""),"Complete holiday fields",IF(COUNTIF('Team Setup'!$H$10:$H$59,$C273)&lt;&gt;1,"Check office location",IF($D273="All","Ready",IF(COUNTIFS('Team Setup'!$H$64:$H$163,$D273,'Team Setup'!$I$64:$I$163,$C273)=1,"Ready","Check group and location"))))))</x:f>
      </x:c>
      <x:c r="F273" s="2"/>
      <x:c r="G273" s="12"/>
      <x:c r="H273" s="20"/>
      <x:c r="I273" s="14"/>
      <x:c r="J273" s="13" t="str">
        <x:f>IF($G273="","",IF(OR(NOT(ISNUMBER($H273)),NOT(ISNUMBER($I273)),$I273&lt;=0),"Complete PTO fields",IF(COUNTIF('Team Setup'!$A$10:$A$34,$G273)=1,"Ready","Check member name")))</x:f>
      </x:c>
    </x:row>
    <x:row r="274">
      <x:c r="A274" s="20"/>
      <x:c r="B274" s="12"/>
      <x:c r="C274" s="12"/>
      <x:c r="D274" s="12"/>
      <x:c r="E274" s="13" t="str">
        <x:f>IF($A274="","",IF(NOT(ISNUMBER($A274)),"Enter a real date",IF(OR($B274="",$C274="",$D274=""),"Complete holiday fields",IF(COUNTIF('Team Setup'!$H$10:$H$59,$C274)&lt;&gt;1,"Check office location",IF($D274="All","Ready",IF(COUNTIFS('Team Setup'!$H$64:$H$163,$D274,'Team Setup'!$I$64:$I$163,$C274)=1,"Ready","Check group and location"))))))</x:f>
      </x:c>
      <x:c r="F274" s="2"/>
      <x:c r="G274" s="12"/>
      <x:c r="H274" s="20"/>
      <x:c r="I274" s="14"/>
      <x:c r="J274" s="13" t="str">
        <x:f>IF($G274="","",IF(OR(NOT(ISNUMBER($H274)),NOT(ISNUMBER($I274)),$I274&lt;=0),"Complete PTO fields",IF(COUNTIF('Team Setup'!$A$10:$A$34,$G274)=1,"Ready","Check member name")))</x:f>
      </x:c>
    </x:row>
    <x:row r="275">
      <x:c r="A275" s="20"/>
      <x:c r="B275" s="12"/>
      <x:c r="C275" s="12"/>
      <x:c r="D275" s="12"/>
      <x:c r="E275" s="13" t="str">
        <x:f>IF($A275="","",IF(NOT(ISNUMBER($A275)),"Enter a real date",IF(OR($B275="",$C275="",$D275=""),"Complete holiday fields",IF(COUNTIF('Team Setup'!$H$10:$H$59,$C275)&lt;&gt;1,"Check office location",IF($D275="All","Ready",IF(COUNTIFS('Team Setup'!$H$64:$H$163,$D275,'Team Setup'!$I$64:$I$163,$C275)=1,"Ready","Check group and location"))))))</x:f>
      </x:c>
      <x:c r="F275" s="2"/>
      <x:c r="G275" s="12"/>
      <x:c r="H275" s="20"/>
      <x:c r="I275" s="14"/>
      <x:c r="J275" s="13" t="str">
        <x:f>IF($G275="","",IF(OR(NOT(ISNUMBER($H275)),NOT(ISNUMBER($I275)),$I275&lt;=0),"Complete PTO fields",IF(COUNTIF('Team Setup'!$A$10:$A$34,$G275)=1,"Ready","Check member name")))</x:f>
      </x:c>
    </x:row>
    <x:row r="276">
      <x:c r="A276" s="20"/>
      <x:c r="B276" s="12"/>
      <x:c r="C276" s="12"/>
      <x:c r="D276" s="12"/>
      <x:c r="E276" s="13" t="str">
        <x:f>IF($A276="","",IF(NOT(ISNUMBER($A276)),"Enter a real date",IF(OR($B276="",$C276="",$D276=""),"Complete holiday fields",IF(COUNTIF('Team Setup'!$H$10:$H$59,$C276)&lt;&gt;1,"Check office location",IF($D276="All","Ready",IF(COUNTIFS('Team Setup'!$H$64:$H$163,$D276,'Team Setup'!$I$64:$I$163,$C276)=1,"Ready","Check group and location"))))))</x:f>
      </x:c>
      <x:c r="F276" s="2"/>
      <x:c r="G276" s="12"/>
      <x:c r="H276" s="20"/>
      <x:c r="I276" s="14"/>
      <x:c r="J276" s="13" t="str">
        <x:f>IF($G276="","",IF(OR(NOT(ISNUMBER($H276)),NOT(ISNUMBER($I276)),$I276&lt;=0),"Complete PTO fields",IF(COUNTIF('Team Setup'!$A$10:$A$34,$G276)=1,"Ready","Check member name")))</x:f>
      </x:c>
    </x:row>
    <x:row r="277">
      <x:c r="A277" s="20"/>
      <x:c r="B277" s="12"/>
      <x:c r="C277" s="12"/>
      <x:c r="D277" s="12"/>
      <x:c r="E277" s="13" t="str">
        <x:f>IF($A277="","",IF(NOT(ISNUMBER($A277)),"Enter a real date",IF(OR($B277="",$C277="",$D277=""),"Complete holiday fields",IF(COUNTIF('Team Setup'!$H$10:$H$59,$C277)&lt;&gt;1,"Check office location",IF($D277="All","Ready",IF(COUNTIFS('Team Setup'!$H$64:$H$163,$D277,'Team Setup'!$I$64:$I$163,$C277)=1,"Ready","Check group and location"))))))</x:f>
      </x:c>
      <x:c r="F277" s="2"/>
      <x:c r="G277" s="12"/>
      <x:c r="H277" s="20"/>
      <x:c r="I277" s="14"/>
      <x:c r="J277" s="13" t="str">
        <x:f>IF($G277="","",IF(OR(NOT(ISNUMBER($H277)),NOT(ISNUMBER($I277)),$I277&lt;=0),"Complete PTO fields",IF(COUNTIF('Team Setup'!$A$10:$A$34,$G277)=1,"Ready","Check member name")))</x:f>
      </x:c>
    </x:row>
    <x:row r="278">
      <x:c r="A278" s="20"/>
      <x:c r="B278" s="12"/>
      <x:c r="C278" s="12"/>
      <x:c r="D278" s="12"/>
      <x:c r="E278" s="13" t="str">
        <x:f>IF($A278="","",IF(NOT(ISNUMBER($A278)),"Enter a real date",IF(OR($B278="",$C278="",$D278=""),"Complete holiday fields",IF(COUNTIF('Team Setup'!$H$10:$H$59,$C278)&lt;&gt;1,"Check office location",IF($D278="All","Ready",IF(COUNTIFS('Team Setup'!$H$64:$H$163,$D278,'Team Setup'!$I$64:$I$163,$C278)=1,"Ready","Check group and location"))))))</x:f>
      </x:c>
      <x:c r="F278" s="2"/>
      <x:c r="G278" s="12"/>
      <x:c r="H278" s="20"/>
      <x:c r="I278" s="14"/>
      <x:c r="J278" s="13" t="str">
        <x:f>IF($G278="","",IF(OR(NOT(ISNUMBER($H278)),NOT(ISNUMBER($I278)),$I278&lt;=0),"Complete PTO fields",IF(COUNTIF('Team Setup'!$A$10:$A$34,$G278)=1,"Ready","Check member name")))</x:f>
      </x:c>
    </x:row>
    <x:row r="279">
      <x:c r="A279" s="20"/>
      <x:c r="B279" s="12"/>
      <x:c r="C279" s="12"/>
      <x:c r="D279" s="12"/>
      <x:c r="E279" s="13" t="str">
        <x:f>IF($A279="","",IF(NOT(ISNUMBER($A279)),"Enter a real date",IF(OR($B279="",$C279="",$D279=""),"Complete holiday fields",IF(COUNTIF('Team Setup'!$H$10:$H$59,$C279)&lt;&gt;1,"Check office location",IF($D279="All","Ready",IF(COUNTIFS('Team Setup'!$H$64:$H$163,$D279,'Team Setup'!$I$64:$I$163,$C279)=1,"Ready","Check group and location"))))))</x:f>
      </x:c>
      <x:c r="F279" s="2"/>
      <x:c r="G279" s="12"/>
      <x:c r="H279" s="20"/>
      <x:c r="I279" s="14"/>
      <x:c r="J279" s="13" t="str">
        <x:f>IF($G279="","",IF(OR(NOT(ISNUMBER($H279)),NOT(ISNUMBER($I279)),$I279&lt;=0),"Complete PTO fields",IF(COUNTIF('Team Setup'!$A$10:$A$34,$G279)=1,"Ready","Check member name")))</x:f>
      </x:c>
    </x:row>
    <x:row r="280">
      <x:c r="A280" s="20"/>
      <x:c r="B280" s="12"/>
      <x:c r="C280" s="12"/>
      <x:c r="D280" s="12"/>
      <x:c r="E280" s="13" t="str">
        <x:f>IF($A280="","",IF(NOT(ISNUMBER($A280)),"Enter a real date",IF(OR($B280="",$C280="",$D280=""),"Complete holiday fields",IF(COUNTIF('Team Setup'!$H$10:$H$59,$C280)&lt;&gt;1,"Check office location",IF($D280="All","Ready",IF(COUNTIFS('Team Setup'!$H$64:$H$163,$D280,'Team Setup'!$I$64:$I$163,$C280)=1,"Ready","Check group and location"))))))</x:f>
      </x:c>
      <x:c r="F280" s="2"/>
      <x:c r="G280" s="12"/>
      <x:c r="H280" s="20"/>
      <x:c r="I280" s="14"/>
      <x:c r="J280" s="13" t="str">
        <x:f>IF($G280="","",IF(OR(NOT(ISNUMBER($H280)),NOT(ISNUMBER($I280)),$I280&lt;=0),"Complete PTO fields",IF(COUNTIF('Team Setup'!$A$10:$A$34,$G280)=1,"Ready","Check member name")))</x:f>
      </x:c>
    </x:row>
    <x:row r="281">
      <x:c r="A281" s="20"/>
      <x:c r="B281" s="12"/>
      <x:c r="C281" s="12"/>
      <x:c r="D281" s="12"/>
      <x:c r="E281" s="13" t="str">
        <x:f>IF($A281="","",IF(NOT(ISNUMBER($A281)),"Enter a real date",IF(OR($B281="",$C281="",$D281=""),"Complete holiday fields",IF(COUNTIF('Team Setup'!$H$10:$H$59,$C281)&lt;&gt;1,"Check office location",IF($D281="All","Ready",IF(COUNTIFS('Team Setup'!$H$64:$H$163,$D281,'Team Setup'!$I$64:$I$163,$C281)=1,"Ready","Check group and location"))))))</x:f>
      </x:c>
      <x:c r="F281" s="2"/>
      <x:c r="G281" s="12"/>
      <x:c r="H281" s="20"/>
      <x:c r="I281" s="14"/>
      <x:c r="J281" s="13" t="str">
        <x:f>IF($G281="","",IF(OR(NOT(ISNUMBER($H281)),NOT(ISNUMBER($I281)),$I281&lt;=0),"Complete PTO fields",IF(COUNTIF('Team Setup'!$A$10:$A$34,$G281)=1,"Ready","Check member name")))</x:f>
      </x:c>
    </x:row>
    <x:row r="282">
      <x:c r="A282" s="20"/>
      <x:c r="B282" s="12"/>
      <x:c r="C282" s="12"/>
      <x:c r="D282" s="12"/>
      <x:c r="E282" s="13" t="str">
        <x:f>IF($A282="","",IF(NOT(ISNUMBER($A282)),"Enter a real date",IF(OR($B282="",$C282="",$D282=""),"Complete holiday fields",IF(COUNTIF('Team Setup'!$H$10:$H$59,$C282)&lt;&gt;1,"Check office location",IF($D282="All","Ready",IF(COUNTIFS('Team Setup'!$H$64:$H$163,$D282,'Team Setup'!$I$64:$I$163,$C282)=1,"Ready","Check group and location"))))))</x:f>
      </x:c>
      <x:c r="F282" s="2"/>
      <x:c r="G282" s="12"/>
      <x:c r="H282" s="20"/>
      <x:c r="I282" s="14"/>
      <x:c r="J282" s="13" t="str">
        <x:f>IF($G282="","",IF(OR(NOT(ISNUMBER($H282)),NOT(ISNUMBER($I282)),$I282&lt;=0),"Complete PTO fields",IF(COUNTIF('Team Setup'!$A$10:$A$34,$G282)=1,"Ready","Check member name")))</x:f>
      </x:c>
    </x:row>
    <x:row r="283">
      <x:c r="A283" s="20"/>
      <x:c r="B283" s="12"/>
      <x:c r="C283" s="12"/>
      <x:c r="D283" s="12"/>
      <x:c r="E283" s="13" t="str">
        <x:f>IF($A283="","",IF(NOT(ISNUMBER($A283)),"Enter a real date",IF(OR($B283="",$C283="",$D283=""),"Complete holiday fields",IF(COUNTIF('Team Setup'!$H$10:$H$59,$C283)&lt;&gt;1,"Check office location",IF($D283="All","Ready",IF(COUNTIFS('Team Setup'!$H$64:$H$163,$D283,'Team Setup'!$I$64:$I$163,$C283)=1,"Ready","Check group and location"))))))</x:f>
      </x:c>
      <x:c r="F283" s="2"/>
      <x:c r="G283" s="12"/>
      <x:c r="H283" s="20"/>
      <x:c r="I283" s="14"/>
      <x:c r="J283" s="13" t="str">
        <x:f>IF($G283="","",IF(OR(NOT(ISNUMBER($H283)),NOT(ISNUMBER($I283)),$I283&lt;=0),"Complete PTO fields",IF(COUNTIF('Team Setup'!$A$10:$A$34,$G283)=1,"Ready","Check member name")))</x:f>
      </x:c>
    </x:row>
    <x:row r="284">
      <x:c r="A284" s="20"/>
      <x:c r="B284" s="12"/>
      <x:c r="C284" s="12"/>
      <x:c r="D284" s="12"/>
      <x:c r="E284" s="13" t="str">
        <x:f>IF($A284="","",IF(NOT(ISNUMBER($A284)),"Enter a real date",IF(OR($B284="",$C284="",$D284=""),"Complete holiday fields",IF(COUNTIF('Team Setup'!$H$10:$H$59,$C284)&lt;&gt;1,"Check office location",IF($D284="All","Ready",IF(COUNTIFS('Team Setup'!$H$64:$H$163,$D284,'Team Setup'!$I$64:$I$163,$C284)=1,"Ready","Check group and location"))))))</x:f>
      </x:c>
      <x:c r="F284" s="2"/>
      <x:c r="G284" s="12"/>
      <x:c r="H284" s="20"/>
      <x:c r="I284" s="14"/>
      <x:c r="J284" s="13" t="str">
        <x:f>IF($G284="","",IF(OR(NOT(ISNUMBER($H284)),NOT(ISNUMBER($I284)),$I284&lt;=0),"Complete PTO fields",IF(COUNTIF('Team Setup'!$A$10:$A$34,$G284)=1,"Ready","Check member name")))</x:f>
      </x:c>
    </x:row>
    <x:row r="285">
      <x:c r="A285" s="20"/>
      <x:c r="B285" s="12"/>
      <x:c r="C285" s="12"/>
      <x:c r="D285" s="12"/>
      <x:c r="E285" s="13" t="str">
        <x:f>IF($A285="","",IF(NOT(ISNUMBER($A285)),"Enter a real date",IF(OR($B285="",$C285="",$D285=""),"Complete holiday fields",IF(COUNTIF('Team Setup'!$H$10:$H$59,$C285)&lt;&gt;1,"Check office location",IF($D285="All","Ready",IF(COUNTIFS('Team Setup'!$H$64:$H$163,$D285,'Team Setup'!$I$64:$I$163,$C285)=1,"Ready","Check group and location"))))))</x:f>
      </x:c>
      <x:c r="F285" s="2"/>
      <x:c r="G285" s="12"/>
      <x:c r="H285" s="20"/>
      <x:c r="I285" s="14"/>
      <x:c r="J285" s="13" t="str">
        <x:f>IF($G285="","",IF(OR(NOT(ISNUMBER($H285)),NOT(ISNUMBER($I285)),$I285&lt;=0),"Complete PTO fields",IF(COUNTIF('Team Setup'!$A$10:$A$34,$G285)=1,"Ready","Check member name")))</x:f>
      </x:c>
    </x:row>
    <x:row r="286">
      <x:c r="A286" s="20"/>
      <x:c r="B286" s="12"/>
      <x:c r="C286" s="12"/>
      <x:c r="D286" s="12"/>
      <x:c r="E286" s="13" t="str">
        <x:f>IF($A286="","",IF(NOT(ISNUMBER($A286)),"Enter a real date",IF(OR($B286="",$C286="",$D286=""),"Complete holiday fields",IF(COUNTIF('Team Setup'!$H$10:$H$59,$C286)&lt;&gt;1,"Check office location",IF($D286="All","Ready",IF(COUNTIFS('Team Setup'!$H$64:$H$163,$D286,'Team Setup'!$I$64:$I$163,$C286)=1,"Ready","Check group and location"))))))</x:f>
      </x:c>
      <x:c r="F286" s="2"/>
      <x:c r="G286" s="12"/>
      <x:c r="H286" s="20"/>
      <x:c r="I286" s="14"/>
      <x:c r="J286" s="13" t="str">
        <x:f>IF($G286="","",IF(OR(NOT(ISNUMBER($H286)),NOT(ISNUMBER($I286)),$I286&lt;=0),"Complete PTO fields",IF(COUNTIF('Team Setup'!$A$10:$A$34,$G286)=1,"Ready","Check member name")))</x:f>
      </x:c>
    </x:row>
    <x:row r="287">
      <x:c r="A287" s="20"/>
      <x:c r="B287" s="12"/>
      <x:c r="C287" s="12"/>
      <x:c r="D287" s="12"/>
      <x:c r="E287" s="13" t="str">
        <x:f>IF($A287="","",IF(NOT(ISNUMBER($A287)),"Enter a real date",IF(OR($B287="",$C287="",$D287=""),"Complete holiday fields",IF(COUNTIF('Team Setup'!$H$10:$H$59,$C287)&lt;&gt;1,"Check office location",IF($D287="All","Ready",IF(COUNTIFS('Team Setup'!$H$64:$H$163,$D287,'Team Setup'!$I$64:$I$163,$C287)=1,"Ready","Check group and location"))))))</x:f>
      </x:c>
      <x:c r="F287" s="2"/>
      <x:c r="G287" s="12"/>
      <x:c r="H287" s="20"/>
      <x:c r="I287" s="14"/>
      <x:c r="J287" s="13" t="str">
        <x:f>IF($G287="","",IF(OR(NOT(ISNUMBER($H287)),NOT(ISNUMBER($I287)),$I287&lt;=0),"Complete PTO fields",IF(COUNTIF('Team Setup'!$A$10:$A$34,$G287)=1,"Ready","Check member name")))</x:f>
      </x:c>
    </x:row>
    <x:row r="288">
      <x:c r="A288" s="20"/>
      <x:c r="B288" s="12"/>
      <x:c r="C288" s="12"/>
      <x:c r="D288" s="12"/>
      <x:c r="E288" s="13" t="str">
        <x:f>IF($A288="","",IF(NOT(ISNUMBER($A288)),"Enter a real date",IF(OR($B288="",$C288="",$D288=""),"Complete holiday fields",IF(COUNTIF('Team Setup'!$H$10:$H$59,$C288)&lt;&gt;1,"Check office location",IF($D288="All","Ready",IF(COUNTIFS('Team Setup'!$H$64:$H$163,$D288,'Team Setup'!$I$64:$I$163,$C288)=1,"Ready","Check group and location"))))))</x:f>
      </x:c>
      <x:c r="F288" s="2"/>
      <x:c r="G288" s="12"/>
      <x:c r="H288" s="20"/>
      <x:c r="I288" s="14"/>
      <x:c r="J288" s="13" t="str">
        <x:f>IF($G288="","",IF(OR(NOT(ISNUMBER($H288)),NOT(ISNUMBER($I288)),$I288&lt;=0),"Complete PTO fields",IF(COUNTIF('Team Setup'!$A$10:$A$34,$G288)=1,"Ready","Check member name")))</x:f>
      </x:c>
    </x:row>
    <x:row r="289">
      <x:c r="A289" s="20"/>
      <x:c r="B289" s="12"/>
      <x:c r="C289" s="12"/>
      <x:c r="D289" s="12"/>
      <x:c r="E289" s="13" t="str">
        <x:f>IF($A289="","",IF(NOT(ISNUMBER($A289)),"Enter a real date",IF(OR($B289="",$C289="",$D289=""),"Complete holiday fields",IF(COUNTIF('Team Setup'!$H$10:$H$59,$C289)&lt;&gt;1,"Check office location",IF($D289="All","Ready",IF(COUNTIFS('Team Setup'!$H$64:$H$163,$D289,'Team Setup'!$I$64:$I$163,$C289)=1,"Ready","Check group and location"))))))</x:f>
      </x:c>
      <x:c r="F289" s="2"/>
      <x:c r="G289" s="12"/>
      <x:c r="H289" s="20"/>
      <x:c r="I289" s="14"/>
      <x:c r="J289" s="13" t="str">
        <x:f>IF($G289="","",IF(OR(NOT(ISNUMBER($H289)),NOT(ISNUMBER($I289)),$I289&lt;=0),"Complete PTO fields",IF(COUNTIF('Team Setup'!$A$10:$A$34,$G289)=1,"Ready","Check member name")))</x:f>
      </x:c>
    </x:row>
    <x:row r="290">
      <x:c r="A290" s="20"/>
      <x:c r="B290" s="12"/>
      <x:c r="C290" s="12"/>
      <x:c r="D290" s="12"/>
      <x:c r="E290" s="13" t="str">
        <x:f>IF($A290="","",IF(NOT(ISNUMBER($A290)),"Enter a real date",IF(OR($B290="",$C290="",$D290=""),"Complete holiday fields",IF(COUNTIF('Team Setup'!$H$10:$H$59,$C290)&lt;&gt;1,"Check office location",IF($D290="All","Ready",IF(COUNTIFS('Team Setup'!$H$64:$H$163,$D290,'Team Setup'!$I$64:$I$163,$C290)=1,"Ready","Check group and location"))))))</x:f>
      </x:c>
      <x:c r="F290" s="2"/>
      <x:c r="G290" s="12"/>
      <x:c r="H290" s="20"/>
      <x:c r="I290" s="14"/>
      <x:c r="J290" s="13" t="str">
        <x:f>IF($G290="","",IF(OR(NOT(ISNUMBER($H290)),NOT(ISNUMBER($I290)),$I290&lt;=0),"Complete PTO fields",IF(COUNTIF('Team Setup'!$A$10:$A$34,$G290)=1,"Ready","Check member name")))</x:f>
      </x:c>
    </x:row>
    <x:row r="291">
      <x:c r="A291" s="20"/>
      <x:c r="B291" s="12"/>
      <x:c r="C291" s="12"/>
      <x:c r="D291" s="12"/>
      <x:c r="E291" s="13" t="str">
        <x:f>IF($A291="","",IF(NOT(ISNUMBER($A291)),"Enter a real date",IF(OR($B291="",$C291="",$D291=""),"Complete holiday fields",IF(COUNTIF('Team Setup'!$H$10:$H$59,$C291)&lt;&gt;1,"Check office location",IF($D291="All","Ready",IF(COUNTIFS('Team Setup'!$H$64:$H$163,$D291,'Team Setup'!$I$64:$I$163,$C291)=1,"Ready","Check group and location"))))))</x:f>
      </x:c>
      <x:c r="F291" s="2"/>
      <x:c r="G291" s="12"/>
      <x:c r="H291" s="20"/>
      <x:c r="I291" s="14"/>
      <x:c r="J291" s="13" t="str">
        <x:f>IF($G291="","",IF(OR(NOT(ISNUMBER($H291)),NOT(ISNUMBER($I291)),$I291&lt;=0),"Complete PTO fields",IF(COUNTIF('Team Setup'!$A$10:$A$34,$G291)=1,"Ready","Check member name")))</x:f>
      </x:c>
    </x:row>
    <x:row r="292">
      <x:c r="A292" s="20"/>
      <x:c r="B292" s="12"/>
      <x:c r="C292" s="12"/>
      <x:c r="D292" s="12"/>
      <x:c r="E292" s="13" t="str">
        <x:f>IF($A292="","",IF(NOT(ISNUMBER($A292)),"Enter a real date",IF(OR($B292="",$C292="",$D292=""),"Complete holiday fields",IF(COUNTIF('Team Setup'!$H$10:$H$59,$C292)&lt;&gt;1,"Check office location",IF($D292="All","Ready",IF(COUNTIFS('Team Setup'!$H$64:$H$163,$D292,'Team Setup'!$I$64:$I$163,$C292)=1,"Ready","Check group and location"))))))</x:f>
      </x:c>
      <x:c r="F292" s="2"/>
      <x:c r="G292" s="12"/>
      <x:c r="H292" s="20"/>
      <x:c r="I292" s="14"/>
      <x:c r="J292" s="13" t="str">
        <x:f>IF($G292="","",IF(OR(NOT(ISNUMBER($H292)),NOT(ISNUMBER($I292)),$I292&lt;=0),"Complete PTO fields",IF(COUNTIF('Team Setup'!$A$10:$A$34,$G292)=1,"Ready","Check member name")))</x:f>
      </x:c>
    </x:row>
    <x:row r="293">
      <x:c r="A293" s="20"/>
      <x:c r="B293" s="12"/>
      <x:c r="C293" s="12"/>
      <x:c r="D293" s="12"/>
      <x:c r="E293" s="13" t="str">
        <x:f>IF($A293="","",IF(NOT(ISNUMBER($A293)),"Enter a real date",IF(OR($B293="",$C293="",$D293=""),"Complete holiday fields",IF(COUNTIF('Team Setup'!$H$10:$H$59,$C293)&lt;&gt;1,"Check office location",IF($D293="All","Ready",IF(COUNTIFS('Team Setup'!$H$64:$H$163,$D293,'Team Setup'!$I$64:$I$163,$C293)=1,"Ready","Check group and location"))))))</x:f>
      </x:c>
      <x:c r="F293" s="2"/>
      <x:c r="G293" s="12"/>
      <x:c r="H293" s="20"/>
      <x:c r="I293" s="14"/>
      <x:c r="J293" s="13" t="str">
        <x:f>IF($G293="","",IF(OR(NOT(ISNUMBER($H293)),NOT(ISNUMBER($I293)),$I293&lt;=0),"Complete PTO fields",IF(COUNTIF('Team Setup'!$A$10:$A$34,$G293)=1,"Ready","Check member name")))</x:f>
      </x:c>
    </x:row>
    <x:row r="294">
      <x:c r="A294" s="20"/>
      <x:c r="B294" s="12"/>
      <x:c r="C294" s="12"/>
      <x:c r="D294" s="12"/>
      <x:c r="E294" s="13" t="str">
        <x:f>IF($A294="","",IF(NOT(ISNUMBER($A294)),"Enter a real date",IF(OR($B294="",$C294="",$D294=""),"Complete holiday fields",IF(COUNTIF('Team Setup'!$H$10:$H$59,$C294)&lt;&gt;1,"Check office location",IF($D294="All","Ready",IF(COUNTIFS('Team Setup'!$H$64:$H$163,$D294,'Team Setup'!$I$64:$I$163,$C294)=1,"Ready","Check group and location"))))))</x:f>
      </x:c>
      <x:c r="F294" s="2"/>
      <x:c r="G294" s="12"/>
      <x:c r="H294" s="20"/>
      <x:c r="I294" s="14"/>
      <x:c r="J294" s="13" t="str">
        <x:f>IF($G294="","",IF(OR(NOT(ISNUMBER($H294)),NOT(ISNUMBER($I294)),$I294&lt;=0),"Complete PTO fields",IF(COUNTIF('Team Setup'!$A$10:$A$34,$G294)=1,"Ready","Check member name")))</x:f>
      </x:c>
    </x:row>
    <x:row r="295">
      <x:c r="A295" s="20"/>
      <x:c r="B295" s="12"/>
      <x:c r="C295" s="12"/>
      <x:c r="D295" s="12"/>
      <x:c r="E295" s="13" t="str">
        <x:f>IF($A295="","",IF(NOT(ISNUMBER($A295)),"Enter a real date",IF(OR($B295="",$C295="",$D295=""),"Complete holiday fields",IF(COUNTIF('Team Setup'!$H$10:$H$59,$C295)&lt;&gt;1,"Check office location",IF($D295="All","Ready",IF(COUNTIFS('Team Setup'!$H$64:$H$163,$D295,'Team Setup'!$I$64:$I$163,$C295)=1,"Ready","Check group and location"))))))</x:f>
      </x:c>
      <x:c r="F295" s="2"/>
      <x:c r="G295" s="12"/>
      <x:c r="H295" s="20"/>
      <x:c r="I295" s="14"/>
      <x:c r="J295" s="13" t="str">
        <x:f>IF($G295="","",IF(OR(NOT(ISNUMBER($H295)),NOT(ISNUMBER($I295)),$I295&lt;=0),"Complete PTO fields",IF(COUNTIF('Team Setup'!$A$10:$A$34,$G295)=1,"Ready","Check member name")))</x:f>
      </x:c>
    </x:row>
    <x:row r="296">
      <x:c r="A296" s="20"/>
      <x:c r="B296" s="12"/>
      <x:c r="C296" s="12"/>
      <x:c r="D296" s="12"/>
      <x:c r="E296" s="13" t="str">
        <x:f>IF($A296="","",IF(NOT(ISNUMBER($A296)),"Enter a real date",IF(OR($B296="",$C296="",$D296=""),"Complete holiday fields",IF(COUNTIF('Team Setup'!$H$10:$H$59,$C296)&lt;&gt;1,"Check office location",IF($D296="All","Ready",IF(COUNTIFS('Team Setup'!$H$64:$H$163,$D296,'Team Setup'!$I$64:$I$163,$C296)=1,"Ready","Check group and location"))))))</x:f>
      </x:c>
      <x:c r="F296" s="2"/>
      <x:c r="G296" s="12"/>
      <x:c r="H296" s="20"/>
      <x:c r="I296" s="14"/>
      <x:c r="J296" s="13" t="str">
        <x:f>IF($G296="","",IF(OR(NOT(ISNUMBER($H296)),NOT(ISNUMBER($I296)),$I296&lt;=0),"Complete PTO fields",IF(COUNTIF('Team Setup'!$A$10:$A$34,$G296)=1,"Ready","Check member name")))</x:f>
      </x:c>
    </x:row>
    <x:row r="297">
      <x:c r="A297" s="20"/>
      <x:c r="B297" s="12"/>
      <x:c r="C297" s="12"/>
      <x:c r="D297" s="12"/>
      <x:c r="E297" s="13" t="str">
        <x:f>IF($A297="","",IF(NOT(ISNUMBER($A297)),"Enter a real date",IF(OR($B297="",$C297="",$D297=""),"Complete holiday fields",IF(COUNTIF('Team Setup'!$H$10:$H$59,$C297)&lt;&gt;1,"Check office location",IF($D297="All","Ready",IF(COUNTIFS('Team Setup'!$H$64:$H$163,$D297,'Team Setup'!$I$64:$I$163,$C297)=1,"Ready","Check group and location"))))))</x:f>
      </x:c>
      <x:c r="F297" s="2"/>
      <x:c r="G297" s="12"/>
      <x:c r="H297" s="20"/>
      <x:c r="I297" s="14"/>
      <x:c r="J297" s="13" t="str">
        <x:f>IF($G297="","",IF(OR(NOT(ISNUMBER($H297)),NOT(ISNUMBER($I297)),$I297&lt;=0),"Complete PTO fields",IF(COUNTIF('Team Setup'!$A$10:$A$34,$G297)=1,"Ready","Check member name")))</x:f>
      </x:c>
    </x:row>
    <x:row r="298">
      <x:c r="A298" s="20"/>
      <x:c r="B298" s="12"/>
      <x:c r="C298" s="12"/>
      <x:c r="D298" s="12"/>
      <x:c r="E298" s="13" t="str">
        <x:f>IF($A298="","",IF(NOT(ISNUMBER($A298)),"Enter a real date",IF(OR($B298="",$C298="",$D298=""),"Complete holiday fields",IF(COUNTIF('Team Setup'!$H$10:$H$59,$C298)&lt;&gt;1,"Check office location",IF($D298="All","Ready",IF(COUNTIFS('Team Setup'!$H$64:$H$163,$D298,'Team Setup'!$I$64:$I$163,$C298)=1,"Ready","Check group and location"))))))</x:f>
      </x:c>
      <x:c r="F298" s="2"/>
      <x:c r="G298" s="12"/>
      <x:c r="H298" s="20"/>
      <x:c r="I298" s="14"/>
      <x:c r="J298" s="13" t="str">
        <x:f>IF($G298="","",IF(OR(NOT(ISNUMBER($H298)),NOT(ISNUMBER($I298)),$I298&lt;=0),"Complete PTO fields",IF(COUNTIF('Team Setup'!$A$10:$A$34,$G298)=1,"Ready","Check member name")))</x:f>
      </x:c>
    </x:row>
    <x:row r="299">
      <x:c r="A299" s="20"/>
      <x:c r="B299" s="12"/>
      <x:c r="C299" s="12"/>
      <x:c r="D299" s="12"/>
      <x:c r="E299" s="13" t="str">
        <x:f>IF($A299="","",IF(NOT(ISNUMBER($A299)),"Enter a real date",IF(OR($B299="",$C299="",$D299=""),"Complete holiday fields",IF(COUNTIF('Team Setup'!$H$10:$H$59,$C299)&lt;&gt;1,"Check office location",IF($D299="All","Ready",IF(COUNTIFS('Team Setup'!$H$64:$H$163,$D299,'Team Setup'!$I$64:$I$163,$C299)=1,"Ready","Check group and location"))))))</x:f>
      </x:c>
      <x:c r="F299" s="2"/>
      <x:c r="G299" s="12"/>
      <x:c r="H299" s="20"/>
      <x:c r="I299" s="14"/>
      <x:c r="J299" s="13" t="str">
        <x:f>IF($G299="","",IF(OR(NOT(ISNUMBER($H299)),NOT(ISNUMBER($I299)),$I299&lt;=0),"Complete PTO fields",IF(COUNTIF('Team Setup'!$A$10:$A$34,$G299)=1,"Ready","Check member name")))</x:f>
      </x:c>
    </x:row>
    <x:row r="300">
      <x:c r="A300" s="20"/>
      <x:c r="B300" s="12"/>
      <x:c r="C300" s="12"/>
      <x:c r="D300" s="12"/>
      <x:c r="E300" s="13" t="str">
        <x:f>IF($A300="","",IF(NOT(ISNUMBER($A300)),"Enter a real date",IF(OR($B300="",$C300="",$D300=""),"Complete holiday fields",IF(COUNTIF('Team Setup'!$H$10:$H$59,$C300)&lt;&gt;1,"Check office location",IF($D300="All","Ready",IF(COUNTIFS('Team Setup'!$H$64:$H$163,$D300,'Team Setup'!$I$64:$I$163,$C300)=1,"Ready","Check group and location"))))))</x:f>
      </x:c>
      <x:c r="F300" s="2"/>
      <x:c r="G300" s="12"/>
      <x:c r="H300" s="20"/>
      <x:c r="I300" s="14"/>
      <x:c r="J300" s="13" t="str">
        <x:f>IF($G300="","",IF(OR(NOT(ISNUMBER($H300)),NOT(ISNUMBER($I300)),$I300&lt;=0),"Complete PTO fields",IF(COUNTIF('Team Setup'!$A$10:$A$34,$G300)=1,"Ready","Check member name")))</x:f>
      </x:c>
    </x:row>
    <x:row r="301">
      <x:c r="A301" s="20"/>
      <x:c r="B301" s="12"/>
      <x:c r="C301" s="12"/>
      <x:c r="D301" s="12"/>
      <x:c r="E301" s="13" t="str">
        <x:f>IF($A301="","",IF(NOT(ISNUMBER($A301)),"Enter a real date",IF(OR($B301="",$C301="",$D301=""),"Complete holiday fields",IF(COUNTIF('Team Setup'!$H$10:$H$59,$C301)&lt;&gt;1,"Check office location",IF($D301="All","Ready",IF(COUNTIFS('Team Setup'!$H$64:$H$163,$D301,'Team Setup'!$I$64:$I$163,$C301)=1,"Ready","Check group and location"))))))</x:f>
      </x:c>
      <x:c r="F301" s="2"/>
      <x:c r="G301" s="12"/>
      <x:c r="H301" s="20"/>
      <x:c r="I301" s="14"/>
      <x:c r="J301" s="13" t="str">
        <x:f>IF($G301="","",IF(OR(NOT(ISNUMBER($H301)),NOT(ISNUMBER($I301)),$I301&lt;=0),"Complete PTO fields",IF(COUNTIF('Team Setup'!$A$10:$A$34,$G301)=1,"Ready","Check member name")))</x:f>
      </x:c>
    </x:row>
    <x:row r="302">
      <x:c r="A302" s="20"/>
      <x:c r="B302" s="12"/>
      <x:c r="C302" s="12"/>
      <x:c r="D302" s="12"/>
      <x:c r="E302" s="13" t="str">
        <x:f>IF($A302="","",IF(NOT(ISNUMBER($A302)),"Enter a real date",IF(OR($B302="",$C302="",$D302=""),"Complete holiday fields",IF(COUNTIF('Team Setup'!$H$10:$H$59,$C302)&lt;&gt;1,"Check office location",IF($D302="All","Ready",IF(COUNTIFS('Team Setup'!$H$64:$H$163,$D302,'Team Setup'!$I$64:$I$163,$C302)=1,"Ready","Check group and location"))))))</x:f>
      </x:c>
      <x:c r="F302" s="2"/>
      <x:c r="G302" s="12"/>
      <x:c r="H302" s="20"/>
      <x:c r="I302" s="14"/>
      <x:c r="J302" s="13" t="str">
        <x:f>IF($G302="","",IF(OR(NOT(ISNUMBER($H302)),NOT(ISNUMBER($I302)),$I302&lt;=0),"Complete PTO fields",IF(COUNTIF('Team Setup'!$A$10:$A$34,$G302)=1,"Ready","Check member name")))</x:f>
      </x:c>
    </x:row>
    <x:row r="303">
      <x:c r="A303" s="20"/>
      <x:c r="B303" s="12"/>
      <x:c r="C303" s="12"/>
      <x:c r="D303" s="12"/>
      <x:c r="E303" s="13" t="str">
        <x:f>IF($A303="","",IF(NOT(ISNUMBER($A303)),"Enter a real date",IF(OR($B303="",$C303="",$D303=""),"Complete holiday fields",IF(COUNTIF('Team Setup'!$H$10:$H$59,$C303)&lt;&gt;1,"Check office location",IF($D303="All","Ready",IF(COUNTIFS('Team Setup'!$H$64:$H$163,$D303,'Team Setup'!$I$64:$I$163,$C303)=1,"Ready","Check group and location"))))))</x:f>
      </x:c>
      <x:c r="F303" s="2"/>
      <x:c r="G303" s="12"/>
      <x:c r="H303" s="20"/>
      <x:c r="I303" s="14"/>
      <x:c r="J303" s="13" t="str">
        <x:f>IF($G303="","",IF(OR(NOT(ISNUMBER($H303)),NOT(ISNUMBER($I303)),$I303&lt;=0),"Complete PTO fields",IF(COUNTIF('Team Setup'!$A$10:$A$34,$G303)=1,"Ready","Check member name")))</x:f>
      </x:c>
    </x:row>
    <x:row r="304">
      <x:c r="A304" s="20"/>
      <x:c r="B304" s="12"/>
      <x:c r="C304" s="12"/>
      <x:c r="D304" s="12"/>
      <x:c r="E304" s="13" t="str">
        <x:f>IF($A304="","",IF(NOT(ISNUMBER($A304)),"Enter a real date",IF(OR($B304="",$C304="",$D304=""),"Complete holiday fields",IF(COUNTIF('Team Setup'!$H$10:$H$59,$C304)&lt;&gt;1,"Check office location",IF($D304="All","Ready",IF(COUNTIFS('Team Setup'!$H$64:$H$163,$D304,'Team Setup'!$I$64:$I$163,$C304)=1,"Ready","Check group and location"))))))</x:f>
      </x:c>
      <x:c r="F304" s="2"/>
      <x:c r="G304" s="12"/>
      <x:c r="H304" s="20"/>
      <x:c r="I304" s="14"/>
      <x:c r="J304" s="13" t="str">
        <x:f>IF($G304="","",IF(OR(NOT(ISNUMBER($H304)),NOT(ISNUMBER($I304)),$I304&lt;=0),"Complete PTO fields",IF(COUNTIF('Team Setup'!$A$10:$A$34,$G304)=1,"Ready","Check member name")))</x:f>
      </x:c>
    </x:row>
    <x:row r="305">
      <x:c r="A305" s="20"/>
      <x:c r="B305" s="12"/>
      <x:c r="C305" s="12"/>
      <x:c r="D305" s="12"/>
      <x:c r="E305" s="13" t="str">
        <x:f>IF($A305="","",IF(NOT(ISNUMBER($A305)),"Enter a real date",IF(OR($B305="",$C305="",$D305=""),"Complete holiday fields",IF(COUNTIF('Team Setup'!$H$10:$H$59,$C305)&lt;&gt;1,"Check office location",IF($D305="All","Ready",IF(COUNTIFS('Team Setup'!$H$64:$H$163,$D305,'Team Setup'!$I$64:$I$163,$C305)=1,"Ready","Check group and location"))))))</x:f>
      </x:c>
      <x:c r="F305" s="2"/>
      <x:c r="G305" s="12"/>
      <x:c r="H305" s="20"/>
      <x:c r="I305" s="14"/>
      <x:c r="J305" s="13" t="str">
        <x:f>IF($G305="","",IF(OR(NOT(ISNUMBER($H305)),NOT(ISNUMBER($I305)),$I305&lt;=0),"Complete PTO fields",IF(COUNTIF('Team Setup'!$A$10:$A$34,$G305)=1,"Ready","Check member name")))</x:f>
      </x:c>
    </x:row>
    <x:row r="306">
      <x:c r="A306" s="20"/>
      <x:c r="B306" s="12"/>
      <x:c r="C306" s="12"/>
      <x:c r="D306" s="12"/>
      <x:c r="E306" s="13" t="str">
        <x:f>IF($A306="","",IF(NOT(ISNUMBER($A306)),"Enter a real date",IF(OR($B306="",$C306="",$D306=""),"Complete holiday fields",IF(COUNTIF('Team Setup'!$H$10:$H$59,$C306)&lt;&gt;1,"Check office location",IF($D306="All","Ready",IF(COUNTIFS('Team Setup'!$H$64:$H$163,$D306,'Team Setup'!$I$64:$I$163,$C306)=1,"Ready","Check group and location"))))))</x:f>
      </x:c>
      <x:c r="F306" s="2"/>
      <x:c r="G306" s="12"/>
      <x:c r="H306" s="20"/>
      <x:c r="I306" s="14"/>
      <x:c r="J306" s="13" t="str">
        <x:f>IF($G306="","",IF(OR(NOT(ISNUMBER($H306)),NOT(ISNUMBER($I306)),$I306&lt;=0),"Complete PTO fields",IF(COUNTIF('Team Setup'!$A$10:$A$34,$G306)=1,"Ready","Check member name")))</x:f>
      </x:c>
    </x:row>
    <x:row r="307">
      <x:c r="A307" s="20"/>
      <x:c r="B307" s="12"/>
      <x:c r="C307" s="12"/>
      <x:c r="D307" s="12"/>
      <x:c r="E307" s="13" t="str">
        <x:f>IF($A307="","",IF(NOT(ISNUMBER($A307)),"Enter a real date",IF(OR($B307="",$C307="",$D307=""),"Complete holiday fields",IF(COUNTIF('Team Setup'!$H$10:$H$59,$C307)&lt;&gt;1,"Check office location",IF($D307="All","Ready",IF(COUNTIFS('Team Setup'!$H$64:$H$163,$D307,'Team Setup'!$I$64:$I$163,$C307)=1,"Ready","Check group and location"))))))</x:f>
      </x:c>
      <x:c r="F307" s="2"/>
      <x:c r="G307" s="12"/>
      <x:c r="H307" s="20"/>
      <x:c r="I307" s="14"/>
      <x:c r="J307" s="13" t="str">
        <x:f>IF($G307="","",IF(OR(NOT(ISNUMBER($H307)),NOT(ISNUMBER($I307)),$I307&lt;=0),"Complete PTO fields",IF(COUNTIF('Team Setup'!$A$10:$A$34,$G307)=1,"Ready","Check member name")))</x:f>
      </x:c>
    </x:row>
    <x:row r="308">
      <x:c r="A308" s="20"/>
      <x:c r="B308" s="12"/>
      <x:c r="C308" s="12"/>
      <x:c r="D308" s="12"/>
      <x:c r="E308" s="13" t="str">
        <x:f>IF($A308="","",IF(NOT(ISNUMBER($A308)),"Enter a real date",IF(OR($B308="",$C308="",$D308=""),"Complete holiday fields",IF(COUNTIF('Team Setup'!$H$10:$H$59,$C308)&lt;&gt;1,"Check office location",IF($D308="All","Ready",IF(COUNTIFS('Team Setup'!$H$64:$H$163,$D308,'Team Setup'!$I$64:$I$163,$C308)=1,"Ready","Check group and location"))))))</x:f>
      </x:c>
      <x:c r="F308" s="2"/>
      <x:c r="G308" s="12"/>
      <x:c r="H308" s="20"/>
      <x:c r="I308" s="14"/>
      <x:c r="J308" s="13" t="str">
        <x:f>IF($G308="","",IF(OR(NOT(ISNUMBER($H308)),NOT(ISNUMBER($I308)),$I308&lt;=0),"Complete PTO fields",IF(COUNTIF('Team Setup'!$A$10:$A$34,$G308)=1,"Ready","Check member name")))</x:f>
      </x:c>
    </x:row>
    <x:row r="309">
      <x:c r="A309" s="20"/>
      <x:c r="B309" s="12"/>
      <x:c r="C309" s="12"/>
      <x:c r="D309" s="12"/>
      <x:c r="E309" s="13" t="str">
        <x:f>IF($A309="","",IF(NOT(ISNUMBER($A309)),"Enter a real date",IF(OR($B309="",$C309="",$D309=""),"Complete holiday fields",IF(COUNTIF('Team Setup'!$H$10:$H$59,$C309)&lt;&gt;1,"Check office location",IF($D309="All","Ready",IF(COUNTIFS('Team Setup'!$H$64:$H$163,$D309,'Team Setup'!$I$64:$I$163,$C309)=1,"Ready","Check group and location"))))))</x:f>
      </x:c>
      <x:c r="F309" s="2"/>
      <x:c r="G309" s="12"/>
      <x:c r="H309" s="20"/>
      <x:c r="I309" s="14"/>
      <x:c r="J309" s="13" t="str">
        <x:f>IF($G309="","",IF(OR(NOT(ISNUMBER($H309)),NOT(ISNUMBER($I309)),$I309&lt;=0),"Complete PTO fields",IF(COUNTIF('Team Setup'!$A$10:$A$34,$G309)=1,"Ready","Check member name")))</x:f>
      </x:c>
    </x:row>
    <x:row r="310">
      <x:c r="A310" s="20"/>
      <x:c r="B310" s="12"/>
      <x:c r="C310" s="12"/>
      <x:c r="D310" s="12"/>
      <x:c r="E310" s="13" t="str">
        <x:f>IF($A310="","",IF(NOT(ISNUMBER($A310)),"Enter a real date",IF(OR($B310="",$C310="",$D310=""),"Complete holiday fields",IF(COUNTIF('Team Setup'!$H$10:$H$59,$C310)&lt;&gt;1,"Check office location",IF($D310="All","Ready",IF(COUNTIFS('Team Setup'!$H$64:$H$163,$D310,'Team Setup'!$I$64:$I$163,$C310)=1,"Ready","Check group and location"))))))</x:f>
      </x:c>
      <x:c r="F310" s="2"/>
      <x:c r="G310" s="12"/>
      <x:c r="H310" s="20"/>
      <x:c r="I310" s="14"/>
      <x:c r="J310" s="13" t="str">
        <x:f>IF($G310="","",IF(OR(NOT(ISNUMBER($H310)),NOT(ISNUMBER($I310)),$I310&lt;=0),"Complete PTO fields",IF(COUNTIF('Team Setup'!$A$10:$A$34,$G310)=1,"Ready","Check member name")))</x:f>
      </x:c>
    </x:row>
    <x:row r="311">
      <x:c r="A311" s="20"/>
      <x:c r="B311" s="12"/>
      <x:c r="C311" s="12"/>
      <x:c r="D311" s="12"/>
      <x:c r="E311" s="13" t="str">
        <x:f>IF($A311="","",IF(NOT(ISNUMBER($A311)),"Enter a real date",IF(OR($B311="",$C311="",$D311=""),"Complete holiday fields",IF(COUNTIF('Team Setup'!$H$10:$H$59,$C311)&lt;&gt;1,"Check office location",IF($D311="All","Ready",IF(COUNTIFS('Team Setup'!$H$64:$H$163,$D311,'Team Setup'!$I$64:$I$163,$C311)=1,"Ready","Check group and location"))))))</x:f>
      </x:c>
      <x:c r="F311" s="2"/>
      <x:c r="G311" s="12"/>
      <x:c r="H311" s="20"/>
      <x:c r="I311" s="14"/>
      <x:c r="J311" s="13" t="str">
        <x:f>IF($G311="","",IF(OR(NOT(ISNUMBER($H311)),NOT(ISNUMBER($I311)),$I311&lt;=0),"Complete PTO fields",IF(COUNTIF('Team Setup'!$A$10:$A$34,$G311)=1,"Ready","Check member name")))</x:f>
      </x:c>
    </x:row>
    <x:row r="312">
      <x:c r="A312" s="20"/>
      <x:c r="B312" s="12"/>
      <x:c r="C312" s="12"/>
      <x:c r="D312" s="12"/>
      <x:c r="E312" s="13" t="str">
        <x:f>IF($A312="","",IF(NOT(ISNUMBER($A312)),"Enter a real date",IF(OR($B312="",$C312="",$D312=""),"Complete holiday fields",IF(COUNTIF('Team Setup'!$H$10:$H$59,$C312)&lt;&gt;1,"Check office location",IF($D312="All","Ready",IF(COUNTIFS('Team Setup'!$H$64:$H$163,$D312,'Team Setup'!$I$64:$I$163,$C312)=1,"Ready","Check group and location"))))))</x:f>
      </x:c>
      <x:c r="F312" s="2"/>
      <x:c r="G312" s="12"/>
      <x:c r="H312" s="20"/>
      <x:c r="I312" s="14"/>
      <x:c r="J312" s="13" t="str">
        <x:f>IF($G312="","",IF(OR(NOT(ISNUMBER($H312)),NOT(ISNUMBER($I312)),$I312&lt;=0),"Complete PTO fields",IF(COUNTIF('Team Setup'!$A$10:$A$34,$G312)=1,"Ready","Check member name")))</x:f>
      </x:c>
    </x:row>
    <x:row r="313">
      <x:c r="A313" s="20"/>
      <x:c r="B313" s="12"/>
      <x:c r="C313" s="12"/>
      <x:c r="D313" s="12"/>
      <x:c r="E313" s="13" t="str">
        <x:f>IF($A313="","",IF(NOT(ISNUMBER($A313)),"Enter a real date",IF(OR($B313="",$C313="",$D313=""),"Complete holiday fields",IF(COUNTIF('Team Setup'!$H$10:$H$59,$C313)&lt;&gt;1,"Check office location",IF($D313="All","Ready",IF(COUNTIFS('Team Setup'!$H$64:$H$163,$D313,'Team Setup'!$I$64:$I$163,$C313)=1,"Ready","Check group and location"))))))</x:f>
      </x:c>
      <x:c r="F313" s="2"/>
      <x:c r="G313" s="12"/>
      <x:c r="H313" s="20"/>
      <x:c r="I313" s="14"/>
      <x:c r="J313" s="13" t="str">
        <x:f>IF($G313="","",IF(OR(NOT(ISNUMBER($H313)),NOT(ISNUMBER($I313)),$I313&lt;=0),"Complete PTO fields",IF(COUNTIF('Team Setup'!$A$10:$A$34,$G313)=1,"Ready","Check member name")))</x:f>
      </x:c>
    </x:row>
    <x:row r="314">
      <x:c r="A314" s="20"/>
      <x:c r="B314" s="12"/>
      <x:c r="C314" s="12"/>
      <x:c r="D314" s="12"/>
      <x:c r="E314" s="13" t="str">
        <x:f>IF($A314="","",IF(NOT(ISNUMBER($A314)),"Enter a real date",IF(OR($B314="",$C314="",$D314=""),"Complete holiday fields",IF(COUNTIF('Team Setup'!$H$10:$H$59,$C314)&lt;&gt;1,"Check office location",IF($D314="All","Ready",IF(COUNTIFS('Team Setup'!$H$64:$H$163,$D314,'Team Setup'!$I$64:$I$163,$C314)=1,"Ready","Check group and location"))))))</x:f>
      </x:c>
      <x:c r="F314" s="2"/>
      <x:c r="G314" s="12"/>
      <x:c r="H314" s="20"/>
      <x:c r="I314" s="14"/>
      <x:c r="J314" s="13" t="str">
        <x:f>IF($G314="","",IF(OR(NOT(ISNUMBER($H314)),NOT(ISNUMBER($I314)),$I314&lt;=0),"Complete PTO fields",IF(COUNTIF('Team Setup'!$A$10:$A$34,$G314)=1,"Ready","Check member name")))</x:f>
      </x:c>
    </x:row>
    <x:row r="315">
      <x:c r="A315" s="20"/>
      <x:c r="B315" s="12"/>
      <x:c r="C315" s="12"/>
      <x:c r="D315" s="12"/>
      <x:c r="E315" s="13" t="str">
        <x:f>IF($A315="","",IF(NOT(ISNUMBER($A315)),"Enter a real date",IF(OR($B315="",$C315="",$D315=""),"Complete holiday fields",IF(COUNTIF('Team Setup'!$H$10:$H$59,$C315)&lt;&gt;1,"Check office location",IF($D315="All","Ready",IF(COUNTIFS('Team Setup'!$H$64:$H$163,$D315,'Team Setup'!$I$64:$I$163,$C315)=1,"Ready","Check group and location"))))))</x:f>
      </x:c>
      <x:c r="F315" s="2"/>
      <x:c r="G315" s="12"/>
      <x:c r="H315" s="20"/>
      <x:c r="I315" s="14"/>
      <x:c r="J315" s="13" t="str">
        <x:f>IF($G315="","",IF(OR(NOT(ISNUMBER($H315)),NOT(ISNUMBER($I315)),$I315&lt;=0),"Complete PTO fields",IF(COUNTIF('Team Setup'!$A$10:$A$34,$G315)=1,"Ready","Check member name")))</x:f>
      </x:c>
    </x:row>
    <x:row r="316">
      <x:c r="A316" s="20"/>
      <x:c r="B316" s="12"/>
      <x:c r="C316" s="12"/>
      <x:c r="D316" s="12"/>
      <x:c r="E316" s="13" t="str">
        <x:f>IF($A316="","",IF(NOT(ISNUMBER($A316)),"Enter a real date",IF(OR($B316="",$C316="",$D316=""),"Complete holiday fields",IF(COUNTIF('Team Setup'!$H$10:$H$59,$C316)&lt;&gt;1,"Check office location",IF($D316="All","Ready",IF(COUNTIFS('Team Setup'!$H$64:$H$163,$D316,'Team Setup'!$I$64:$I$163,$C316)=1,"Ready","Check group and location"))))))</x:f>
      </x:c>
      <x:c r="F316" s="2"/>
      <x:c r="G316" s="12"/>
      <x:c r="H316" s="20"/>
      <x:c r="I316" s="14"/>
      <x:c r="J316" s="13" t="str">
        <x:f>IF($G316="","",IF(OR(NOT(ISNUMBER($H316)),NOT(ISNUMBER($I316)),$I316&lt;=0),"Complete PTO fields",IF(COUNTIF('Team Setup'!$A$10:$A$34,$G316)=1,"Ready","Check member name")))</x:f>
      </x:c>
    </x:row>
    <x:row r="317">
      <x:c r="A317" s="20"/>
      <x:c r="B317" s="12"/>
      <x:c r="C317" s="12"/>
      <x:c r="D317" s="12"/>
      <x:c r="E317" s="13" t="str">
        <x:f>IF($A317="","",IF(NOT(ISNUMBER($A317)),"Enter a real date",IF(OR($B317="",$C317="",$D317=""),"Complete holiday fields",IF(COUNTIF('Team Setup'!$H$10:$H$59,$C317)&lt;&gt;1,"Check office location",IF($D317="All","Ready",IF(COUNTIFS('Team Setup'!$H$64:$H$163,$D317,'Team Setup'!$I$64:$I$163,$C317)=1,"Ready","Check group and location"))))))</x:f>
      </x:c>
      <x:c r="F317" s="2"/>
      <x:c r="G317" s="12"/>
      <x:c r="H317" s="20"/>
      <x:c r="I317" s="14"/>
      <x:c r="J317" s="13" t="str">
        <x:f>IF($G317="","",IF(OR(NOT(ISNUMBER($H317)),NOT(ISNUMBER($I317)),$I317&lt;=0),"Complete PTO fields",IF(COUNTIF('Team Setup'!$A$10:$A$34,$G317)=1,"Ready","Check member name")))</x:f>
      </x:c>
    </x:row>
    <x:row r="318">
      <x:c r="A318" s="20"/>
      <x:c r="B318" s="12"/>
      <x:c r="C318" s="12"/>
      <x:c r="D318" s="12"/>
      <x:c r="E318" s="13" t="str">
        <x:f>IF($A318="","",IF(NOT(ISNUMBER($A318)),"Enter a real date",IF(OR($B318="",$C318="",$D318=""),"Complete holiday fields",IF(COUNTIF('Team Setup'!$H$10:$H$59,$C318)&lt;&gt;1,"Check office location",IF($D318="All","Ready",IF(COUNTIFS('Team Setup'!$H$64:$H$163,$D318,'Team Setup'!$I$64:$I$163,$C318)=1,"Ready","Check group and location"))))))</x:f>
      </x:c>
      <x:c r="F318" s="2"/>
      <x:c r="G318" s="12"/>
      <x:c r="H318" s="20"/>
      <x:c r="I318" s="14"/>
      <x:c r="J318" s="13" t="str">
        <x:f>IF($G318="","",IF(OR(NOT(ISNUMBER($H318)),NOT(ISNUMBER($I318)),$I318&lt;=0),"Complete PTO fields",IF(COUNTIF('Team Setup'!$A$10:$A$34,$G318)=1,"Ready","Check member name")))</x:f>
      </x:c>
    </x:row>
    <x:row r="319">
      <x:c r="A319" s="20"/>
      <x:c r="B319" s="12"/>
      <x:c r="C319" s="12"/>
      <x:c r="D319" s="12"/>
      <x:c r="E319" s="13" t="str">
        <x:f>IF($A319="","",IF(NOT(ISNUMBER($A319)),"Enter a real date",IF(OR($B319="",$C319="",$D319=""),"Complete holiday fields",IF(COUNTIF('Team Setup'!$H$10:$H$59,$C319)&lt;&gt;1,"Check office location",IF($D319="All","Ready",IF(COUNTIFS('Team Setup'!$H$64:$H$163,$D319,'Team Setup'!$I$64:$I$163,$C319)=1,"Ready","Check group and location"))))))</x:f>
      </x:c>
      <x:c r="F319" s="2"/>
      <x:c r="G319" s="12"/>
      <x:c r="H319" s="20"/>
      <x:c r="I319" s="14"/>
      <x:c r="J319" s="13" t="str">
        <x:f>IF($G319="","",IF(OR(NOT(ISNUMBER($H319)),NOT(ISNUMBER($I319)),$I319&lt;=0),"Complete PTO fields",IF(COUNTIF('Team Setup'!$A$10:$A$34,$G319)=1,"Ready","Check member name")))</x:f>
      </x:c>
    </x:row>
    <x:row r="320">
      <x:c r="A320" s="20"/>
      <x:c r="B320" s="12"/>
      <x:c r="C320" s="12"/>
      <x:c r="D320" s="12"/>
      <x:c r="E320" s="13" t="str">
        <x:f>IF($A320="","",IF(NOT(ISNUMBER($A320)),"Enter a real date",IF(OR($B320="",$C320="",$D320=""),"Complete holiday fields",IF(COUNTIF('Team Setup'!$H$10:$H$59,$C320)&lt;&gt;1,"Check office location",IF($D320="All","Ready",IF(COUNTIFS('Team Setup'!$H$64:$H$163,$D320,'Team Setup'!$I$64:$I$163,$C320)=1,"Ready","Check group and location"))))))</x:f>
      </x:c>
      <x:c r="F320" s="2"/>
      <x:c r="G320" s="12"/>
      <x:c r="H320" s="20"/>
      <x:c r="I320" s="14"/>
      <x:c r="J320" s="13" t="str">
        <x:f>IF($G320="","",IF(OR(NOT(ISNUMBER($H320)),NOT(ISNUMBER($I320)),$I320&lt;=0),"Complete PTO fields",IF(COUNTIF('Team Setup'!$A$10:$A$34,$G320)=1,"Ready","Check member name")))</x:f>
      </x:c>
    </x:row>
    <x:row r="321">
      <x:c r="A321" s="20"/>
      <x:c r="B321" s="12"/>
      <x:c r="C321" s="12"/>
      <x:c r="D321" s="12"/>
      <x:c r="E321" s="13" t="str">
        <x:f>IF($A321="","",IF(NOT(ISNUMBER($A321)),"Enter a real date",IF(OR($B321="",$C321="",$D321=""),"Complete holiday fields",IF(COUNTIF('Team Setup'!$H$10:$H$59,$C321)&lt;&gt;1,"Check office location",IF($D321="All","Ready",IF(COUNTIFS('Team Setup'!$H$64:$H$163,$D321,'Team Setup'!$I$64:$I$163,$C321)=1,"Ready","Check group and location"))))))</x:f>
      </x:c>
      <x:c r="F321" s="2"/>
      <x:c r="G321" s="12"/>
      <x:c r="H321" s="20"/>
      <x:c r="I321" s="14"/>
      <x:c r="J321" s="13" t="str">
        <x:f>IF($G321="","",IF(OR(NOT(ISNUMBER($H321)),NOT(ISNUMBER($I321)),$I321&lt;=0),"Complete PTO fields",IF(COUNTIF('Team Setup'!$A$10:$A$34,$G321)=1,"Ready","Check member name")))</x:f>
      </x:c>
    </x:row>
    <x:row r="322">
      <x:c r="A322" s="20"/>
      <x:c r="B322" s="12"/>
      <x:c r="C322" s="12"/>
      <x:c r="D322" s="12"/>
      <x:c r="E322" s="13" t="str">
        <x:f>IF($A322="","",IF(NOT(ISNUMBER($A322)),"Enter a real date",IF(OR($B322="",$C322="",$D322=""),"Complete holiday fields",IF(COUNTIF('Team Setup'!$H$10:$H$59,$C322)&lt;&gt;1,"Check office location",IF($D322="All","Ready",IF(COUNTIFS('Team Setup'!$H$64:$H$163,$D322,'Team Setup'!$I$64:$I$163,$C322)=1,"Ready","Check group and location"))))))</x:f>
      </x:c>
      <x:c r="F322" s="2"/>
      <x:c r="G322" s="12"/>
      <x:c r="H322" s="20"/>
      <x:c r="I322" s="14"/>
      <x:c r="J322" s="13" t="str">
        <x:f>IF($G322="","",IF(OR(NOT(ISNUMBER($H322)),NOT(ISNUMBER($I322)),$I322&lt;=0),"Complete PTO fields",IF(COUNTIF('Team Setup'!$A$10:$A$34,$G322)=1,"Ready","Check member name")))</x:f>
      </x:c>
    </x:row>
    <x:row r="323">
      <x:c r="A323" s="20"/>
      <x:c r="B323" s="12"/>
      <x:c r="C323" s="12"/>
      <x:c r="D323" s="12"/>
      <x:c r="E323" s="13" t="str">
        <x:f>IF($A323="","",IF(NOT(ISNUMBER($A323)),"Enter a real date",IF(OR($B323="",$C323="",$D323=""),"Complete holiday fields",IF(COUNTIF('Team Setup'!$H$10:$H$59,$C323)&lt;&gt;1,"Check office location",IF($D323="All","Ready",IF(COUNTIFS('Team Setup'!$H$64:$H$163,$D323,'Team Setup'!$I$64:$I$163,$C323)=1,"Ready","Check group and location"))))))</x:f>
      </x:c>
      <x:c r="F323" s="2"/>
      <x:c r="G323" s="12"/>
      <x:c r="H323" s="20"/>
      <x:c r="I323" s="14"/>
      <x:c r="J323" s="13" t="str">
        <x:f>IF($G323="","",IF(OR(NOT(ISNUMBER($H323)),NOT(ISNUMBER($I323)),$I323&lt;=0),"Complete PTO fields",IF(COUNTIF('Team Setup'!$A$10:$A$34,$G323)=1,"Ready","Check member name")))</x:f>
      </x:c>
    </x:row>
    <x:row r="324">
      <x:c r="A324" s="20"/>
      <x:c r="B324" s="12"/>
      <x:c r="C324" s="12"/>
      <x:c r="D324" s="12"/>
      <x:c r="E324" s="13" t="str">
        <x:f>IF($A324="","",IF(NOT(ISNUMBER($A324)),"Enter a real date",IF(OR($B324="",$C324="",$D324=""),"Complete holiday fields",IF(COUNTIF('Team Setup'!$H$10:$H$59,$C324)&lt;&gt;1,"Check office location",IF($D324="All","Ready",IF(COUNTIFS('Team Setup'!$H$64:$H$163,$D324,'Team Setup'!$I$64:$I$163,$C324)=1,"Ready","Check group and location"))))))</x:f>
      </x:c>
      <x:c r="F324" s="2"/>
      <x:c r="G324" s="12"/>
      <x:c r="H324" s="20"/>
      <x:c r="I324" s="14"/>
      <x:c r="J324" s="13" t="str">
        <x:f>IF($G324="","",IF(OR(NOT(ISNUMBER($H324)),NOT(ISNUMBER($I324)),$I324&lt;=0),"Complete PTO fields",IF(COUNTIF('Team Setup'!$A$10:$A$34,$G324)=1,"Ready","Check member name")))</x:f>
      </x:c>
    </x:row>
    <x:row r="325">
      <x:c r="A325" s="20"/>
      <x:c r="B325" s="12"/>
      <x:c r="C325" s="12"/>
      <x:c r="D325" s="12"/>
      <x:c r="E325" s="13" t="str">
        <x:f>IF($A325="","",IF(NOT(ISNUMBER($A325)),"Enter a real date",IF(OR($B325="",$C325="",$D325=""),"Complete holiday fields",IF(COUNTIF('Team Setup'!$H$10:$H$59,$C325)&lt;&gt;1,"Check office location",IF($D325="All","Ready",IF(COUNTIFS('Team Setup'!$H$64:$H$163,$D325,'Team Setup'!$I$64:$I$163,$C325)=1,"Ready","Check group and location"))))))</x:f>
      </x:c>
      <x:c r="F325" s="2"/>
      <x:c r="G325" s="12"/>
      <x:c r="H325" s="20"/>
      <x:c r="I325" s="14"/>
      <x:c r="J325" s="13" t="str">
        <x:f>IF($G325="","",IF(OR(NOT(ISNUMBER($H325)),NOT(ISNUMBER($I325)),$I325&lt;=0),"Complete PTO fields",IF(COUNTIF('Team Setup'!$A$10:$A$34,$G325)=1,"Ready","Check member name")))</x:f>
      </x:c>
    </x:row>
    <x:row r="326">
      <x:c r="A326" s="20"/>
      <x:c r="B326" s="12"/>
      <x:c r="C326" s="12"/>
      <x:c r="D326" s="12"/>
      <x:c r="E326" s="13" t="str">
        <x:f>IF($A326="","",IF(NOT(ISNUMBER($A326)),"Enter a real date",IF(OR($B326="",$C326="",$D326=""),"Complete holiday fields",IF(COUNTIF('Team Setup'!$H$10:$H$59,$C326)&lt;&gt;1,"Check office location",IF($D326="All","Ready",IF(COUNTIFS('Team Setup'!$H$64:$H$163,$D326,'Team Setup'!$I$64:$I$163,$C326)=1,"Ready","Check group and location"))))))</x:f>
      </x:c>
      <x:c r="F326" s="2"/>
      <x:c r="G326" s="12"/>
      <x:c r="H326" s="20"/>
      <x:c r="I326" s="14"/>
      <x:c r="J326" s="13" t="str">
        <x:f>IF($G326="","",IF(OR(NOT(ISNUMBER($H326)),NOT(ISNUMBER($I326)),$I326&lt;=0),"Complete PTO fields",IF(COUNTIF('Team Setup'!$A$10:$A$34,$G326)=1,"Ready","Check member name")))</x:f>
      </x:c>
    </x:row>
    <x:row r="327">
      <x:c r="A327" s="20"/>
      <x:c r="B327" s="12"/>
      <x:c r="C327" s="12"/>
      <x:c r="D327" s="12"/>
      <x:c r="E327" s="13" t="str">
        <x:f>IF($A327="","",IF(NOT(ISNUMBER($A327)),"Enter a real date",IF(OR($B327="",$C327="",$D327=""),"Complete holiday fields",IF(COUNTIF('Team Setup'!$H$10:$H$59,$C327)&lt;&gt;1,"Check office location",IF($D327="All","Ready",IF(COUNTIFS('Team Setup'!$H$64:$H$163,$D327,'Team Setup'!$I$64:$I$163,$C327)=1,"Ready","Check group and location"))))))</x:f>
      </x:c>
      <x:c r="F327" s="2"/>
      <x:c r="G327" s="12"/>
      <x:c r="H327" s="20"/>
      <x:c r="I327" s="14"/>
      <x:c r="J327" s="13" t="str">
        <x:f>IF($G327="","",IF(OR(NOT(ISNUMBER($H327)),NOT(ISNUMBER($I327)),$I327&lt;=0),"Complete PTO fields",IF(COUNTIF('Team Setup'!$A$10:$A$34,$G327)=1,"Ready","Check member name")))</x:f>
      </x:c>
    </x:row>
    <x:row r="328">
      <x:c r="A328" s="20"/>
      <x:c r="B328" s="12"/>
      <x:c r="C328" s="12"/>
      <x:c r="D328" s="12"/>
      <x:c r="E328" s="13" t="str">
        <x:f>IF($A328="","",IF(NOT(ISNUMBER($A328)),"Enter a real date",IF(OR($B328="",$C328="",$D328=""),"Complete holiday fields",IF(COUNTIF('Team Setup'!$H$10:$H$59,$C328)&lt;&gt;1,"Check office location",IF($D328="All","Ready",IF(COUNTIFS('Team Setup'!$H$64:$H$163,$D328,'Team Setup'!$I$64:$I$163,$C328)=1,"Ready","Check group and location"))))))</x:f>
      </x:c>
      <x:c r="F328" s="2"/>
      <x:c r="G328" s="12"/>
      <x:c r="H328" s="20"/>
      <x:c r="I328" s="14"/>
      <x:c r="J328" s="13" t="str">
        <x:f>IF($G328="","",IF(OR(NOT(ISNUMBER($H328)),NOT(ISNUMBER($I328)),$I328&lt;=0),"Complete PTO fields",IF(COUNTIF('Team Setup'!$A$10:$A$34,$G328)=1,"Ready","Check member name")))</x:f>
      </x:c>
    </x:row>
    <x:row r="329">
      <x:c r="A329" s="20"/>
      <x:c r="B329" s="12"/>
      <x:c r="C329" s="12"/>
      <x:c r="D329" s="12"/>
      <x:c r="E329" s="13" t="str">
        <x:f>IF($A329="","",IF(NOT(ISNUMBER($A329)),"Enter a real date",IF(OR($B329="",$C329="",$D329=""),"Complete holiday fields",IF(COUNTIF('Team Setup'!$H$10:$H$59,$C329)&lt;&gt;1,"Check office location",IF($D329="All","Ready",IF(COUNTIFS('Team Setup'!$H$64:$H$163,$D329,'Team Setup'!$I$64:$I$163,$C329)=1,"Ready","Check group and location"))))))</x:f>
      </x:c>
      <x:c r="F329" s="2"/>
      <x:c r="G329" s="12"/>
      <x:c r="H329" s="20"/>
      <x:c r="I329" s="14"/>
      <x:c r="J329" s="13" t="str">
        <x:f>IF($G329="","",IF(OR(NOT(ISNUMBER($H329)),NOT(ISNUMBER($I329)),$I329&lt;=0),"Complete PTO fields",IF(COUNTIF('Team Setup'!$A$10:$A$34,$G329)=1,"Ready","Check member name")))</x:f>
      </x:c>
    </x:row>
    <x:row r="330">
      <x:c r="A330" s="20"/>
      <x:c r="B330" s="12"/>
      <x:c r="C330" s="12"/>
      <x:c r="D330" s="12"/>
      <x:c r="E330" s="13" t="str">
        <x:f>IF($A330="","",IF(NOT(ISNUMBER($A330)),"Enter a real date",IF(OR($B330="",$C330="",$D330=""),"Complete holiday fields",IF(COUNTIF('Team Setup'!$H$10:$H$59,$C330)&lt;&gt;1,"Check office location",IF($D330="All","Ready",IF(COUNTIFS('Team Setup'!$H$64:$H$163,$D330,'Team Setup'!$I$64:$I$163,$C330)=1,"Ready","Check group and location"))))))</x:f>
      </x:c>
      <x:c r="F330" s="2"/>
      <x:c r="G330" s="12"/>
      <x:c r="H330" s="20"/>
      <x:c r="I330" s="14"/>
      <x:c r="J330" s="13" t="str">
        <x:f>IF($G330="","",IF(OR(NOT(ISNUMBER($H330)),NOT(ISNUMBER($I330)),$I330&lt;=0),"Complete PTO fields",IF(COUNTIF('Team Setup'!$A$10:$A$34,$G330)=1,"Ready","Check member name")))</x:f>
      </x:c>
    </x:row>
    <x:row r="331">
      <x:c r="A331" s="20"/>
      <x:c r="B331" s="12"/>
      <x:c r="C331" s="12"/>
      <x:c r="D331" s="12"/>
      <x:c r="E331" s="13" t="str">
        <x:f>IF($A331="","",IF(NOT(ISNUMBER($A331)),"Enter a real date",IF(OR($B331="",$C331="",$D331=""),"Complete holiday fields",IF(COUNTIF('Team Setup'!$H$10:$H$59,$C331)&lt;&gt;1,"Check office location",IF($D331="All","Ready",IF(COUNTIFS('Team Setup'!$H$64:$H$163,$D331,'Team Setup'!$I$64:$I$163,$C331)=1,"Ready","Check group and location"))))))</x:f>
      </x:c>
      <x:c r="F331" s="2"/>
      <x:c r="G331" s="12"/>
      <x:c r="H331" s="20"/>
      <x:c r="I331" s="14"/>
      <x:c r="J331" s="13" t="str">
        <x:f>IF($G331="","",IF(OR(NOT(ISNUMBER($H331)),NOT(ISNUMBER($I331)),$I331&lt;=0),"Complete PTO fields",IF(COUNTIF('Team Setup'!$A$10:$A$34,$G331)=1,"Ready","Check member name")))</x:f>
      </x:c>
    </x:row>
    <x:row r="332">
      <x:c r="A332" s="20"/>
      <x:c r="B332" s="12"/>
      <x:c r="C332" s="12"/>
      <x:c r="D332" s="12"/>
      <x:c r="E332" s="13" t="str">
        <x:f>IF($A332="","",IF(NOT(ISNUMBER($A332)),"Enter a real date",IF(OR($B332="",$C332="",$D332=""),"Complete holiday fields",IF(COUNTIF('Team Setup'!$H$10:$H$59,$C332)&lt;&gt;1,"Check office location",IF($D332="All","Ready",IF(COUNTIFS('Team Setup'!$H$64:$H$163,$D332,'Team Setup'!$I$64:$I$163,$C332)=1,"Ready","Check group and location"))))))</x:f>
      </x:c>
      <x:c r="F332" s="2"/>
      <x:c r="G332" s="12"/>
      <x:c r="H332" s="20"/>
      <x:c r="I332" s="14"/>
      <x:c r="J332" s="13" t="str">
        <x:f>IF($G332="","",IF(OR(NOT(ISNUMBER($H332)),NOT(ISNUMBER($I332)),$I332&lt;=0),"Complete PTO fields",IF(COUNTIF('Team Setup'!$A$10:$A$34,$G332)=1,"Ready","Check member name")))</x:f>
      </x:c>
    </x:row>
    <x:row r="333">
      <x:c r="A333" s="20"/>
      <x:c r="B333" s="12"/>
      <x:c r="C333" s="12"/>
      <x:c r="D333" s="12"/>
      <x:c r="E333" s="13" t="str">
        <x:f>IF($A333="","",IF(NOT(ISNUMBER($A333)),"Enter a real date",IF(OR($B333="",$C333="",$D333=""),"Complete holiday fields",IF(COUNTIF('Team Setup'!$H$10:$H$59,$C333)&lt;&gt;1,"Check office location",IF($D333="All","Ready",IF(COUNTIFS('Team Setup'!$H$64:$H$163,$D333,'Team Setup'!$I$64:$I$163,$C333)=1,"Ready","Check group and location"))))))</x:f>
      </x:c>
      <x:c r="F333" s="2"/>
      <x:c r="G333" s="12"/>
      <x:c r="H333" s="20"/>
      <x:c r="I333" s="14"/>
      <x:c r="J333" s="13" t="str">
        <x:f>IF($G333="","",IF(OR(NOT(ISNUMBER($H333)),NOT(ISNUMBER($I333)),$I333&lt;=0),"Complete PTO fields",IF(COUNTIF('Team Setup'!$A$10:$A$34,$G333)=1,"Ready","Check member name")))</x:f>
      </x:c>
    </x:row>
    <x:row r="334">
      <x:c r="A334" s="20"/>
      <x:c r="B334" s="12"/>
      <x:c r="C334" s="12"/>
      <x:c r="D334" s="12"/>
      <x:c r="E334" s="13" t="str">
        <x:f>IF($A334="","",IF(NOT(ISNUMBER($A334)),"Enter a real date",IF(OR($B334="",$C334="",$D334=""),"Complete holiday fields",IF(COUNTIF('Team Setup'!$H$10:$H$59,$C334)&lt;&gt;1,"Check office location",IF($D334="All","Ready",IF(COUNTIFS('Team Setup'!$H$64:$H$163,$D334,'Team Setup'!$I$64:$I$163,$C334)=1,"Ready","Check group and location"))))))</x:f>
      </x:c>
      <x:c r="F334" s="2"/>
      <x:c r="G334" s="12"/>
      <x:c r="H334" s="20"/>
      <x:c r="I334" s="14"/>
      <x:c r="J334" s="13" t="str">
        <x:f>IF($G334="","",IF(OR(NOT(ISNUMBER($H334)),NOT(ISNUMBER($I334)),$I334&lt;=0),"Complete PTO fields",IF(COUNTIF('Team Setup'!$A$10:$A$34,$G334)=1,"Ready","Check member name")))</x:f>
      </x:c>
    </x:row>
    <x:row r="335">
      <x:c r="A335" s="20"/>
      <x:c r="B335" s="12"/>
      <x:c r="C335" s="12"/>
      <x:c r="D335" s="12"/>
      <x:c r="E335" s="13" t="str">
        <x:f>IF($A335="","",IF(NOT(ISNUMBER($A335)),"Enter a real date",IF(OR($B335="",$C335="",$D335=""),"Complete holiday fields",IF(COUNTIF('Team Setup'!$H$10:$H$59,$C335)&lt;&gt;1,"Check office location",IF($D335="All","Ready",IF(COUNTIFS('Team Setup'!$H$64:$H$163,$D335,'Team Setup'!$I$64:$I$163,$C335)=1,"Ready","Check group and location"))))))</x:f>
      </x:c>
      <x:c r="F335" s="2"/>
      <x:c r="G335" s="12"/>
      <x:c r="H335" s="20"/>
      <x:c r="I335" s="14"/>
      <x:c r="J335" s="13" t="str">
        <x:f>IF($G335="","",IF(OR(NOT(ISNUMBER($H335)),NOT(ISNUMBER($I335)),$I335&lt;=0),"Complete PTO fields",IF(COUNTIF('Team Setup'!$A$10:$A$34,$G335)=1,"Ready","Check member name")))</x:f>
      </x:c>
    </x:row>
    <x:row r="336">
      <x:c r="A336" s="20"/>
      <x:c r="B336" s="12"/>
      <x:c r="C336" s="12"/>
      <x:c r="D336" s="12"/>
      <x:c r="E336" s="13" t="str">
        <x:f>IF($A336="","",IF(NOT(ISNUMBER($A336)),"Enter a real date",IF(OR($B336="",$C336="",$D336=""),"Complete holiday fields",IF(COUNTIF('Team Setup'!$H$10:$H$59,$C336)&lt;&gt;1,"Check office location",IF($D336="All","Ready",IF(COUNTIFS('Team Setup'!$H$64:$H$163,$D336,'Team Setup'!$I$64:$I$163,$C336)=1,"Ready","Check group and location"))))))</x:f>
      </x:c>
      <x:c r="F336" s="2"/>
      <x:c r="G336" s="12"/>
      <x:c r="H336" s="20"/>
      <x:c r="I336" s="14"/>
      <x:c r="J336" s="13" t="str">
        <x:f>IF($G336="","",IF(OR(NOT(ISNUMBER($H336)),NOT(ISNUMBER($I336)),$I336&lt;=0),"Complete PTO fields",IF(COUNTIF('Team Setup'!$A$10:$A$34,$G336)=1,"Ready","Check member name")))</x:f>
      </x:c>
    </x:row>
    <x:row r="337">
      <x:c r="A337" s="20"/>
      <x:c r="B337" s="12"/>
      <x:c r="C337" s="12"/>
      <x:c r="D337" s="12"/>
      <x:c r="E337" s="13" t="str">
        <x:f>IF($A337="","",IF(NOT(ISNUMBER($A337)),"Enter a real date",IF(OR($B337="",$C337="",$D337=""),"Complete holiday fields",IF(COUNTIF('Team Setup'!$H$10:$H$59,$C337)&lt;&gt;1,"Check office location",IF($D337="All","Ready",IF(COUNTIFS('Team Setup'!$H$64:$H$163,$D337,'Team Setup'!$I$64:$I$163,$C337)=1,"Ready","Check group and location"))))))</x:f>
      </x:c>
      <x:c r="F337" s="2"/>
      <x:c r="G337" s="12"/>
      <x:c r="H337" s="20"/>
      <x:c r="I337" s="14"/>
      <x:c r="J337" s="13" t="str">
        <x:f>IF($G337="","",IF(OR(NOT(ISNUMBER($H337)),NOT(ISNUMBER($I337)),$I337&lt;=0),"Complete PTO fields",IF(COUNTIF('Team Setup'!$A$10:$A$34,$G337)=1,"Ready","Check member name")))</x:f>
      </x:c>
    </x:row>
    <x:row r="338">
      <x:c r="A338" s="20"/>
      <x:c r="B338" s="12"/>
      <x:c r="C338" s="12"/>
      <x:c r="D338" s="12"/>
      <x:c r="E338" s="13" t="str">
        <x:f>IF($A338="","",IF(NOT(ISNUMBER($A338)),"Enter a real date",IF(OR($B338="",$C338="",$D338=""),"Complete holiday fields",IF(COUNTIF('Team Setup'!$H$10:$H$59,$C338)&lt;&gt;1,"Check office location",IF($D338="All","Ready",IF(COUNTIFS('Team Setup'!$H$64:$H$163,$D338,'Team Setup'!$I$64:$I$163,$C338)=1,"Ready","Check group and location"))))))</x:f>
      </x:c>
      <x:c r="F338" s="2"/>
      <x:c r="G338" s="12"/>
      <x:c r="H338" s="20"/>
      <x:c r="I338" s="14"/>
      <x:c r="J338" s="13" t="str">
        <x:f>IF($G338="","",IF(OR(NOT(ISNUMBER($H338)),NOT(ISNUMBER($I338)),$I338&lt;=0),"Complete PTO fields",IF(COUNTIF('Team Setup'!$A$10:$A$34,$G338)=1,"Ready","Check member name")))</x:f>
      </x:c>
    </x:row>
    <x:row r="339">
      <x:c r="A339" s="20"/>
      <x:c r="B339" s="12"/>
      <x:c r="C339" s="12"/>
      <x:c r="D339" s="12"/>
      <x:c r="E339" s="13" t="str">
        <x:f>IF($A339="","",IF(NOT(ISNUMBER($A339)),"Enter a real date",IF(OR($B339="",$C339="",$D339=""),"Complete holiday fields",IF(COUNTIF('Team Setup'!$H$10:$H$59,$C339)&lt;&gt;1,"Check office location",IF($D339="All","Ready",IF(COUNTIFS('Team Setup'!$H$64:$H$163,$D339,'Team Setup'!$I$64:$I$163,$C339)=1,"Ready","Check group and location"))))))</x:f>
      </x:c>
      <x:c r="F339" s="2"/>
      <x:c r="G339" s="12"/>
      <x:c r="H339" s="20"/>
      <x:c r="I339" s="14"/>
      <x:c r="J339" s="13" t="str">
        <x:f>IF($G339="","",IF(OR(NOT(ISNUMBER($H339)),NOT(ISNUMBER($I339)),$I339&lt;=0),"Complete PTO fields",IF(COUNTIF('Team Setup'!$A$10:$A$34,$G339)=1,"Ready","Check member name")))</x:f>
      </x:c>
    </x:row>
    <x:row r="340">
      <x:c r="A340" s="20"/>
      <x:c r="B340" s="12"/>
      <x:c r="C340" s="12"/>
      <x:c r="D340" s="12"/>
      <x:c r="E340" s="13" t="str">
        <x:f>IF($A340="","",IF(NOT(ISNUMBER($A340)),"Enter a real date",IF(OR($B340="",$C340="",$D340=""),"Complete holiday fields",IF(COUNTIF('Team Setup'!$H$10:$H$59,$C340)&lt;&gt;1,"Check office location",IF($D340="All","Ready",IF(COUNTIFS('Team Setup'!$H$64:$H$163,$D340,'Team Setup'!$I$64:$I$163,$C340)=1,"Ready","Check group and location"))))))</x:f>
      </x:c>
      <x:c r="F340" s="2"/>
      <x:c r="G340" s="12"/>
      <x:c r="H340" s="20"/>
      <x:c r="I340" s="14"/>
      <x:c r="J340" s="13" t="str">
        <x:f>IF($G340="","",IF(OR(NOT(ISNUMBER($H340)),NOT(ISNUMBER($I340)),$I340&lt;=0),"Complete PTO fields",IF(COUNTIF('Team Setup'!$A$10:$A$34,$G340)=1,"Ready","Check member name")))</x:f>
      </x:c>
    </x:row>
    <x:row r="341">
      <x:c r="A341" s="20"/>
      <x:c r="B341" s="12"/>
      <x:c r="C341" s="12"/>
      <x:c r="D341" s="12"/>
      <x:c r="E341" s="13" t="str">
        <x:f>IF($A341="","",IF(NOT(ISNUMBER($A341)),"Enter a real date",IF(OR($B341="",$C341="",$D341=""),"Complete holiday fields",IF(COUNTIF('Team Setup'!$H$10:$H$59,$C341)&lt;&gt;1,"Check office location",IF($D341="All","Ready",IF(COUNTIFS('Team Setup'!$H$64:$H$163,$D341,'Team Setup'!$I$64:$I$163,$C341)=1,"Ready","Check group and location"))))))</x:f>
      </x:c>
      <x:c r="F341" s="2"/>
      <x:c r="G341" s="12"/>
      <x:c r="H341" s="20"/>
      <x:c r="I341" s="14"/>
      <x:c r="J341" s="13" t="str">
        <x:f>IF($G341="","",IF(OR(NOT(ISNUMBER($H341)),NOT(ISNUMBER($I341)),$I341&lt;=0),"Complete PTO fields",IF(COUNTIF('Team Setup'!$A$10:$A$34,$G341)=1,"Ready","Check member name")))</x:f>
      </x:c>
    </x:row>
    <x:row r="342">
      <x:c r="A342" s="20"/>
      <x:c r="B342" s="12"/>
      <x:c r="C342" s="12"/>
      <x:c r="D342" s="12"/>
      <x:c r="E342" s="13" t="str">
        <x:f>IF($A342="","",IF(NOT(ISNUMBER($A342)),"Enter a real date",IF(OR($B342="",$C342="",$D342=""),"Complete holiday fields",IF(COUNTIF('Team Setup'!$H$10:$H$59,$C342)&lt;&gt;1,"Check office location",IF($D342="All","Ready",IF(COUNTIFS('Team Setup'!$H$64:$H$163,$D342,'Team Setup'!$I$64:$I$163,$C342)=1,"Ready","Check group and location"))))))</x:f>
      </x:c>
      <x:c r="F342" s="2"/>
      <x:c r="G342" s="12"/>
      <x:c r="H342" s="20"/>
      <x:c r="I342" s="14"/>
      <x:c r="J342" s="13" t="str">
        <x:f>IF($G342="","",IF(OR(NOT(ISNUMBER($H342)),NOT(ISNUMBER($I342)),$I342&lt;=0),"Complete PTO fields",IF(COUNTIF('Team Setup'!$A$10:$A$34,$G342)=1,"Ready","Check member name")))</x:f>
      </x:c>
    </x:row>
    <x:row r="343">
      <x:c r="A343" s="20"/>
      <x:c r="B343" s="12"/>
      <x:c r="C343" s="12"/>
      <x:c r="D343" s="12"/>
      <x:c r="E343" s="13" t="str">
        <x:f>IF($A343="","",IF(NOT(ISNUMBER($A343)),"Enter a real date",IF(OR($B343="",$C343="",$D343=""),"Complete holiday fields",IF(COUNTIF('Team Setup'!$H$10:$H$59,$C343)&lt;&gt;1,"Check office location",IF($D343="All","Ready",IF(COUNTIFS('Team Setup'!$H$64:$H$163,$D343,'Team Setup'!$I$64:$I$163,$C343)=1,"Ready","Check group and location"))))))</x:f>
      </x:c>
      <x:c r="F343" s="2"/>
      <x:c r="G343" s="12"/>
      <x:c r="H343" s="20"/>
      <x:c r="I343" s="14"/>
      <x:c r="J343" s="13" t="str">
        <x:f>IF($G343="","",IF(OR(NOT(ISNUMBER($H343)),NOT(ISNUMBER($I343)),$I343&lt;=0),"Complete PTO fields",IF(COUNTIF('Team Setup'!$A$10:$A$34,$G343)=1,"Ready","Check member name")))</x:f>
      </x:c>
    </x:row>
    <x:row r="344">
      <x:c r="A344" s="20"/>
      <x:c r="B344" s="12"/>
      <x:c r="C344" s="12"/>
      <x:c r="D344" s="12"/>
      <x:c r="E344" s="13" t="str">
        <x:f>IF($A344="","",IF(NOT(ISNUMBER($A344)),"Enter a real date",IF(OR($B344="",$C344="",$D344=""),"Complete holiday fields",IF(COUNTIF('Team Setup'!$H$10:$H$59,$C344)&lt;&gt;1,"Check office location",IF($D344="All","Ready",IF(COUNTIFS('Team Setup'!$H$64:$H$163,$D344,'Team Setup'!$I$64:$I$163,$C344)=1,"Ready","Check group and location"))))))</x:f>
      </x:c>
      <x:c r="F344" s="2"/>
      <x:c r="G344" s="12"/>
      <x:c r="H344" s="20"/>
      <x:c r="I344" s="14"/>
      <x:c r="J344" s="13" t="str">
        <x:f>IF($G344="","",IF(OR(NOT(ISNUMBER($H344)),NOT(ISNUMBER($I344)),$I344&lt;=0),"Complete PTO fields",IF(COUNTIF('Team Setup'!$A$10:$A$34,$G344)=1,"Ready","Check member name")))</x:f>
      </x:c>
    </x:row>
    <x:row r="345">
      <x:c r="A345" s="20"/>
      <x:c r="B345" s="12"/>
      <x:c r="C345" s="12"/>
      <x:c r="D345" s="12"/>
      <x:c r="E345" s="13" t="str">
        <x:f>IF($A345="","",IF(NOT(ISNUMBER($A345)),"Enter a real date",IF(OR($B345="",$C345="",$D345=""),"Complete holiday fields",IF(COUNTIF('Team Setup'!$H$10:$H$59,$C345)&lt;&gt;1,"Check office location",IF($D345="All","Ready",IF(COUNTIFS('Team Setup'!$H$64:$H$163,$D345,'Team Setup'!$I$64:$I$163,$C345)=1,"Ready","Check group and location"))))))</x:f>
      </x:c>
      <x:c r="F345" s="2"/>
      <x:c r="G345" s="12"/>
      <x:c r="H345" s="20"/>
      <x:c r="I345" s="14"/>
      <x:c r="J345" s="13" t="str">
        <x:f>IF($G345="","",IF(OR(NOT(ISNUMBER($H345)),NOT(ISNUMBER($I345)),$I345&lt;=0),"Complete PTO fields",IF(COUNTIF('Team Setup'!$A$10:$A$34,$G345)=1,"Ready","Check member name")))</x:f>
      </x:c>
    </x:row>
    <x:row r="346">
      <x:c r="A346" s="20"/>
      <x:c r="B346" s="12"/>
      <x:c r="C346" s="12"/>
      <x:c r="D346" s="12"/>
      <x:c r="E346" s="13" t="str">
        <x:f>IF($A346="","",IF(NOT(ISNUMBER($A346)),"Enter a real date",IF(OR($B346="",$C346="",$D346=""),"Complete holiday fields",IF(COUNTIF('Team Setup'!$H$10:$H$59,$C346)&lt;&gt;1,"Check office location",IF($D346="All","Ready",IF(COUNTIFS('Team Setup'!$H$64:$H$163,$D346,'Team Setup'!$I$64:$I$163,$C346)=1,"Ready","Check group and location"))))))</x:f>
      </x:c>
      <x:c r="F346" s="2"/>
      <x:c r="G346" s="12"/>
      <x:c r="H346" s="20"/>
      <x:c r="I346" s="14"/>
      <x:c r="J346" s="13" t="str">
        <x:f>IF($G346="","",IF(OR(NOT(ISNUMBER($H346)),NOT(ISNUMBER($I346)),$I346&lt;=0),"Complete PTO fields",IF(COUNTIF('Team Setup'!$A$10:$A$34,$G346)=1,"Ready","Check member name")))</x:f>
      </x:c>
    </x:row>
    <x:row r="347">
      <x:c r="A347" s="20"/>
      <x:c r="B347" s="12"/>
      <x:c r="C347" s="12"/>
      <x:c r="D347" s="12"/>
      <x:c r="E347" s="13" t="str">
        <x:f>IF($A347="","",IF(NOT(ISNUMBER($A347)),"Enter a real date",IF(OR($B347="",$C347="",$D347=""),"Complete holiday fields",IF(COUNTIF('Team Setup'!$H$10:$H$59,$C347)&lt;&gt;1,"Check office location",IF($D347="All","Ready",IF(COUNTIFS('Team Setup'!$H$64:$H$163,$D347,'Team Setup'!$I$64:$I$163,$C347)=1,"Ready","Check group and location"))))))</x:f>
      </x:c>
      <x:c r="F347" s="2"/>
      <x:c r="G347" s="12"/>
      <x:c r="H347" s="20"/>
      <x:c r="I347" s="14"/>
      <x:c r="J347" s="13" t="str">
        <x:f>IF($G347="","",IF(OR(NOT(ISNUMBER($H347)),NOT(ISNUMBER($I347)),$I347&lt;=0),"Complete PTO fields",IF(COUNTIF('Team Setup'!$A$10:$A$34,$G347)=1,"Ready","Check member name")))</x:f>
      </x:c>
    </x:row>
    <x:row r="348">
      <x:c r="A348" s="20"/>
      <x:c r="B348" s="12"/>
      <x:c r="C348" s="12"/>
      <x:c r="D348" s="12"/>
      <x:c r="E348" s="13" t="str">
        <x:f>IF($A348="","",IF(NOT(ISNUMBER($A348)),"Enter a real date",IF(OR($B348="",$C348="",$D348=""),"Complete holiday fields",IF(COUNTIF('Team Setup'!$H$10:$H$59,$C348)&lt;&gt;1,"Check office location",IF($D348="All","Ready",IF(COUNTIFS('Team Setup'!$H$64:$H$163,$D348,'Team Setup'!$I$64:$I$163,$C348)=1,"Ready","Check group and location"))))))</x:f>
      </x:c>
      <x:c r="F348" s="2"/>
      <x:c r="G348" s="12"/>
      <x:c r="H348" s="20"/>
      <x:c r="I348" s="14"/>
      <x:c r="J348" s="13" t="str">
        <x:f>IF($G348="","",IF(OR(NOT(ISNUMBER($H348)),NOT(ISNUMBER($I348)),$I348&lt;=0),"Complete PTO fields",IF(COUNTIF('Team Setup'!$A$10:$A$34,$G348)=1,"Ready","Check member name")))</x:f>
      </x:c>
    </x:row>
    <x:row r="349">
      <x:c r="A349" s="20"/>
      <x:c r="B349" s="12"/>
      <x:c r="C349" s="12"/>
      <x:c r="D349" s="12"/>
      <x:c r="E349" s="13" t="str">
        <x:f>IF($A349="","",IF(NOT(ISNUMBER($A349)),"Enter a real date",IF(OR($B349="",$C349="",$D349=""),"Complete holiday fields",IF(COUNTIF('Team Setup'!$H$10:$H$59,$C349)&lt;&gt;1,"Check office location",IF($D349="All","Ready",IF(COUNTIFS('Team Setup'!$H$64:$H$163,$D349,'Team Setup'!$I$64:$I$163,$C349)=1,"Ready","Check group and location"))))))</x:f>
      </x:c>
      <x:c r="F349" s="2"/>
      <x:c r="G349" s="12"/>
      <x:c r="H349" s="20"/>
      <x:c r="I349" s="14"/>
      <x:c r="J349" s="13" t="str">
        <x:f>IF($G349="","",IF(OR(NOT(ISNUMBER($H349)),NOT(ISNUMBER($I349)),$I349&lt;=0),"Complete PTO fields",IF(COUNTIF('Team Setup'!$A$10:$A$34,$G349)=1,"Ready","Check member name")))</x:f>
      </x:c>
    </x:row>
    <x:row r="350">
      <x:c r="A350" s="20"/>
      <x:c r="B350" s="12"/>
      <x:c r="C350" s="12"/>
      <x:c r="D350" s="12"/>
      <x:c r="E350" s="13" t="str">
        <x:f>IF($A350="","",IF(NOT(ISNUMBER($A350)),"Enter a real date",IF(OR($B350="",$C350="",$D350=""),"Complete holiday fields",IF(COUNTIF('Team Setup'!$H$10:$H$59,$C350)&lt;&gt;1,"Check office location",IF($D350="All","Ready",IF(COUNTIFS('Team Setup'!$H$64:$H$163,$D350,'Team Setup'!$I$64:$I$163,$C350)=1,"Ready","Check group and location"))))))</x:f>
      </x:c>
      <x:c r="F350" s="2"/>
      <x:c r="G350" s="12"/>
      <x:c r="H350" s="20"/>
      <x:c r="I350" s="14"/>
      <x:c r="J350" s="13" t="str">
        <x:f>IF($G350="","",IF(OR(NOT(ISNUMBER($H350)),NOT(ISNUMBER($I350)),$I350&lt;=0),"Complete PTO fields",IF(COUNTIF('Team Setup'!$A$10:$A$34,$G350)=1,"Ready","Check member name")))</x:f>
      </x:c>
    </x:row>
    <x:row r="351">
      <x:c r="A351" s="20"/>
      <x:c r="B351" s="12"/>
      <x:c r="C351" s="12"/>
      <x:c r="D351" s="12"/>
      <x:c r="E351" s="13" t="str">
        <x:f>IF($A351="","",IF(NOT(ISNUMBER($A351)),"Enter a real date",IF(OR($B351="",$C351="",$D351=""),"Complete holiday fields",IF(COUNTIF('Team Setup'!$H$10:$H$59,$C351)&lt;&gt;1,"Check office location",IF($D351="All","Ready",IF(COUNTIFS('Team Setup'!$H$64:$H$163,$D351,'Team Setup'!$I$64:$I$163,$C351)=1,"Ready","Check group and location"))))))</x:f>
      </x:c>
      <x:c r="F351" s="2"/>
      <x:c r="G351" s="12"/>
      <x:c r="H351" s="20"/>
      <x:c r="I351" s="14"/>
      <x:c r="J351" s="13" t="str">
        <x:f>IF($G351="","",IF(OR(NOT(ISNUMBER($H351)),NOT(ISNUMBER($I351)),$I351&lt;=0),"Complete PTO fields",IF(COUNTIF('Team Setup'!$A$10:$A$34,$G351)=1,"Ready","Check member name")))</x:f>
      </x:c>
    </x:row>
    <x:row r="352">
      <x:c r="A352" s="20"/>
      <x:c r="B352" s="12"/>
      <x:c r="C352" s="12"/>
      <x:c r="D352" s="12"/>
      <x:c r="E352" s="13" t="str">
        <x:f>IF($A352="","",IF(NOT(ISNUMBER($A352)),"Enter a real date",IF(OR($B352="",$C352="",$D352=""),"Complete holiday fields",IF(COUNTIF('Team Setup'!$H$10:$H$59,$C352)&lt;&gt;1,"Check office location",IF($D352="All","Ready",IF(COUNTIFS('Team Setup'!$H$64:$H$163,$D352,'Team Setup'!$I$64:$I$163,$C352)=1,"Ready","Check group and location"))))))</x:f>
      </x:c>
      <x:c r="F352" s="2"/>
      <x:c r="G352" s="12"/>
      <x:c r="H352" s="20"/>
      <x:c r="I352" s="14"/>
      <x:c r="J352" s="13" t="str">
        <x:f>IF($G352="","",IF(OR(NOT(ISNUMBER($H352)),NOT(ISNUMBER($I352)),$I352&lt;=0),"Complete PTO fields",IF(COUNTIF('Team Setup'!$A$10:$A$34,$G352)=1,"Ready","Check member name")))</x:f>
      </x:c>
    </x:row>
    <x:row r="353">
      <x:c r="A353" s="20"/>
      <x:c r="B353" s="12"/>
      <x:c r="C353" s="12"/>
      <x:c r="D353" s="12"/>
      <x:c r="E353" s="13" t="str">
        <x:f>IF($A353="","",IF(NOT(ISNUMBER($A353)),"Enter a real date",IF(OR($B353="",$C353="",$D353=""),"Complete holiday fields",IF(COUNTIF('Team Setup'!$H$10:$H$59,$C353)&lt;&gt;1,"Check office location",IF($D353="All","Ready",IF(COUNTIFS('Team Setup'!$H$64:$H$163,$D353,'Team Setup'!$I$64:$I$163,$C353)=1,"Ready","Check group and location"))))))</x:f>
      </x:c>
      <x:c r="F353" s="2"/>
      <x:c r="G353" s="12"/>
      <x:c r="H353" s="20"/>
      <x:c r="I353" s="14"/>
      <x:c r="J353" s="13" t="str">
        <x:f>IF($G353="","",IF(OR(NOT(ISNUMBER($H353)),NOT(ISNUMBER($I353)),$I353&lt;=0),"Complete PTO fields",IF(COUNTIF('Team Setup'!$A$10:$A$34,$G353)=1,"Ready","Check member name")))</x:f>
      </x:c>
    </x:row>
    <x:row r="354">
      <x:c r="A354" s="20"/>
      <x:c r="B354" s="12"/>
      <x:c r="C354" s="12"/>
      <x:c r="D354" s="12"/>
      <x:c r="E354" s="13" t="str">
        <x:f>IF($A354="","",IF(NOT(ISNUMBER($A354)),"Enter a real date",IF(OR($B354="",$C354="",$D354=""),"Complete holiday fields",IF(COUNTIF('Team Setup'!$H$10:$H$59,$C354)&lt;&gt;1,"Check office location",IF($D354="All","Ready",IF(COUNTIFS('Team Setup'!$H$64:$H$163,$D354,'Team Setup'!$I$64:$I$163,$C354)=1,"Ready","Check group and location"))))))</x:f>
      </x:c>
      <x:c r="F354" s="2"/>
      <x:c r="G354" s="12"/>
      <x:c r="H354" s="20"/>
      <x:c r="I354" s="14"/>
      <x:c r="J354" s="13" t="str">
        <x:f>IF($G354="","",IF(OR(NOT(ISNUMBER($H354)),NOT(ISNUMBER($I354)),$I354&lt;=0),"Complete PTO fields",IF(COUNTIF('Team Setup'!$A$10:$A$34,$G354)=1,"Ready","Check member name")))</x:f>
      </x:c>
    </x:row>
    <x:row r="355">
      <x:c r="A355" s="20"/>
      <x:c r="B355" s="12"/>
      <x:c r="C355" s="12"/>
      <x:c r="D355" s="12"/>
      <x:c r="E355" s="13" t="str">
        <x:f>IF($A355="","",IF(NOT(ISNUMBER($A355)),"Enter a real date",IF(OR($B355="",$C355="",$D355=""),"Complete holiday fields",IF(COUNTIF('Team Setup'!$H$10:$H$59,$C355)&lt;&gt;1,"Check office location",IF($D355="All","Ready",IF(COUNTIFS('Team Setup'!$H$64:$H$163,$D355,'Team Setup'!$I$64:$I$163,$C355)=1,"Ready","Check group and location"))))))</x:f>
      </x:c>
      <x:c r="F355" s="2"/>
      <x:c r="G355" s="12"/>
      <x:c r="H355" s="20"/>
      <x:c r="I355" s="14"/>
      <x:c r="J355" s="13" t="str">
        <x:f>IF($G355="","",IF(OR(NOT(ISNUMBER($H355)),NOT(ISNUMBER($I355)),$I355&lt;=0),"Complete PTO fields",IF(COUNTIF('Team Setup'!$A$10:$A$34,$G355)=1,"Ready","Check member name")))</x:f>
      </x:c>
    </x:row>
    <x:row r="356">
      <x:c r="A356" s="20"/>
      <x:c r="B356" s="12"/>
      <x:c r="C356" s="12"/>
      <x:c r="D356" s="12"/>
      <x:c r="E356" s="13" t="str">
        <x:f>IF($A356="","",IF(NOT(ISNUMBER($A356)),"Enter a real date",IF(OR($B356="",$C356="",$D356=""),"Complete holiday fields",IF(COUNTIF('Team Setup'!$H$10:$H$59,$C356)&lt;&gt;1,"Check office location",IF($D356="All","Ready",IF(COUNTIFS('Team Setup'!$H$64:$H$163,$D356,'Team Setup'!$I$64:$I$163,$C356)=1,"Ready","Check group and location"))))))</x:f>
      </x:c>
      <x:c r="F356" s="2"/>
      <x:c r="G356" s="12"/>
      <x:c r="H356" s="20"/>
      <x:c r="I356" s="14"/>
      <x:c r="J356" s="13" t="str">
        <x:f>IF($G356="","",IF(OR(NOT(ISNUMBER($H356)),NOT(ISNUMBER($I356)),$I356&lt;=0),"Complete PTO fields",IF(COUNTIF('Team Setup'!$A$10:$A$34,$G356)=1,"Ready","Check member name")))</x:f>
      </x:c>
    </x:row>
    <x:row r="357">
      <x:c r="A357" s="20"/>
      <x:c r="B357" s="12"/>
      <x:c r="C357" s="12"/>
      <x:c r="D357" s="12"/>
      <x:c r="E357" s="13" t="str">
        <x:f>IF($A357="","",IF(NOT(ISNUMBER($A357)),"Enter a real date",IF(OR($B357="",$C357="",$D357=""),"Complete holiday fields",IF(COUNTIF('Team Setup'!$H$10:$H$59,$C357)&lt;&gt;1,"Check office location",IF($D357="All","Ready",IF(COUNTIFS('Team Setup'!$H$64:$H$163,$D357,'Team Setup'!$I$64:$I$163,$C357)=1,"Ready","Check group and location"))))))</x:f>
      </x:c>
      <x:c r="F357" s="2"/>
      <x:c r="G357" s="12"/>
      <x:c r="H357" s="20"/>
      <x:c r="I357" s="14"/>
      <x:c r="J357" s="13" t="str">
        <x:f>IF($G357="","",IF(OR(NOT(ISNUMBER($H357)),NOT(ISNUMBER($I357)),$I357&lt;=0),"Complete PTO fields",IF(COUNTIF('Team Setup'!$A$10:$A$34,$G357)=1,"Ready","Check member name")))</x:f>
      </x:c>
    </x:row>
    <x:row r="358">
      <x:c r="A358" s="20"/>
      <x:c r="B358" s="12"/>
      <x:c r="C358" s="12"/>
      <x:c r="D358" s="12"/>
      <x:c r="E358" s="13" t="str">
        <x:f>IF($A358="","",IF(NOT(ISNUMBER($A358)),"Enter a real date",IF(OR($B358="",$C358="",$D358=""),"Complete holiday fields",IF(COUNTIF('Team Setup'!$H$10:$H$59,$C358)&lt;&gt;1,"Check office location",IF($D358="All","Ready",IF(COUNTIFS('Team Setup'!$H$64:$H$163,$D358,'Team Setup'!$I$64:$I$163,$C358)=1,"Ready","Check group and location"))))))</x:f>
      </x:c>
      <x:c r="F358" s="2"/>
      <x:c r="G358" s="12"/>
      <x:c r="H358" s="20"/>
      <x:c r="I358" s="14"/>
      <x:c r="J358" s="13" t="str">
        <x:f>IF($G358="","",IF(OR(NOT(ISNUMBER($H358)),NOT(ISNUMBER($I358)),$I358&lt;=0),"Complete PTO fields",IF(COUNTIF('Team Setup'!$A$10:$A$34,$G358)=1,"Ready","Check member name")))</x:f>
      </x:c>
    </x:row>
    <x:row r="359">
      <x:c r="A359" s="20"/>
      <x:c r="B359" s="12"/>
      <x:c r="C359" s="12"/>
      <x:c r="D359" s="12"/>
      <x:c r="E359" s="13" t="str">
        <x:f>IF($A359="","",IF(NOT(ISNUMBER($A359)),"Enter a real date",IF(OR($B359="",$C359="",$D359=""),"Complete holiday fields",IF(COUNTIF('Team Setup'!$H$10:$H$59,$C359)&lt;&gt;1,"Check office location",IF($D359="All","Ready",IF(COUNTIFS('Team Setup'!$H$64:$H$163,$D359,'Team Setup'!$I$64:$I$163,$C359)=1,"Ready","Check group and location"))))))</x:f>
      </x:c>
      <x:c r="F359" s="2"/>
      <x:c r="G359" s="12"/>
      <x:c r="H359" s="20"/>
      <x:c r="I359" s="14"/>
      <x:c r="J359" s="13" t="str">
        <x:f>IF($G359="","",IF(OR(NOT(ISNUMBER($H359)),NOT(ISNUMBER($I359)),$I359&lt;=0),"Complete PTO fields",IF(COUNTIF('Team Setup'!$A$10:$A$34,$G359)=1,"Ready","Check member name")))</x:f>
      </x:c>
    </x:row>
    <x:row r="360">
      <x:c r="A360" s="20"/>
      <x:c r="B360" s="12"/>
      <x:c r="C360" s="12"/>
      <x:c r="D360" s="12"/>
      <x:c r="E360" s="13" t="str">
        <x:f>IF($A360="","",IF(NOT(ISNUMBER($A360)),"Enter a real date",IF(OR($B360="",$C360="",$D360=""),"Complete holiday fields",IF(COUNTIF('Team Setup'!$H$10:$H$59,$C360)&lt;&gt;1,"Check office location",IF($D360="All","Ready",IF(COUNTIFS('Team Setup'!$H$64:$H$163,$D360,'Team Setup'!$I$64:$I$163,$C360)=1,"Ready","Check group and location"))))))</x:f>
      </x:c>
      <x:c r="F360" s="2"/>
      <x:c r="G360" s="12"/>
      <x:c r="H360" s="20"/>
      <x:c r="I360" s="14"/>
      <x:c r="J360" s="13" t="str">
        <x:f>IF($G360="","",IF(OR(NOT(ISNUMBER($H360)),NOT(ISNUMBER($I360)),$I360&lt;=0),"Complete PTO fields",IF(COUNTIF('Team Setup'!$A$10:$A$34,$G360)=1,"Ready","Check member name")))</x:f>
      </x:c>
    </x:row>
    <x:row r="361">
      <x:c r="A361" s="20"/>
      <x:c r="B361" s="12"/>
      <x:c r="C361" s="12"/>
      <x:c r="D361" s="12"/>
      <x:c r="E361" s="13" t="str">
        <x:f>IF($A361="","",IF(NOT(ISNUMBER($A361)),"Enter a real date",IF(OR($B361="",$C361="",$D361=""),"Complete holiday fields",IF(COUNTIF('Team Setup'!$H$10:$H$59,$C361)&lt;&gt;1,"Check office location",IF($D361="All","Ready",IF(COUNTIFS('Team Setup'!$H$64:$H$163,$D361,'Team Setup'!$I$64:$I$163,$C361)=1,"Ready","Check group and location"))))))</x:f>
      </x:c>
      <x:c r="F361" s="2"/>
      <x:c r="G361" s="12"/>
      <x:c r="H361" s="20"/>
      <x:c r="I361" s="14"/>
      <x:c r="J361" s="13" t="str">
        <x:f>IF($G361="","",IF(OR(NOT(ISNUMBER($H361)),NOT(ISNUMBER($I361)),$I361&lt;=0),"Complete PTO fields",IF(COUNTIF('Team Setup'!$A$10:$A$34,$G361)=1,"Ready","Check member name")))</x:f>
      </x:c>
    </x:row>
    <x:row r="362">
      <x:c r="A362" s="20"/>
      <x:c r="B362" s="12"/>
      <x:c r="C362" s="12"/>
      <x:c r="D362" s="12"/>
      <x:c r="E362" s="13" t="str">
        <x:f>IF($A362="","",IF(NOT(ISNUMBER($A362)),"Enter a real date",IF(OR($B362="",$C362="",$D362=""),"Complete holiday fields",IF(COUNTIF('Team Setup'!$H$10:$H$59,$C362)&lt;&gt;1,"Check office location",IF($D362="All","Ready",IF(COUNTIFS('Team Setup'!$H$64:$H$163,$D362,'Team Setup'!$I$64:$I$163,$C362)=1,"Ready","Check group and location"))))))</x:f>
      </x:c>
      <x:c r="F362" s="2"/>
      <x:c r="G362" s="12"/>
      <x:c r="H362" s="20"/>
      <x:c r="I362" s="14"/>
      <x:c r="J362" s="13" t="str">
        <x:f>IF($G362="","",IF(OR(NOT(ISNUMBER($H362)),NOT(ISNUMBER($I362)),$I362&lt;=0),"Complete PTO fields",IF(COUNTIF('Team Setup'!$A$10:$A$34,$G362)=1,"Ready","Check member name")))</x:f>
      </x:c>
    </x:row>
    <x:row r="363">
      <x:c r="A363" s="20"/>
      <x:c r="B363" s="12"/>
      <x:c r="C363" s="12"/>
      <x:c r="D363" s="12"/>
      <x:c r="E363" s="13" t="str">
        <x:f>IF($A363="","",IF(NOT(ISNUMBER($A363)),"Enter a real date",IF(OR($B363="",$C363="",$D363=""),"Complete holiday fields",IF(COUNTIF('Team Setup'!$H$10:$H$59,$C363)&lt;&gt;1,"Check office location",IF($D363="All","Ready",IF(COUNTIFS('Team Setup'!$H$64:$H$163,$D363,'Team Setup'!$I$64:$I$163,$C363)=1,"Ready","Check group and location"))))))</x:f>
      </x:c>
      <x:c r="F363" s="2"/>
      <x:c r="G363" s="12"/>
      <x:c r="H363" s="20"/>
      <x:c r="I363" s="14"/>
      <x:c r="J363" s="13" t="str">
        <x:f>IF($G363="","",IF(OR(NOT(ISNUMBER($H363)),NOT(ISNUMBER($I363)),$I363&lt;=0),"Complete PTO fields",IF(COUNTIF('Team Setup'!$A$10:$A$34,$G363)=1,"Ready","Check member name")))</x:f>
      </x:c>
    </x:row>
    <x:row r="364">
      <x:c r="A364" s="20"/>
      <x:c r="B364" s="12"/>
      <x:c r="C364" s="12"/>
      <x:c r="D364" s="12"/>
      <x:c r="E364" s="13" t="str">
        <x:f>IF($A364="","",IF(NOT(ISNUMBER($A364)),"Enter a real date",IF(OR($B364="",$C364="",$D364=""),"Complete holiday fields",IF(COUNTIF('Team Setup'!$H$10:$H$59,$C364)&lt;&gt;1,"Check office location",IF($D364="All","Ready",IF(COUNTIFS('Team Setup'!$H$64:$H$163,$D364,'Team Setup'!$I$64:$I$163,$C364)=1,"Ready","Check group and location"))))))</x:f>
      </x:c>
      <x:c r="F364" s="2"/>
      <x:c r="G364" s="12"/>
      <x:c r="H364" s="20"/>
      <x:c r="I364" s="14"/>
      <x:c r="J364" s="13" t="str">
        <x:f>IF($G364="","",IF(OR(NOT(ISNUMBER($H364)),NOT(ISNUMBER($I364)),$I364&lt;=0),"Complete PTO fields",IF(COUNTIF('Team Setup'!$A$10:$A$34,$G364)=1,"Ready","Check member name")))</x:f>
      </x:c>
    </x:row>
    <x:row r="365">
      <x:c r="A365" s="20"/>
      <x:c r="B365" s="12"/>
      <x:c r="C365" s="12"/>
      <x:c r="D365" s="12"/>
      <x:c r="E365" s="13" t="str">
        <x:f>IF($A365="","",IF(NOT(ISNUMBER($A365)),"Enter a real date",IF(OR($B365="",$C365="",$D365=""),"Complete holiday fields",IF(COUNTIF('Team Setup'!$H$10:$H$59,$C365)&lt;&gt;1,"Check office location",IF($D365="All","Ready",IF(COUNTIFS('Team Setup'!$H$64:$H$163,$D365,'Team Setup'!$I$64:$I$163,$C365)=1,"Ready","Check group and location"))))))</x:f>
      </x:c>
      <x:c r="F365" s="2"/>
      <x:c r="G365" s="12"/>
      <x:c r="H365" s="20"/>
      <x:c r="I365" s="14"/>
      <x:c r="J365" s="13" t="str">
        <x:f>IF($G365="","",IF(OR(NOT(ISNUMBER($H365)),NOT(ISNUMBER($I365)),$I365&lt;=0),"Complete PTO fields",IF(COUNTIF('Team Setup'!$A$10:$A$34,$G365)=1,"Ready","Check member name")))</x:f>
      </x:c>
    </x:row>
    <x:row r="366">
      <x:c r="A366" s="20"/>
      <x:c r="B366" s="12"/>
      <x:c r="C366" s="12"/>
      <x:c r="D366" s="12"/>
      <x:c r="E366" s="13" t="str">
        <x:f>IF($A366="","",IF(NOT(ISNUMBER($A366)),"Enter a real date",IF(OR($B366="",$C366="",$D366=""),"Complete holiday fields",IF(COUNTIF('Team Setup'!$H$10:$H$59,$C366)&lt;&gt;1,"Check office location",IF($D366="All","Ready",IF(COUNTIFS('Team Setup'!$H$64:$H$163,$D366,'Team Setup'!$I$64:$I$163,$C366)=1,"Ready","Check group and location"))))))</x:f>
      </x:c>
      <x:c r="F366" s="2"/>
      <x:c r="G366" s="12"/>
      <x:c r="H366" s="20"/>
      <x:c r="I366" s="14"/>
      <x:c r="J366" s="13" t="str">
        <x:f>IF($G366="","",IF(OR(NOT(ISNUMBER($H366)),NOT(ISNUMBER($I366)),$I366&lt;=0),"Complete PTO fields",IF(COUNTIF('Team Setup'!$A$10:$A$34,$G366)=1,"Ready","Check member name")))</x:f>
      </x:c>
    </x:row>
    <x:row r="367">
      <x:c r="A367" s="20"/>
      <x:c r="B367" s="12"/>
      <x:c r="C367" s="12"/>
      <x:c r="D367" s="12"/>
      <x:c r="E367" s="13" t="str">
        <x:f>IF($A367="","",IF(NOT(ISNUMBER($A367)),"Enter a real date",IF(OR($B367="",$C367="",$D367=""),"Complete holiday fields",IF(COUNTIF('Team Setup'!$H$10:$H$59,$C367)&lt;&gt;1,"Check office location",IF($D367="All","Ready",IF(COUNTIFS('Team Setup'!$H$64:$H$163,$D367,'Team Setup'!$I$64:$I$163,$C367)=1,"Ready","Check group and location"))))))</x:f>
      </x:c>
      <x:c r="F367" s="2"/>
      <x:c r="G367" s="12"/>
      <x:c r="H367" s="20"/>
      <x:c r="I367" s="14"/>
      <x:c r="J367" s="13" t="str">
        <x:f>IF($G367="","",IF(OR(NOT(ISNUMBER($H367)),NOT(ISNUMBER($I367)),$I367&lt;=0),"Complete PTO fields",IF(COUNTIF('Team Setup'!$A$10:$A$34,$G367)=1,"Ready","Check member name")))</x:f>
      </x:c>
    </x:row>
    <x:row r="368">
      <x:c r="A368" s="20"/>
      <x:c r="B368" s="12"/>
      <x:c r="C368" s="12"/>
      <x:c r="D368" s="12"/>
      <x:c r="E368" s="13" t="str">
        <x:f>IF($A368="","",IF(NOT(ISNUMBER($A368)),"Enter a real date",IF(OR($B368="",$C368="",$D368=""),"Complete holiday fields",IF(COUNTIF('Team Setup'!$H$10:$H$59,$C368)&lt;&gt;1,"Check office location",IF($D368="All","Ready",IF(COUNTIFS('Team Setup'!$H$64:$H$163,$D368,'Team Setup'!$I$64:$I$163,$C368)=1,"Ready","Check group and location"))))))</x:f>
      </x:c>
      <x:c r="F368" s="2"/>
      <x:c r="G368" s="12"/>
      <x:c r="H368" s="20"/>
      <x:c r="I368" s="14"/>
      <x:c r="J368" s="13" t="str">
        <x:f>IF($G368="","",IF(OR(NOT(ISNUMBER($H368)),NOT(ISNUMBER($I368)),$I368&lt;=0),"Complete PTO fields",IF(COUNTIF('Team Setup'!$A$10:$A$34,$G368)=1,"Ready","Check member name")))</x:f>
      </x:c>
    </x:row>
    <x:row r="369">
      <x:c r="A369" s="20"/>
      <x:c r="B369" s="12"/>
      <x:c r="C369" s="12"/>
      <x:c r="D369" s="12"/>
      <x:c r="E369" s="13" t="str">
        <x:f>IF($A369="","",IF(NOT(ISNUMBER($A369)),"Enter a real date",IF(OR($B369="",$C369="",$D369=""),"Complete holiday fields",IF(COUNTIF('Team Setup'!$H$10:$H$59,$C369)&lt;&gt;1,"Check office location",IF($D369="All","Ready",IF(COUNTIFS('Team Setup'!$H$64:$H$163,$D369,'Team Setup'!$I$64:$I$163,$C369)=1,"Ready","Check group and location"))))))</x:f>
      </x:c>
      <x:c r="F369" s="2"/>
      <x:c r="G369" s="12"/>
      <x:c r="H369" s="20"/>
      <x:c r="I369" s="14"/>
      <x:c r="J369" s="13" t="str">
        <x:f>IF($G369="","",IF(OR(NOT(ISNUMBER($H369)),NOT(ISNUMBER($I369)),$I369&lt;=0),"Complete PTO fields",IF(COUNTIF('Team Setup'!$A$10:$A$34,$G369)=1,"Ready","Check member name")))</x:f>
      </x:c>
    </x:row>
    <x:row r="370">
      <x:c r="A370" s="20"/>
      <x:c r="B370" s="12"/>
      <x:c r="C370" s="12"/>
      <x:c r="D370" s="12"/>
      <x:c r="E370" s="13" t="str">
        <x:f>IF($A370="","",IF(NOT(ISNUMBER($A370)),"Enter a real date",IF(OR($B370="",$C370="",$D370=""),"Complete holiday fields",IF(COUNTIF('Team Setup'!$H$10:$H$59,$C370)&lt;&gt;1,"Check office location",IF($D370="All","Ready",IF(COUNTIFS('Team Setup'!$H$64:$H$163,$D370,'Team Setup'!$I$64:$I$163,$C370)=1,"Ready","Check group and location"))))))</x:f>
      </x:c>
      <x:c r="F370" s="2"/>
      <x:c r="G370" s="12"/>
      <x:c r="H370" s="20"/>
      <x:c r="I370" s="14"/>
      <x:c r="J370" s="13" t="str">
        <x:f>IF($G370="","",IF(OR(NOT(ISNUMBER($H370)),NOT(ISNUMBER($I370)),$I370&lt;=0),"Complete PTO fields",IF(COUNTIF('Team Setup'!$A$10:$A$34,$G370)=1,"Ready","Check member name")))</x:f>
      </x:c>
    </x:row>
    <x:row r="371">
      <x:c r="A371" s="20"/>
      <x:c r="B371" s="12"/>
      <x:c r="C371" s="12"/>
      <x:c r="D371" s="12"/>
      <x:c r="E371" s="13" t="str">
        <x:f>IF($A371="","",IF(NOT(ISNUMBER($A371)),"Enter a real date",IF(OR($B371="",$C371="",$D371=""),"Complete holiday fields",IF(COUNTIF('Team Setup'!$H$10:$H$59,$C371)&lt;&gt;1,"Check office location",IF($D371="All","Ready",IF(COUNTIFS('Team Setup'!$H$64:$H$163,$D371,'Team Setup'!$I$64:$I$163,$C371)=1,"Ready","Check group and location"))))))</x:f>
      </x:c>
      <x:c r="F371" s="2"/>
      <x:c r="G371" s="12"/>
      <x:c r="H371" s="20"/>
      <x:c r="I371" s="14"/>
      <x:c r="J371" s="13" t="str">
        <x:f>IF($G371="","",IF(OR(NOT(ISNUMBER($H371)),NOT(ISNUMBER($I371)),$I371&lt;=0),"Complete PTO fields",IF(COUNTIF('Team Setup'!$A$10:$A$34,$G371)=1,"Ready","Check member name")))</x:f>
      </x:c>
    </x:row>
    <x:row r="372">
      <x:c r="A372" s="20"/>
      <x:c r="B372" s="12"/>
      <x:c r="C372" s="12"/>
      <x:c r="D372" s="12"/>
      <x:c r="E372" s="13" t="str">
        <x:f>IF($A372="","",IF(NOT(ISNUMBER($A372)),"Enter a real date",IF(OR($B372="",$C372="",$D372=""),"Complete holiday fields",IF(COUNTIF('Team Setup'!$H$10:$H$59,$C372)&lt;&gt;1,"Check office location",IF($D372="All","Ready",IF(COUNTIFS('Team Setup'!$H$64:$H$163,$D372,'Team Setup'!$I$64:$I$163,$C372)=1,"Ready","Check group and location"))))))</x:f>
      </x:c>
      <x:c r="F372" s="2"/>
      <x:c r="G372" s="12"/>
      <x:c r="H372" s="20"/>
      <x:c r="I372" s="14"/>
      <x:c r="J372" s="13" t="str">
        <x:f>IF($G372="","",IF(OR(NOT(ISNUMBER($H372)),NOT(ISNUMBER($I372)),$I372&lt;=0),"Complete PTO fields",IF(COUNTIF('Team Setup'!$A$10:$A$34,$G372)=1,"Ready","Check member name")))</x:f>
      </x:c>
    </x:row>
    <x:row r="373">
      <x:c r="A373" s="20"/>
      <x:c r="B373" s="12"/>
      <x:c r="C373" s="12"/>
      <x:c r="D373" s="12"/>
      <x:c r="E373" s="13" t="str">
        <x:f>IF($A373="","",IF(NOT(ISNUMBER($A373)),"Enter a real date",IF(OR($B373="",$C373="",$D373=""),"Complete holiday fields",IF(COUNTIF('Team Setup'!$H$10:$H$59,$C373)&lt;&gt;1,"Check office location",IF($D373="All","Ready",IF(COUNTIFS('Team Setup'!$H$64:$H$163,$D373,'Team Setup'!$I$64:$I$163,$C373)=1,"Ready","Check group and location"))))))</x:f>
      </x:c>
      <x:c r="F373" s="2"/>
      <x:c r="G373" s="12"/>
      <x:c r="H373" s="20"/>
      <x:c r="I373" s="14"/>
      <x:c r="J373" s="13" t="str">
        <x:f>IF($G373="","",IF(OR(NOT(ISNUMBER($H373)),NOT(ISNUMBER($I373)),$I373&lt;=0),"Complete PTO fields",IF(COUNTIF('Team Setup'!$A$10:$A$34,$G373)=1,"Ready","Check member name")))</x:f>
      </x:c>
    </x:row>
    <x:row r="374">
      <x:c r="A374" s="20"/>
      <x:c r="B374" s="12"/>
      <x:c r="C374" s="12"/>
      <x:c r="D374" s="12"/>
      <x:c r="E374" s="13" t="str">
        <x:f>IF($A374="","",IF(NOT(ISNUMBER($A374)),"Enter a real date",IF(OR($B374="",$C374="",$D374=""),"Complete holiday fields",IF(COUNTIF('Team Setup'!$H$10:$H$59,$C374)&lt;&gt;1,"Check office location",IF($D374="All","Ready",IF(COUNTIFS('Team Setup'!$H$64:$H$163,$D374,'Team Setup'!$I$64:$I$163,$C374)=1,"Ready","Check group and location"))))))</x:f>
      </x:c>
      <x:c r="F374" s="2"/>
      <x:c r="G374" s="12"/>
      <x:c r="H374" s="20"/>
      <x:c r="I374" s="14"/>
      <x:c r="J374" s="13" t="str">
        <x:f>IF($G374="","",IF(OR(NOT(ISNUMBER($H374)),NOT(ISNUMBER($I374)),$I374&lt;=0),"Complete PTO fields",IF(COUNTIF('Team Setup'!$A$10:$A$34,$G374)=1,"Ready","Check member name")))</x:f>
      </x:c>
    </x:row>
    <x:row r="375">
      <x:c r="A375" s="20"/>
      <x:c r="B375" s="12"/>
      <x:c r="C375" s="12"/>
      <x:c r="D375" s="12"/>
      <x:c r="E375" s="13" t="str">
        <x:f>IF($A375="","",IF(NOT(ISNUMBER($A375)),"Enter a real date",IF(OR($B375="",$C375="",$D375=""),"Complete holiday fields",IF(COUNTIF('Team Setup'!$H$10:$H$59,$C375)&lt;&gt;1,"Check office location",IF($D375="All","Ready",IF(COUNTIFS('Team Setup'!$H$64:$H$163,$D375,'Team Setup'!$I$64:$I$163,$C375)=1,"Ready","Check group and location"))))))</x:f>
      </x:c>
      <x:c r="F375" s="2"/>
      <x:c r="G375" s="12"/>
      <x:c r="H375" s="20"/>
      <x:c r="I375" s="14"/>
      <x:c r="J375" s="13" t="str">
        <x:f>IF($G375="","",IF(OR(NOT(ISNUMBER($H375)),NOT(ISNUMBER($I375)),$I375&lt;=0),"Complete PTO fields",IF(COUNTIF('Team Setup'!$A$10:$A$34,$G375)=1,"Ready","Check member name")))</x:f>
      </x:c>
    </x:row>
    <x:row r="376">
      <x:c r="A376" s="20"/>
      <x:c r="B376" s="12"/>
      <x:c r="C376" s="12"/>
      <x:c r="D376" s="12"/>
      <x:c r="E376" s="13" t="str">
        <x:f>IF($A376="","",IF(NOT(ISNUMBER($A376)),"Enter a real date",IF(OR($B376="",$C376="",$D376=""),"Complete holiday fields",IF(COUNTIF('Team Setup'!$H$10:$H$59,$C376)&lt;&gt;1,"Check office location",IF($D376="All","Ready",IF(COUNTIFS('Team Setup'!$H$64:$H$163,$D376,'Team Setup'!$I$64:$I$163,$C376)=1,"Ready","Check group and location"))))))</x:f>
      </x:c>
      <x:c r="F376" s="2"/>
      <x:c r="G376" s="12"/>
      <x:c r="H376" s="20"/>
      <x:c r="I376" s="14"/>
      <x:c r="J376" s="13" t="str">
        <x:f>IF($G376="","",IF(OR(NOT(ISNUMBER($H376)),NOT(ISNUMBER($I376)),$I376&lt;=0),"Complete PTO fields",IF(COUNTIF('Team Setup'!$A$10:$A$34,$G376)=1,"Ready","Check member name")))</x:f>
      </x:c>
    </x:row>
    <x:row r="377">
      <x:c r="A377" s="20"/>
      <x:c r="B377" s="12"/>
      <x:c r="C377" s="12"/>
      <x:c r="D377" s="12"/>
      <x:c r="E377" s="13" t="str">
        <x:f>IF($A377="","",IF(NOT(ISNUMBER($A377)),"Enter a real date",IF(OR($B377="",$C377="",$D377=""),"Complete holiday fields",IF(COUNTIF('Team Setup'!$H$10:$H$59,$C377)&lt;&gt;1,"Check office location",IF($D377="All","Ready",IF(COUNTIFS('Team Setup'!$H$64:$H$163,$D377,'Team Setup'!$I$64:$I$163,$C377)=1,"Ready","Check group and location"))))))</x:f>
      </x:c>
      <x:c r="F377" s="2"/>
      <x:c r="G377" s="12"/>
      <x:c r="H377" s="20"/>
      <x:c r="I377" s="14"/>
      <x:c r="J377" s="13" t="str">
        <x:f>IF($G377="","",IF(OR(NOT(ISNUMBER($H377)),NOT(ISNUMBER($I377)),$I377&lt;=0),"Complete PTO fields",IF(COUNTIF('Team Setup'!$A$10:$A$34,$G377)=1,"Ready","Check member name")))</x:f>
      </x:c>
    </x:row>
    <x:row r="378">
      <x:c r="A378" s="20"/>
      <x:c r="B378" s="12"/>
      <x:c r="C378" s="12"/>
      <x:c r="D378" s="12"/>
      <x:c r="E378" s="13" t="str">
        <x:f>IF($A378="","",IF(NOT(ISNUMBER($A378)),"Enter a real date",IF(OR($B378="",$C378="",$D378=""),"Complete holiday fields",IF(COUNTIF('Team Setup'!$H$10:$H$59,$C378)&lt;&gt;1,"Check office location",IF($D378="All","Ready",IF(COUNTIFS('Team Setup'!$H$64:$H$163,$D378,'Team Setup'!$I$64:$I$163,$C378)=1,"Ready","Check group and location"))))))</x:f>
      </x:c>
      <x:c r="F378" s="2"/>
      <x:c r="G378" s="12"/>
      <x:c r="H378" s="20"/>
      <x:c r="I378" s="14"/>
      <x:c r="J378" s="13" t="str">
        <x:f>IF($G378="","",IF(OR(NOT(ISNUMBER($H378)),NOT(ISNUMBER($I378)),$I378&lt;=0),"Complete PTO fields",IF(COUNTIF('Team Setup'!$A$10:$A$34,$G378)=1,"Ready","Check member name")))</x:f>
      </x:c>
    </x:row>
    <x:row r="379">
      <x:c r="A379" s="20"/>
      <x:c r="B379" s="12"/>
      <x:c r="C379" s="12"/>
      <x:c r="D379" s="12"/>
      <x:c r="E379" s="13" t="str">
        <x:f>IF($A379="","",IF(NOT(ISNUMBER($A379)),"Enter a real date",IF(OR($B379="",$C379="",$D379=""),"Complete holiday fields",IF(COUNTIF('Team Setup'!$H$10:$H$59,$C379)&lt;&gt;1,"Check office location",IF($D379="All","Ready",IF(COUNTIFS('Team Setup'!$H$64:$H$163,$D379,'Team Setup'!$I$64:$I$163,$C379)=1,"Ready","Check group and location"))))))</x:f>
      </x:c>
      <x:c r="F379" s="2"/>
      <x:c r="G379" s="12"/>
      <x:c r="H379" s="20"/>
      <x:c r="I379" s="14"/>
      <x:c r="J379" s="13" t="str">
        <x:f>IF($G379="","",IF(OR(NOT(ISNUMBER($H379)),NOT(ISNUMBER($I379)),$I379&lt;=0),"Complete PTO fields",IF(COUNTIF('Team Setup'!$A$10:$A$34,$G379)=1,"Ready","Check member name")))</x:f>
      </x:c>
    </x:row>
    <x:row r="380">
      <x:c r="A380" s="20"/>
      <x:c r="B380" s="12"/>
      <x:c r="C380" s="12"/>
      <x:c r="D380" s="12"/>
      <x:c r="E380" s="13" t="str">
        <x:f>IF($A380="","",IF(NOT(ISNUMBER($A380)),"Enter a real date",IF(OR($B380="",$C380="",$D380=""),"Complete holiday fields",IF(COUNTIF('Team Setup'!$H$10:$H$59,$C380)&lt;&gt;1,"Check office location",IF($D380="All","Ready",IF(COUNTIFS('Team Setup'!$H$64:$H$163,$D380,'Team Setup'!$I$64:$I$163,$C380)=1,"Ready","Check group and location"))))))</x:f>
      </x:c>
      <x:c r="F380" s="2"/>
      <x:c r="G380" s="12"/>
      <x:c r="H380" s="20"/>
      <x:c r="I380" s="14"/>
      <x:c r="J380" s="13" t="str">
        <x:f>IF($G380="","",IF(OR(NOT(ISNUMBER($H380)),NOT(ISNUMBER($I380)),$I380&lt;=0),"Complete PTO fields",IF(COUNTIF('Team Setup'!$A$10:$A$34,$G380)=1,"Ready","Check member name")))</x:f>
      </x:c>
    </x:row>
    <x:row r="381">
      <x:c r="A381" s="20"/>
      <x:c r="B381" s="12"/>
      <x:c r="C381" s="12"/>
      <x:c r="D381" s="12"/>
      <x:c r="E381" s="13" t="str">
        <x:f>IF($A381="","",IF(NOT(ISNUMBER($A381)),"Enter a real date",IF(OR($B381="",$C381="",$D381=""),"Complete holiday fields",IF(COUNTIF('Team Setup'!$H$10:$H$59,$C381)&lt;&gt;1,"Check office location",IF($D381="All","Ready",IF(COUNTIFS('Team Setup'!$H$64:$H$163,$D381,'Team Setup'!$I$64:$I$163,$C381)=1,"Ready","Check group and location"))))))</x:f>
      </x:c>
      <x:c r="F381" s="2"/>
      <x:c r="G381" s="12"/>
      <x:c r="H381" s="20"/>
      <x:c r="I381" s="14"/>
      <x:c r="J381" s="13" t="str">
        <x:f>IF($G381="","",IF(OR(NOT(ISNUMBER($H381)),NOT(ISNUMBER($I381)),$I381&lt;=0),"Complete PTO fields",IF(COUNTIF('Team Setup'!$A$10:$A$34,$G381)=1,"Ready","Check member name")))</x:f>
      </x:c>
    </x:row>
    <x:row r="382">
      <x:c r="A382" s="20"/>
      <x:c r="B382" s="12"/>
      <x:c r="C382" s="12"/>
      <x:c r="D382" s="12"/>
      <x:c r="E382" s="13" t="str">
        <x:f>IF($A382="","",IF(NOT(ISNUMBER($A382)),"Enter a real date",IF(OR($B382="",$C382="",$D382=""),"Complete holiday fields",IF(COUNTIF('Team Setup'!$H$10:$H$59,$C382)&lt;&gt;1,"Check office location",IF($D382="All","Ready",IF(COUNTIFS('Team Setup'!$H$64:$H$163,$D382,'Team Setup'!$I$64:$I$163,$C382)=1,"Ready","Check group and location"))))))</x:f>
      </x:c>
      <x:c r="F382" s="2"/>
      <x:c r="G382" s="12"/>
      <x:c r="H382" s="20"/>
      <x:c r="I382" s="14"/>
      <x:c r="J382" s="13" t="str">
        <x:f>IF($G382="","",IF(OR(NOT(ISNUMBER($H382)),NOT(ISNUMBER($I382)),$I382&lt;=0),"Complete PTO fields",IF(COUNTIF('Team Setup'!$A$10:$A$34,$G382)=1,"Ready","Check member name")))</x:f>
      </x:c>
    </x:row>
    <x:row r="383">
      <x:c r="A383" s="20"/>
      <x:c r="B383" s="12"/>
      <x:c r="C383" s="12"/>
      <x:c r="D383" s="12"/>
      <x:c r="E383" s="13" t="str">
        <x:f>IF($A383="","",IF(NOT(ISNUMBER($A383)),"Enter a real date",IF(OR($B383="",$C383="",$D383=""),"Complete holiday fields",IF(COUNTIF('Team Setup'!$H$10:$H$59,$C383)&lt;&gt;1,"Check office location",IF($D383="All","Ready",IF(COUNTIFS('Team Setup'!$H$64:$H$163,$D383,'Team Setup'!$I$64:$I$163,$C383)=1,"Ready","Check group and location"))))))</x:f>
      </x:c>
      <x:c r="F383" s="2"/>
      <x:c r="G383" s="12"/>
      <x:c r="H383" s="20"/>
      <x:c r="I383" s="14"/>
      <x:c r="J383" s="13" t="str">
        <x:f>IF($G383="","",IF(OR(NOT(ISNUMBER($H383)),NOT(ISNUMBER($I383)),$I383&lt;=0),"Complete PTO fields",IF(COUNTIF('Team Setup'!$A$10:$A$34,$G383)=1,"Ready","Check member name")))</x:f>
      </x:c>
    </x:row>
    <x:row r="384">
      <x:c r="A384" s="20"/>
      <x:c r="B384" s="12"/>
      <x:c r="C384" s="12"/>
      <x:c r="D384" s="12"/>
      <x:c r="E384" s="13" t="str">
        <x:f>IF($A384="","",IF(NOT(ISNUMBER($A384)),"Enter a real date",IF(OR($B384="",$C384="",$D384=""),"Complete holiday fields",IF(COUNTIF('Team Setup'!$H$10:$H$59,$C384)&lt;&gt;1,"Check office location",IF($D384="All","Ready",IF(COUNTIFS('Team Setup'!$H$64:$H$163,$D384,'Team Setup'!$I$64:$I$163,$C384)=1,"Ready","Check group and location"))))))</x:f>
      </x:c>
      <x:c r="F384" s="2"/>
      <x:c r="G384" s="12"/>
      <x:c r="H384" s="20"/>
      <x:c r="I384" s="14"/>
      <x:c r="J384" s="13" t="str">
        <x:f>IF($G384="","",IF(OR(NOT(ISNUMBER($H384)),NOT(ISNUMBER($I384)),$I384&lt;=0),"Complete PTO fields",IF(COUNTIF('Team Setup'!$A$10:$A$34,$G384)=1,"Ready","Check member name")))</x:f>
      </x:c>
    </x:row>
    <x:row r="385">
      <x:c r="A385" s="20"/>
      <x:c r="B385" s="12"/>
      <x:c r="C385" s="12"/>
      <x:c r="D385" s="12"/>
      <x:c r="E385" s="13" t="str">
        <x:f>IF($A385="","",IF(NOT(ISNUMBER($A385)),"Enter a real date",IF(OR($B385="",$C385="",$D385=""),"Complete holiday fields",IF(COUNTIF('Team Setup'!$H$10:$H$59,$C385)&lt;&gt;1,"Check office location",IF($D385="All","Ready",IF(COUNTIFS('Team Setup'!$H$64:$H$163,$D385,'Team Setup'!$I$64:$I$163,$C385)=1,"Ready","Check group and location"))))))</x:f>
      </x:c>
      <x:c r="F385" s="2"/>
      <x:c r="G385" s="12"/>
      <x:c r="H385" s="20"/>
      <x:c r="I385" s="14"/>
      <x:c r="J385" s="13" t="str">
        <x:f>IF($G385="","",IF(OR(NOT(ISNUMBER($H385)),NOT(ISNUMBER($I385)),$I385&lt;=0),"Complete PTO fields",IF(COUNTIF('Team Setup'!$A$10:$A$34,$G385)=1,"Ready","Check member name")))</x:f>
      </x:c>
    </x:row>
    <x:row r="386">
      <x:c r="A386" s="20"/>
      <x:c r="B386" s="12"/>
      <x:c r="C386" s="12"/>
      <x:c r="D386" s="12"/>
      <x:c r="E386" s="13" t="str">
        <x:f>IF($A386="","",IF(NOT(ISNUMBER($A386)),"Enter a real date",IF(OR($B386="",$C386="",$D386=""),"Complete holiday fields",IF(COUNTIF('Team Setup'!$H$10:$H$59,$C386)&lt;&gt;1,"Check office location",IF($D386="All","Ready",IF(COUNTIFS('Team Setup'!$H$64:$H$163,$D386,'Team Setup'!$I$64:$I$163,$C386)=1,"Ready","Check group and location"))))))</x:f>
      </x:c>
      <x:c r="F386" s="2"/>
      <x:c r="G386" s="12"/>
      <x:c r="H386" s="20"/>
      <x:c r="I386" s="14"/>
      <x:c r="J386" s="13" t="str">
        <x:f>IF($G386="","",IF(OR(NOT(ISNUMBER($H386)),NOT(ISNUMBER($I386)),$I386&lt;=0),"Complete PTO fields",IF(COUNTIF('Team Setup'!$A$10:$A$34,$G386)=1,"Ready","Check member name")))</x:f>
      </x:c>
    </x:row>
    <x:row r="387">
      <x:c r="A387" s="20"/>
      <x:c r="B387" s="12"/>
      <x:c r="C387" s="12"/>
      <x:c r="D387" s="12"/>
      <x:c r="E387" s="13" t="str">
        <x:f>IF($A387="","",IF(NOT(ISNUMBER($A387)),"Enter a real date",IF(OR($B387="",$C387="",$D387=""),"Complete holiday fields",IF(COUNTIF('Team Setup'!$H$10:$H$59,$C387)&lt;&gt;1,"Check office location",IF($D387="All","Ready",IF(COUNTIFS('Team Setup'!$H$64:$H$163,$D387,'Team Setup'!$I$64:$I$163,$C387)=1,"Ready","Check group and location"))))))</x:f>
      </x:c>
      <x:c r="F387" s="2"/>
      <x:c r="G387" s="12"/>
      <x:c r="H387" s="20"/>
      <x:c r="I387" s="14"/>
      <x:c r="J387" s="13" t="str">
        <x:f>IF($G387="","",IF(OR(NOT(ISNUMBER($H387)),NOT(ISNUMBER($I387)),$I387&lt;=0),"Complete PTO fields",IF(COUNTIF('Team Setup'!$A$10:$A$34,$G387)=1,"Ready","Check member name")))</x:f>
      </x:c>
    </x:row>
    <x:row r="388">
      <x:c r="A388" s="20"/>
      <x:c r="B388" s="12"/>
      <x:c r="C388" s="12"/>
      <x:c r="D388" s="12"/>
      <x:c r="E388" s="13" t="str">
        <x:f>IF($A388="","",IF(NOT(ISNUMBER($A388)),"Enter a real date",IF(OR($B388="",$C388="",$D388=""),"Complete holiday fields",IF(COUNTIF('Team Setup'!$H$10:$H$59,$C388)&lt;&gt;1,"Check office location",IF($D388="All","Ready",IF(COUNTIFS('Team Setup'!$H$64:$H$163,$D388,'Team Setup'!$I$64:$I$163,$C388)=1,"Ready","Check group and location"))))))</x:f>
      </x:c>
      <x:c r="F388" s="2"/>
      <x:c r="G388" s="12"/>
      <x:c r="H388" s="20"/>
      <x:c r="I388" s="14"/>
      <x:c r="J388" s="13" t="str">
        <x:f>IF($G388="","",IF(OR(NOT(ISNUMBER($H388)),NOT(ISNUMBER($I388)),$I388&lt;=0),"Complete PTO fields",IF(COUNTIF('Team Setup'!$A$10:$A$34,$G388)=1,"Ready","Check member name")))</x:f>
      </x:c>
    </x:row>
    <x:row r="389">
      <x:c r="A389" s="20"/>
      <x:c r="B389" s="12"/>
      <x:c r="C389" s="12"/>
      <x:c r="D389" s="12"/>
      <x:c r="E389" s="13" t="str">
        <x:f>IF($A389="","",IF(NOT(ISNUMBER($A389)),"Enter a real date",IF(OR($B389="",$C389="",$D389=""),"Complete holiday fields",IF(COUNTIF('Team Setup'!$H$10:$H$59,$C389)&lt;&gt;1,"Check office location",IF($D389="All","Ready",IF(COUNTIFS('Team Setup'!$H$64:$H$163,$D389,'Team Setup'!$I$64:$I$163,$C389)=1,"Ready","Check group and location"))))))</x:f>
      </x:c>
      <x:c r="F389" s="2"/>
      <x:c r="G389" s="12"/>
      <x:c r="H389" s="20"/>
      <x:c r="I389" s="14"/>
      <x:c r="J389" s="13" t="str">
        <x:f>IF($G389="","",IF(OR(NOT(ISNUMBER($H389)),NOT(ISNUMBER($I389)),$I389&lt;=0),"Complete PTO fields",IF(COUNTIF('Team Setup'!$A$10:$A$34,$G389)=1,"Ready","Check member name")))</x:f>
      </x:c>
    </x:row>
    <x:row r="390">
      <x:c r="A390" s="20"/>
      <x:c r="B390" s="12"/>
      <x:c r="C390" s="12"/>
      <x:c r="D390" s="12"/>
      <x:c r="E390" s="13" t="str">
        <x:f>IF($A390="","",IF(NOT(ISNUMBER($A390)),"Enter a real date",IF(OR($B390="",$C390="",$D390=""),"Complete holiday fields",IF(COUNTIF('Team Setup'!$H$10:$H$59,$C390)&lt;&gt;1,"Check office location",IF($D390="All","Ready",IF(COUNTIFS('Team Setup'!$H$64:$H$163,$D390,'Team Setup'!$I$64:$I$163,$C390)=1,"Ready","Check group and location"))))))</x:f>
      </x:c>
      <x:c r="F390" s="2"/>
      <x:c r="G390" s="12"/>
      <x:c r="H390" s="20"/>
      <x:c r="I390" s="14"/>
      <x:c r="J390" s="13" t="str">
        <x:f>IF($G390="","",IF(OR(NOT(ISNUMBER($H390)),NOT(ISNUMBER($I390)),$I390&lt;=0),"Complete PTO fields",IF(COUNTIF('Team Setup'!$A$10:$A$34,$G390)=1,"Ready","Check member name")))</x:f>
      </x:c>
    </x:row>
    <x:row r="391">
      <x:c r="A391" s="20"/>
      <x:c r="B391" s="12"/>
      <x:c r="C391" s="12"/>
      <x:c r="D391" s="12"/>
      <x:c r="E391" s="13" t="str">
        <x:f>IF($A391="","",IF(NOT(ISNUMBER($A391)),"Enter a real date",IF(OR($B391="",$C391="",$D391=""),"Complete holiday fields",IF(COUNTIF('Team Setup'!$H$10:$H$59,$C391)&lt;&gt;1,"Check office location",IF($D391="All","Ready",IF(COUNTIFS('Team Setup'!$H$64:$H$163,$D391,'Team Setup'!$I$64:$I$163,$C391)=1,"Ready","Check group and location"))))))</x:f>
      </x:c>
      <x:c r="F391" s="2"/>
      <x:c r="G391" s="12"/>
      <x:c r="H391" s="20"/>
      <x:c r="I391" s="14"/>
      <x:c r="J391" s="13" t="str">
        <x:f>IF($G391="","",IF(OR(NOT(ISNUMBER($H391)),NOT(ISNUMBER($I391)),$I391&lt;=0),"Complete PTO fields",IF(COUNTIF('Team Setup'!$A$10:$A$34,$G391)=1,"Ready","Check member name")))</x:f>
      </x:c>
    </x:row>
    <x:row r="392">
      <x:c r="A392" s="20"/>
      <x:c r="B392" s="12"/>
      <x:c r="C392" s="12"/>
      <x:c r="D392" s="12"/>
      <x:c r="E392" s="13" t="str">
        <x:f>IF($A392="","",IF(NOT(ISNUMBER($A392)),"Enter a real date",IF(OR($B392="",$C392="",$D392=""),"Complete holiday fields",IF(COUNTIF('Team Setup'!$H$10:$H$59,$C392)&lt;&gt;1,"Check office location",IF($D392="All","Ready",IF(COUNTIFS('Team Setup'!$H$64:$H$163,$D392,'Team Setup'!$I$64:$I$163,$C392)=1,"Ready","Check group and location"))))))</x:f>
      </x:c>
      <x:c r="F392" s="2"/>
      <x:c r="G392" s="12"/>
      <x:c r="H392" s="20"/>
      <x:c r="I392" s="14"/>
      <x:c r="J392" s="13" t="str">
        <x:f>IF($G392="","",IF(OR(NOT(ISNUMBER($H392)),NOT(ISNUMBER($I392)),$I392&lt;=0),"Complete PTO fields",IF(COUNTIF('Team Setup'!$A$10:$A$34,$G392)=1,"Ready","Check member name")))</x:f>
      </x:c>
    </x:row>
    <x:row r="393">
      <x:c r="A393" s="20"/>
      <x:c r="B393" s="12"/>
      <x:c r="C393" s="12"/>
      <x:c r="D393" s="12"/>
      <x:c r="E393" s="13" t="str">
        <x:f>IF($A393="","",IF(NOT(ISNUMBER($A393)),"Enter a real date",IF(OR($B393="",$C393="",$D393=""),"Complete holiday fields",IF(COUNTIF('Team Setup'!$H$10:$H$59,$C393)&lt;&gt;1,"Check office location",IF($D393="All","Ready",IF(COUNTIFS('Team Setup'!$H$64:$H$163,$D393,'Team Setup'!$I$64:$I$163,$C393)=1,"Ready","Check group and location"))))))</x:f>
      </x:c>
      <x:c r="F393" s="2"/>
      <x:c r="G393" s="12"/>
      <x:c r="H393" s="20"/>
      <x:c r="I393" s="14"/>
      <x:c r="J393" s="13" t="str">
        <x:f>IF($G393="","",IF(OR(NOT(ISNUMBER($H393)),NOT(ISNUMBER($I393)),$I393&lt;=0),"Complete PTO fields",IF(COUNTIF('Team Setup'!$A$10:$A$34,$G393)=1,"Ready","Check member name")))</x:f>
      </x:c>
    </x:row>
    <x:row r="394">
      <x:c r="A394" s="20"/>
      <x:c r="B394" s="12"/>
      <x:c r="C394" s="12"/>
      <x:c r="D394" s="12"/>
      <x:c r="E394" s="13" t="str">
        <x:f>IF($A394="","",IF(NOT(ISNUMBER($A394)),"Enter a real date",IF(OR($B394="",$C394="",$D394=""),"Complete holiday fields",IF(COUNTIF('Team Setup'!$H$10:$H$59,$C394)&lt;&gt;1,"Check office location",IF($D394="All","Ready",IF(COUNTIFS('Team Setup'!$H$64:$H$163,$D394,'Team Setup'!$I$64:$I$163,$C394)=1,"Ready","Check group and location"))))))</x:f>
      </x:c>
      <x:c r="F394" s="2"/>
      <x:c r="G394" s="12"/>
      <x:c r="H394" s="20"/>
      <x:c r="I394" s="14"/>
      <x:c r="J394" s="13" t="str">
        <x:f>IF($G394="","",IF(OR(NOT(ISNUMBER($H394)),NOT(ISNUMBER($I394)),$I394&lt;=0),"Complete PTO fields",IF(COUNTIF('Team Setup'!$A$10:$A$34,$G394)=1,"Ready","Check member name")))</x:f>
      </x:c>
    </x:row>
    <x:row r="395">
      <x:c r="A395" s="20"/>
      <x:c r="B395" s="12"/>
      <x:c r="C395" s="12"/>
      <x:c r="D395" s="12"/>
      <x:c r="E395" s="13" t="str">
        <x:f>IF($A395="","",IF(NOT(ISNUMBER($A395)),"Enter a real date",IF(OR($B395="",$C395="",$D395=""),"Complete holiday fields",IF(COUNTIF('Team Setup'!$H$10:$H$59,$C395)&lt;&gt;1,"Check office location",IF($D395="All","Ready",IF(COUNTIFS('Team Setup'!$H$64:$H$163,$D395,'Team Setup'!$I$64:$I$163,$C395)=1,"Ready","Check group and location"))))))</x:f>
      </x:c>
      <x:c r="F395" s="2"/>
      <x:c r="G395" s="12"/>
      <x:c r="H395" s="20"/>
      <x:c r="I395" s="14"/>
      <x:c r="J395" s="13" t="str">
        <x:f>IF($G395="","",IF(OR(NOT(ISNUMBER($H395)),NOT(ISNUMBER($I395)),$I395&lt;=0),"Complete PTO fields",IF(COUNTIF('Team Setup'!$A$10:$A$34,$G395)=1,"Ready","Check member name")))</x:f>
      </x:c>
    </x:row>
    <x:row r="396">
      <x:c r="A396" s="20"/>
      <x:c r="B396" s="12"/>
      <x:c r="C396" s="12"/>
      <x:c r="D396" s="12"/>
      <x:c r="E396" s="13" t="str">
        <x:f>IF($A396="","",IF(NOT(ISNUMBER($A396)),"Enter a real date",IF(OR($B396="",$C396="",$D396=""),"Complete holiday fields",IF(COUNTIF('Team Setup'!$H$10:$H$59,$C396)&lt;&gt;1,"Check office location",IF($D396="All","Ready",IF(COUNTIFS('Team Setup'!$H$64:$H$163,$D396,'Team Setup'!$I$64:$I$163,$C396)=1,"Ready","Check group and location"))))))</x:f>
      </x:c>
      <x:c r="F396" s="2"/>
      <x:c r="G396" s="12"/>
      <x:c r="H396" s="20"/>
      <x:c r="I396" s="14"/>
      <x:c r="J396" s="13" t="str">
        <x:f>IF($G396="","",IF(OR(NOT(ISNUMBER($H396)),NOT(ISNUMBER($I396)),$I396&lt;=0),"Complete PTO fields",IF(COUNTIF('Team Setup'!$A$10:$A$34,$G396)=1,"Ready","Check member name")))</x:f>
      </x:c>
    </x:row>
    <x:row r="397">
      <x:c r="A397" s="20"/>
      <x:c r="B397" s="12"/>
      <x:c r="C397" s="12"/>
      <x:c r="D397" s="12"/>
      <x:c r="E397" s="13" t="str">
        <x:f>IF($A397="","",IF(NOT(ISNUMBER($A397)),"Enter a real date",IF(OR($B397="",$C397="",$D397=""),"Complete holiday fields",IF(COUNTIF('Team Setup'!$H$10:$H$59,$C397)&lt;&gt;1,"Check office location",IF($D397="All","Ready",IF(COUNTIFS('Team Setup'!$H$64:$H$163,$D397,'Team Setup'!$I$64:$I$163,$C397)=1,"Ready","Check group and location"))))))</x:f>
      </x:c>
      <x:c r="F397" s="2"/>
      <x:c r="G397" s="12"/>
      <x:c r="H397" s="20"/>
      <x:c r="I397" s="14"/>
      <x:c r="J397" s="13" t="str">
        <x:f>IF($G397="","",IF(OR(NOT(ISNUMBER($H397)),NOT(ISNUMBER($I397)),$I397&lt;=0),"Complete PTO fields",IF(COUNTIF('Team Setup'!$A$10:$A$34,$G397)=1,"Ready","Check member name")))</x:f>
      </x:c>
    </x:row>
    <x:row r="398">
      <x:c r="A398" s="20"/>
      <x:c r="B398" s="12"/>
      <x:c r="C398" s="12"/>
      <x:c r="D398" s="12"/>
      <x:c r="E398" s="13" t="str">
        <x:f>IF($A398="","",IF(NOT(ISNUMBER($A398)),"Enter a real date",IF(OR($B398="",$C398="",$D398=""),"Complete holiday fields",IF(COUNTIF('Team Setup'!$H$10:$H$59,$C398)&lt;&gt;1,"Check office location",IF($D398="All","Ready",IF(COUNTIFS('Team Setup'!$H$64:$H$163,$D398,'Team Setup'!$I$64:$I$163,$C398)=1,"Ready","Check group and location"))))))</x:f>
      </x:c>
      <x:c r="F398" s="2"/>
      <x:c r="G398" s="12"/>
      <x:c r="H398" s="20"/>
      <x:c r="I398" s="14"/>
      <x:c r="J398" s="13" t="str">
        <x:f>IF($G398="","",IF(OR(NOT(ISNUMBER($H398)),NOT(ISNUMBER($I398)),$I398&lt;=0),"Complete PTO fields",IF(COUNTIF('Team Setup'!$A$10:$A$34,$G398)=1,"Ready","Check member name")))</x:f>
      </x:c>
    </x:row>
    <x:row r="399">
      <x:c r="A399" s="20"/>
      <x:c r="B399" s="12"/>
      <x:c r="C399" s="12"/>
      <x:c r="D399" s="12"/>
      <x:c r="E399" s="13" t="str">
        <x:f>IF($A399="","",IF(NOT(ISNUMBER($A399)),"Enter a real date",IF(OR($B399="",$C399="",$D399=""),"Complete holiday fields",IF(COUNTIF('Team Setup'!$H$10:$H$59,$C399)&lt;&gt;1,"Check office location",IF($D399="All","Ready",IF(COUNTIFS('Team Setup'!$H$64:$H$163,$D399,'Team Setup'!$I$64:$I$163,$C399)=1,"Ready","Check group and location"))))))</x:f>
      </x:c>
      <x:c r="F399" s="2"/>
      <x:c r="G399" s="12"/>
      <x:c r="H399" s="20"/>
      <x:c r="I399" s="14"/>
      <x:c r="J399" s="13" t="str">
        <x:f>IF($G399="","",IF(OR(NOT(ISNUMBER($H399)),NOT(ISNUMBER($I399)),$I399&lt;=0),"Complete PTO fields",IF(COUNTIF('Team Setup'!$A$10:$A$34,$G399)=1,"Ready","Check member name")))</x:f>
      </x:c>
    </x:row>
    <x:row r="400">
      <x:c r="A400" s="20"/>
      <x:c r="B400" s="12"/>
      <x:c r="C400" s="12"/>
      <x:c r="D400" s="12"/>
      <x:c r="E400" s="13" t="str">
        <x:f>IF($A400="","",IF(NOT(ISNUMBER($A400)),"Enter a real date",IF(OR($B400="",$C400="",$D400=""),"Complete holiday fields",IF(COUNTIF('Team Setup'!$H$10:$H$59,$C400)&lt;&gt;1,"Check office location",IF($D400="All","Ready",IF(COUNTIFS('Team Setup'!$H$64:$H$163,$D400,'Team Setup'!$I$64:$I$163,$C400)=1,"Ready","Check group and location"))))))</x:f>
      </x:c>
      <x:c r="F400" s="2"/>
      <x:c r="G400" s="12"/>
      <x:c r="H400" s="20"/>
      <x:c r="I400" s="14"/>
      <x:c r="J400" s="13" t="str">
        <x:f>IF($G400="","",IF(OR(NOT(ISNUMBER($H400)),NOT(ISNUMBER($I400)),$I400&lt;=0),"Complete PTO fields",IF(COUNTIF('Team Setup'!$A$10:$A$34,$G400)=1,"Ready","Check member name")))</x:f>
      </x:c>
    </x:row>
    <x:row r="401">
      <x:c r="A401" s="20"/>
      <x:c r="B401" s="12"/>
      <x:c r="C401" s="12"/>
      <x:c r="D401" s="12"/>
      <x:c r="E401" s="13" t="str">
        <x:f>IF($A401="","",IF(NOT(ISNUMBER($A401)),"Enter a real date",IF(OR($B401="",$C401="",$D401=""),"Complete holiday fields",IF(COUNTIF('Team Setup'!$H$10:$H$59,$C401)&lt;&gt;1,"Check office location",IF($D401="All","Ready",IF(COUNTIFS('Team Setup'!$H$64:$H$163,$D401,'Team Setup'!$I$64:$I$163,$C401)=1,"Ready","Check group and location"))))))</x:f>
      </x:c>
      <x:c r="F401" s="2"/>
      <x:c r="G401" s="12"/>
      <x:c r="H401" s="20"/>
      <x:c r="I401" s="14"/>
      <x:c r="J401" s="13" t="str">
        <x:f>IF($G401="","",IF(OR(NOT(ISNUMBER($H401)),NOT(ISNUMBER($I401)),$I401&lt;=0),"Complete PTO fields",IF(COUNTIF('Team Setup'!$A$10:$A$34,$G401)=1,"Ready","Check member name")))</x:f>
      </x:c>
    </x:row>
    <x:row r="402">
      <x:c r="A402" s="20"/>
      <x:c r="B402" s="12"/>
      <x:c r="C402" s="12"/>
      <x:c r="D402" s="12"/>
      <x:c r="E402" s="13" t="str">
        <x:f>IF($A402="","",IF(NOT(ISNUMBER($A402)),"Enter a real date",IF(OR($B402="",$C402="",$D402=""),"Complete holiday fields",IF(COUNTIF('Team Setup'!$H$10:$H$59,$C402)&lt;&gt;1,"Check office location",IF($D402="All","Ready",IF(COUNTIFS('Team Setup'!$H$64:$H$163,$D402,'Team Setup'!$I$64:$I$163,$C402)=1,"Ready","Check group and location"))))))</x:f>
      </x:c>
      <x:c r="F402" s="2"/>
      <x:c r="G402" s="12"/>
      <x:c r="H402" s="20"/>
      <x:c r="I402" s="14"/>
      <x:c r="J402" s="13" t="str">
        <x:f>IF($G402="","",IF(OR(NOT(ISNUMBER($H402)),NOT(ISNUMBER($I402)),$I402&lt;=0),"Complete PTO fields",IF(COUNTIF('Team Setup'!$A$10:$A$34,$G402)=1,"Ready","Check member name")))</x:f>
      </x:c>
    </x:row>
    <x:row r="403">
      <x:c r="A403" s="20"/>
      <x:c r="B403" s="12"/>
      <x:c r="C403" s="12"/>
      <x:c r="D403" s="12"/>
      <x:c r="E403" s="13" t="str">
        <x:f>IF($A403="","",IF(NOT(ISNUMBER($A403)),"Enter a real date",IF(OR($B403="",$C403="",$D403=""),"Complete holiday fields",IF(COUNTIF('Team Setup'!$H$10:$H$59,$C403)&lt;&gt;1,"Check office location",IF($D403="All","Ready",IF(COUNTIFS('Team Setup'!$H$64:$H$163,$D403,'Team Setup'!$I$64:$I$163,$C403)=1,"Ready","Check group and location"))))))</x:f>
      </x:c>
      <x:c r="F403" s="2"/>
      <x:c r="G403" s="12"/>
      <x:c r="H403" s="20"/>
      <x:c r="I403" s="14"/>
      <x:c r="J403" s="13" t="str">
        <x:f>IF($G403="","",IF(OR(NOT(ISNUMBER($H403)),NOT(ISNUMBER($I403)),$I403&lt;=0),"Complete PTO fields",IF(COUNTIF('Team Setup'!$A$10:$A$34,$G403)=1,"Ready","Check member name")))</x:f>
      </x:c>
    </x:row>
    <x:row r="404">
      <x:c r="A404" s="20"/>
      <x:c r="B404" s="12"/>
      <x:c r="C404" s="12"/>
      <x:c r="D404" s="12"/>
      <x:c r="E404" s="13" t="str">
        <x:f>IF($A404="","",IF(NOT(ISNUMBER($A404)),"Enter a real date",IF(OR($B404="",$C404="",$D404=""),"Complete holiday fields",IF(COUNTIF('Team Setup'!$H$10:$H$59,$C404)&lt;&gt;1,"Check office location",IF($D404="All","Ready",IF(COUNTIFS('Team Setup'!$H$64:$H$163,$D404,'Team Setup'!$I$64:$I$163,$C404)=1,"Ready","Check group and location"))))))</x:f>
      </x:c>
      <x:c r="F404" s="2"/>
      <x:c r="G404" s="12"/>
      <x:c r="H404" s="20"/>
      <x:c r="I404" s="14"/>
      <x:c r="J404" s="13" t="str">
        <x:f>IF($G404="","",IF(OR(NOT(ISNUMBER($H404)),NOT(ISNUMBER($I404)),$I404&lt;=0),"Complete PTO fields",IF(COUNTIF('Team Setup'!$A$10:$A$34,$G404)=1,"Ready","Check member name")))</x:f>
      </x:c>
    </x:row>
    <x:row r="405">
      <x:c r="A405" s="20"/>
      <x:c r="B405" s="12"/>
      <x:c r="C405" s="12"/>
      <x:c r="D405" s="12"/>
      <x:c r="E405" s="13" t="str">
        <x:f>IF($A405="","",IF(NOT(ISNUMBER($A405)),"Enter a real date",IF(OR($B405="",$C405="",$D405=""),"Complete holiday fields",IF(COUNTIF('Team Setup'!$H$10:$H$59,$C405)&lt;&gt;1,"Check office location",IF($D405="All","Ready",IF(COUNTIFS('Team Setup'!$H$64:$H$163,$D405,'Team Setup'!$I$64:$I$163,$C405)=1,"Ready","Check group and location"))))))</x:f>
      </x:c>
      <x:c r="F405" s="2"/>
      <x:c r="G405" s="12"/>
      <x:c r="H405" s="20"/>
      <x:c r="I405" s="14"/>
      <x:c r="J405" s="13" t="str">
        <x:f>IF($G405="","",IF(OR(NOT(ISNUMBER($H405)),NOT(ISNUMBER($I405)),$I405&lt;=0),"Complete PTO fields",IF(COUNTIF('Team Setup'!$A$10:$A$34,$G405)=1,"Ready","Check member name")))</x:f>
      </x:c>
    </x:row>
    <x:row r="406">
      <x:c r="A406" s="20"/>
      <x:c r="B406" s="12"/>
      <x:c r="C406" s="12"/>
      <x:c r="D406" s="12"/>
      <x:c r="E406" s="13" t="str">
        <x:f>IF($A406="","",IF(NOT(ISNUMBER($A406)),"Enter a real date",IF(OR($B406="",$C406="",$D406=""),"Complete holiday fields",IF(COUNTIF('Team Setup'!$H$10:$H$59,$C406)&lt;&gt;1,"Check office location",IF($D406="All","Ready",IF(COUNTIFS('Team Setup'!$H$64:$H$163,$D406,'Team Setup'!$I$64:$I$163,$C406)=1,"Ready","Check group and location"))))))</x:f>
      </x:c>
      <x:c r="F406" s="2"/>
      <x:c r="G406" s="12"/>
      <x:c r="H406" s="20"/>
      <x:c r="I406" s="14"/>
      <x:c r="J406" s="13" t="str">
        <x:f>IF($G406="","",IF(OR(NOT(ISNUMBER($H406)),NOT(ISNUMBER($I406)),$I406&lt;=0),"Complete PTO fields",IF(COUNTIF('Team Setup'!$A$10:$A$34,$G406)=1,"Ready","Check member name")))</x:f>
      </x:c>
    </x:row>
    <x:row r="407">
      <x:c r="A407" s="20"/>
      <x:c r="B407" s="12"/>
      <x:c r="C407" s="12"/>
      <x:c r="D407" s="12"/>
      <x:c r="E407" s="13" t="str">
        <x:f>IF($A407="","",IF(NOT(ISNUMBER($A407)),"Enter a real date",IF(OR($B407="",$C407="",$D407=""),"Complete holiday fields",IF(COUNTIF('Team Setup'!$H$10:$H$59,$C407)&lt;&gt;1,"Check office location",IF($D407="All","Ready",IF(COUNTIFS('Team Setup'!$H$64:$H$163,$D407,'Team Setup'!$I$64:$I$163,$C407)=1,"Ready","Check group and location"))))))</x:f>
      </x:c>
      <x:c r="F407" s="2"/>
      <x:c r="G407" s="12"/>
      <x:c r="H407" s="20"/>
      <x:c r="I407" s="14"/>
      <x:c r="J407" s="13" t="str">
        <x:f>IF($G407="","",IF(OR(NOT(ISNUMBER($H407)),NOT(ISNUMBER($I407)),$I407&lt;=0),"Complete PTO fields",IF(COUNTIF('Team Setup'!$A$10:$A$34,$G407)=1,"Ready","Check member name")))</x:f>
      </x:c>
    </x:row>
    <x:row r="408">
      <x:c r="A408" s="20"/>
      <x:c r="B408" s="12"/>
      <x:c r="C408" s="12"/>
      <x:c r="D408" s="12"/>
      <x:c r="E408" s="13" t="str">
        <x:f>IF($A408="","",IF(NOT(ISNUMBER($A408)),"Enter a real date",IF(OR($B408="",$C408="",$D408=""),"Complete holiday fields",IF(COUNTIF('Team Setup'!$H$10:$H$59,$C408)&lt;&gt;1,"Check office location",IF($D408="All","Ready",IF(COUNTIFS('Team Setup'!$H$64:$H$163,$D408,'Team Setup'!$I$64:$I$163,$C408)=1,"Ready","Check group and location"))))))</x:f>
      </x:c>
      <x:c r="F408" s="2"/>
      <x:c r="G408" s="12"/>
      <x:c r="H408" s="20"/>
      <x:c r="I408" s="14"/>
      <x:c r="J408" s="13" t="str">
        <x:f>IF($G408="","",IF(OR(NOT(ISNUMBER($H408)),NOT(ISNUMBER($I408)),$I408&lt;=0),"Complete PTO fields",IF(COUNTIF('Team Setup'!$A$10:$A$34,$G408)=1,"Ready","Check member name")))</x:f>
      </x:c>
    </x:row>
    <x:row r="409">
      <x:c r="A409" s="20"/>
      <x:c r="B409" s="12"/>
      <x:c r="C409" s="12"/>
      <x:c r="D409" s="12"/>
      <x:c r="E409" s="13" t="str">
        <x:f>IF($A409="","",IF(NOT(ISNUMBER($A409)),"Enter a real date",IF(OR($B409="",$C409="",$D409=""),"Complete holiday fields",IF(COUNTIF('Team Setup'!$H$10:$H$59,$C409)&lt;&gt;1,"Check office location",IF($D409="All","Ready",IF(COUNTIFS('Team Setup'!$H$64:$H$163,$D409,'Team Setup'!$I$64:$I$163,$C409)=1,"Ready","Check group and location"))))))</x:f>
      </x:c>
      <x:c r="F409" s="2"/>
      <x:c r="G409" s="12"/>
      <x:c r="H409" s="20"/>
      <x:c r="I409" s="14"/>
      <x:c r="J409" s="13" t="str">
        <x:f>IF($G409="","",IF(OR(NOT(ISNUMBER($H409)),NOT(ISNUMBER($I409)),$I409&lt;=0),"Complete PTO fields",IF(COUNTIF('Team Setup'!$A$10:$A$34,$G409)=1,"Ready","Check member name")))</x:f>
      </x:c>
    </x:row>
    <x:row r="410">
      <x:c r="A410" s="20"/>
      <x:c r="B410" s="12"/>
      <x:c r="C410" s="12"/>
      <x:c r="D410" s="12"/>
      <x:c r="E410" s="13" t="str">
        <x:f>IF($A410="","",IF(NOT(ISNUMBER($A410)),"Enter a real date",IF(OR($B410="",$C410="",$D410=""),"Complete holiday fields",IF(COUNTIF('Team Setup'!$H$10:$H$59,$C410)&lt;&gt;1,"Check office location",IF($D410="All","Ready",IF(COUNTIFS('Team Setup'!$H$64:$H$163,$D410,'Team Setup'!$I$64:$I$163,$C410)=1,"Ready","Check group and location"))))))</x:f>
      </x:c>
      <x:c r="F410" s="2"/>
      <x:c r="G410" s="12"/>
      <x:c r="H410" s="20"/>
      <x:c r="I410" s="14"/>
      <x:c r="J410" s="13" t="str">
        <x:f>IF($G410="","",IF(OR(NOT(ISNUMBER($H410)),NOT(ISNUMBER($I410)),$I410&lt;=0),"Complete PTO fields",IF(COUNTIF('Team Setup'!$A$10:$A$34,$G410)=1,"Ready","Check member name")))</x:f>
      </x:c>
    </x:row>
    <x:row r="411">
      <x:c r="A411" s="20"/>
      <x:c r="B411" s="12"/>
      <x:c r="C411" s="12"/>
      <x:c r="D411" s="12"/>
      <x:c r="E411" s="13" t="str">
        <x:f>IF($A411="","",IF(NOT(ISNUMBER($A411)),"Enter a real date",IF(OR($B411="",$C411="",$D411=""),"Complete holiday fields",IF(COUNTIF('Team Setup'!$H$10:$H$59,$C411)&lt;&gt;1,"Check office location",IF($D411="All","Ready",IF(COUNTIFS('Team Setup'!$H$64:$H$163,$D411,'Team Setup'!$I$64:$I$163,$C411)=1,"Ready","Check group and location"))))))</x:f>
      </x:c>
      <x:c r="F411" s="2"/>
      <x:c r="G411" s="12"/>
      <x:c r="H411" s="20"/>
      <x:c r="I411" s="14"/>
      <x:c r="J411" s="13" t="str">
        <x:f>IF($G411="","",IF(OR(NOT(ISNUMBER($H411)),NOT(ISNUMBER($I411)),$I411&lt;=0),"Complete PTO fields",IF(COUNTIF('Team Setup'!$A$10:$A$34,$G411)=1,"Ready","Check member name")))</x:f>
      </x:c>
    </x:row>
    <x:row r="412">
      <x:c r="A412" s="20"/>
      <x:c r="B412" s="12"/>
      <x:c r="C412" s="12"/>
      <x:c r="D412" s="12"/>
      <x:c r="E412" s="13" t="str">
        <x:f>IF($A412="","",IF(NOT(ISNUMBER($A412)),"Enter a real date",IF(OR($B412="",$C412="",$D412=""),"Complete holiday fields",IF(COUNTIF('Team Setup'!$H$10:$H$59,$C412)&lt;&gt;1,"Check office location",IF($D412="All","Ready",IF(COUNTIFS('Team Setup'!$H$64:$H$163,$D412,'Team Setup'!$I$64:$I$163,$C412)=1,"Ready","Check group and location"))))))</x:f>
      </x:c>
      <x:c r="F412" s="2"/>
      <x:c r="G412" s="12"/>
      <x:c r="H412" s="20"/>
      <x:c r="I412" s="14"/>
      <x:c r="J412" s="13" t="str">
        <x:f>IF($G412="","",IF(OR(NOT(ISNUMBER($H412)),NOT(ISNUMBER($I412)),$I412&lt;=0),"Complete PTO fields",IF(COUNTIF('Team Setup'!$A$10:$A$34,$G412)=1,"Ready","Check member name")))</x:f>
      </x:c>
    </x:row>
    <x:row r="413">
      <x:c r="A413" s="20"/>
      <x:c r="B413" s="12"/>
      <x:c r="C413" s="12"/>
      <x:c r="D413" s="12"/>
      <x:c r="E413" s="13" t="str">
        <x:f>IF($A413="","",IF(NOT(ISNUMBER($A413)),"Enter a real date",IF(OR($B413="",$C413="",$D413=""),"Complete holiday fields",IF(COUNTIF('Team Setup'!$H$10:$H$59,$C413)&lt;&gt;1,"Check office location",IF($D413="All","Ready",IF(COUNTIFS('Team Setup'!$H$64:$H$163,$D413,'Team Setup'!$I$64:$I$163,$C413)=1,"Ready","Check group and location"))))))</x:f>
      </x:c>
      <x:c r="F413" s="2"/>
      <x:c r="G413" s="12"/>
      <x:c r="H413" s="20"/>
      <x:c r="I413" s="14"/>
      <x:c r="J413" s="13" t="str">
        <x:f>IF($G413="","",IF(OR(NOT(ISNUMBER($H413)),NOT(ISNUMBER($I413)),$I413&lt;=0),"Complete PTO fields",IF(COUNTIF('Team Setup'!$A$10:$A$34,$G413)=1,"Ready","Check member name")))</x:f>
      </x:c>
    </x:row>
    <x:row r="414">
      <x:c r="A414" s="20"/>
      <x:c r="B414" s="12"/>
      <x:c r="C414" s="12"/>
      <x:c r="D414" s="12"/>
      <x:c r="E414" s="13" t="str">
        <x:f>IF($A414="","",IF(NOT(ISNUMBER($A414)),"Enter a real date",IF(OR($B414="",$C414="",$D414=""),"Complete holiday fields",IF(COUNTIF('Team Setup'!$H$10:$H$59,$C414)&lt;&gt;1,"Check office location",IF($D414="All","Ready",IF(COUNTIFS('Team Setup'!$H$64:$H$163,$D414,'Team Setup'!$I$64:$I$163,$C414)=1,"Ready","Check group and location"))))))</x:f>
      </x:c>
      <x:c r="F414" s="2"/>
      <x:c r="G414" s="12"/>
      <x:c r="H414" s="20"/>
      <x:c r="I414" s="14"/>
      <x:c r="J414" s="13" t="str">
        <x:f>IF($G414="","",IF(OR(NOT(ISNUMBER($H414)),NOT(ISNUMBER($I414)),$I414&lt;=0),"Complete PTO fields",IF(COUNTIF('Team Setup'!$A$10:$A$34,$G414)=1,"Ready","Check member name")))</x:f>
      </x:c>
    </x:row>
    <x:row r="415">
      <x:c r="A415" s="20"/>
      <x:c r="B415" s="12"/>
      <x:c r="C415" s="12"/>
      <x:c r="D415" s="12"/>
      <x:c r="E415" s="13" t="str">
        <x:f>IF($A415="","",IF(NOT(ISNUMBER($A415)),"Enter a real date",IF(OR($B415="",$C415="",$D415=""),"Complete holiday fields",IF(COUNTIF('Team Setup'!$H$10:$H$59,$C415)&lt;&gt;1,"Check office location",IF($D415="All","Ready",IF(COUNTIFS('Team Setup'!$H$64:$H$163,$D415,'Team Setup'!$I$64:$I$163,$C415)=1,"Ready","Check group and location"))))))</x:f>
      </x:c>
      <x:c r="F415" s="2"/>
      <x:c r="G415" s="12"/>
      <x:c r="H415" s="20"/>
      <x:c r="I415" s="14"/>
      <x:c r="J415" s="13" t="str">
        <x:f>IF($G415="","",IF(OR(NOT(ISNUMBER($H415)),NOT(ISNUMBER($I415)),$I415&lt;=0),"Complete PTO fields",IF(COUNTIF('Team Setup'!$A$10:$A$34,$G415)=1,"Ready","Check member name")))</x:f>
      </x:c>
    </x:row>
    <x:row r="416">
      <x:c r="A416" s="20"/>
      <x:c r="B416" s="12"/>
      <x:c r="C416" s="12"/>
      <x:c r="D416" s="12"/>
      <x:c r="E416" s="13" t="str">
        <x:f>IF($A416="","",IF(NOT(ISNUMBER($A416)),"Enter a real date",IF(OR($B416="",$C416="",$D416=""),"Complete holiday fields",IF(COUNTIF('Team Setup'!$H$10:$H$59,$C416)&lt;&gt;1,"Check office location",IF($D416="All","Ready",IF(COUNTIFS('Team Setup'!$H$64:$H$163,$D416,'Team Setup'!$I$64:$I$163,$C416)=1,"Ready","Check group and location"))))))</x:f>
      </x:c>
      <x:c r="F416" s="2"/>
      <x:c r="G416" s="12"/>
      <x:c r="H416" s="20"/>
      <x:c r="I416" s="14"/>
      <x:c r="J416" s="13" t="str">
        <x:f>IF($G416="","",IF(OR(NOT(ISNUMBER($H416)),NOT(ISNUMBER($I416)),$I416&lt;=0),"Complete PTO fields",IF(COUNTIF('Team Setup'!$A$10:$A$34,$G416)=1,"Ready","Check member name")))</x:f>
      </x:c>
    </x:row>
    <x:row r="417">
      <x:c r="A417" s="20"/>
      <x:c r="B417" s="12"/>
      <x:c r="C417" s="12"/>
      <x:c r="D417" s="12"/>
      <x:c r="E417" s="13" t="str">
        <x:f>IF($A417="","",IF(NOT(ISNUMBER($A417)),"Enter a real date",IF(OR($B417="",$C417="",$D417=""),"Complete holiday fields",IF(COUNTIF('Team Setup'!$H$10:$H$59,$C417)&lt;&gt;1,"Check office location",IF($D417="All","Ready",IF(COUNTIFS('Team Setup'!$H$64:$H$163,$D417,'Team Setup'!$I$64:$I$163,$C417)=1,"Ready","Check group and location"))))))</x:f>
      </x:c>
      <x:c r="F417" s="2"/>
      <x:c r="G417" s="12"/>
      <x:c r="H417" s="20"/>
      <x:c r="I417" s="14"/>
      <x:c r="J417" s="13" t="str">
        <x:f>IF($G417="","",IF(OR(NOT(ISNUMBER($H417)),NOT(ISNUMBER($I417)),$I417&lt;=0),"Complete PTO fields",IF(COUNTIF('Team Setup'!$A$10:$A$34,$G417)=1,"Ready","Check member name")))</x:f>
      </x:c>
    </x:row>
    <x:row r="418">
      <x:c r="A418" s="20"/>
      <x:c r="B418" s="12"/>
      <x:c r="C418" s="12"/>
      <x:c r="D418" s="12"/>
      <x:c r="E418" s="13" t="str">
        <x:f>IF($A418="","",IF(NOT(ISNUMBER($A418)),"Enter a real date",IF(OR($B418="",$C418="",$D418=""),"Complete holiday fields",IF(COUNTIF('Team Setup'!$H$10:$H$59,$C418)&lt;&gt;1,"Check office location",IF($D418="All","Ready",IF(COUNTIFS('Team Setup'!$H$64:$H$163,$D418,'Team Setup'!$I$64:$I$163,$C418)=1,"Ready","Check group and location"))))))</x:f>
      </x:c>
      <x:c r="F418" s="2"/>
      <x:c r="G418" s="12"/>
      <x:c r="H418" s="20"/>
      <x:c r="I418" s="14"/>
      <x:c r="J418" s="13" t="str">
        <x:f>IF($G418="","",IF(OR(NOT(ISNUMBER($H418)),NOT(ISNUMBER($I418)),$I418&lt;=0),"Complete PTO fields",IF(COUNTIF('Team Setup'!$A$10:$A$34,$G418)=1,"Ready","Check member name")))</x:f>
      </x:c>
    </x:row>
    <x:row r="419">
      <x:c r="A419" s="20"/>
      <x:c r="B419" s="12"/>
      <x:c r="C419" s="12"/>
      <x:c r="D419" s="12"/>
      <x:c r="E419" s="13" t="str">
        <x:f>IF($A419="","",IF(NOT(ISNUMBER($A419)),"Enter a real date",IF(OR($B419="",$C419="",$D419=""),"Complete holiday fields",IF(COUNTIF('Team Setup'!$H$10:$H$59,$C419)&lt;&gt;1,"Check office location",IF($D419="All","Ready",IF(COUNTIFS('Team Setup'!$H$64:$H$163,$D419,'Team Setup'!$I$64:$I$163,$C419)=1,"Ready","Check group and location"))))))</x:f>
      </x:c>
      <x:c r="F419" s="2"/>
      <x:c r="G419" s="12"/>
      <x:c r="H419" s="20"/>
      <x:c r="I419" s="14"/>
      <x:c r="J419" s="13" t="str">
        <x:f>IF($G419="","",IF(OR(NOT(ISNUMBER($H419)),NOT(ISNUMBER($I419)),$I419&lt;=0),"Complete PTO fields",IF(COUNTIF('Team Setup'!$A$10:$A$34,$G419)=1,"Ready","Check member name")))</x:f>
      </x:c>
    </x:row>
    <x:row r="420">
      <x:c r="A420" s="20"/>
      <x:c r="B420" s="12"/>
      <x:c r="C420" s="12"/>
      <x:c r="D420" s="12"/>
      <x:c r="E420" s="13" t="str">
        <x:f>IF($A420="","",IF(NOT(ISNUMBER($A420)),"Enter a real date",IF(OR($B420="",$C420="",$D420=""),"Complete holiday fields",IF(COUNTIF('Team Setup'!$H$10:$H$59,$C420)&lt;&gt;1,"Check office location",IF($D420="All","Ready",IF(COUNTIFS('Team Setup'!$H$64:$H$163,$D420,'Team Setup'!$I$64:$I$163,$C420)=1,"Ready","Check group and location"))))))</x:f>
      </x:c>
      <x:c r="F420" s="2"/>
      <x:c r="G420" s="12"/>
      <x:c r="H420" s="20"/>
      <x:c r="I420" s="14"/>
      <x:c r="J420" s="13" t="str">
        <x:f>IF($G420="","",IF(OR(NOT(ISNUMBER($H420)),NOT(ISNUMBER($I420)),$I420&lt;=0),"Complete PTO fields",IF(COUNTIF('Team Setup'!$A$10:$A$34,$G420)=1,"Ready","Check member name")))</x:f>
      </x:c>
    </x:row>
    <x:row r="421">
      <x:c r="A421" s="20"/>
      <x:c r="B421" s="12"/>
      <x:c r="C421" s="12"/>
      <x:c r="D421" s="12"/>
      <x:c r="E421" s="13" t="str">
        <x:f>IF($A421="","",IF(NOT(ISNUMBER($A421)),"Enter a real date",IF(OR($B421="",$C421="",$D421=""),"Complete holiday fields",IF(COUNTIF('Team Setup'!$H$10:$H$59,$C421)&lt;&gt;1,"Check office location",IF($D421="All","Ready",IF(COUNTIFS('Team Setup'!$H$64:$H$163,$D421,'Team Setup'!$I$64:$I$163,$C421)=1,"Ready","Check group and location"))))))</x:f>
      </x:c>
      <x:c r="F421" s="2"/>
      <x:c r="G421" s="12"/>
      <x:c r="H421" s="20"/>
      <x:c r="I421" s="14"/>
      <x:c r="J421" s="13" t="str">
        <x:f>IF($G421="","",IF(OR(NOT(ISNUMBER($H421)),NOT(ISNUMBER($I421)),$I421&lt;=0),"Complete PTO fields",IF(COUNTIF('Team Setup'!$A$10:$A$34,$G421)=1,"Ready","Check member name")))</x:f>
      </x:c>
    </x:row>
    <x:row r="422">
      <x:c r="A422" s="20"/>
      <x:c r="B422" s="12"/>
      <x:c r="C422" s="12"/>
      <x:c r="D422" s="12"/>
      <x:c r="E422" s="13" t="str">
        <x:f>IF($A422="","",IF(NOT(ISNUMBER($A422)),"Enter a real date",IF(OR($B422="",$C422="",$D422=""),"Complete holiday fields",IF(COUNTIF('Team Setup'!$H$10:$H$59,$C422)&lt;&gt;1,"Check office location",IF($D422="All","Ready",IF(COUNTIFS('Team Setup'!$H$64:$H$163,$D422,'Team Setup'!$I$64:$I$163,$C422)=1,"Ready","Check group and location"))))))</x:f>
      </x:c>
      <x:c r="F422" s="2"/>
      <x:c r="G422" s="12"/>
      <x:c r="H422" s="20"/>
      <x:c r="I422" s="14"/>
      <x:c r="J422" s="13" t="str">
        <x:f>IF($G422="","",IF(OR(NOT(ISNUMBER($H422)),NOT(ISNUMBER($I422)),$I422&lt;=0),"Complete PTO fields",IF(COUNTIF('Team Setup'!$A$10:$A$34,$G422)=1,"Ready","Check member name")))</x:f>
      </x:c>
    </x:row>
    <x:row r="423">
      <x:c r="A423" s="20"/>
      <x:c r="B423" s="12"/>
      <x:c r="C423" s="12"/>
      <x:c r="D423" s="12"/>
      <x:c r="E423" s="13" t="str">
        <x:f>IF($A423="","",IF(NOT(ISNUMBER($A423)),"Enter a real date",IF(OR($B423="",$C423="",$D423=""),"Complete holiday fields",IF(COUNTIF('Team Setup'!$H$10:$H$59,$C423)&lt;&gt;1,"Check office location",IF($D423="All","Ready",IF(COUNTIFS('Team Setup'!$H$64:$H$163,$D423,'Team Setup'!$I$64:$I$163,$C423)=1,"Ready","Check group and location"))))))</x:f>
      </x:c>
      <x:c r="F423" s="2"/>
      <x:c r="G423" s="12"/>
      <x:c r="H423" s="20"/>
      <x:c r="I423" s="14"/>
      <x:c r="J423" s="13" t="str">
        <x:f>IF($G423="","",IF(OR(NOT(ISNUMBER($H423)),NOT(ISNUMBER($I423)),$I423&lt;=0),"Complete PTO fields",IF(COUNTIF('Team Setup'!$A$10:$A$34,$G423)=1,"Ready","Check member name")))</x:f>
      </x:c>
    </x:row>
    <x:row r="424">
      <x:c r="A424" s="20"/>
      <x:c r="B424" s="12"/>
      <x:c r="C424" s="12"/>
      <x:c r="D424" s="12"/>
      <x:c r="E424" s="13" t="str">
        <x:f>IF($A424="","",IF(NOT(ISNUMBER($A424)),"Enter a real date",IF(OR($B424="",$C424="",$D424=""),"Complete holiday fields",IF(COUNTIF('Team Setup'!$H$10:$H$59,$C424)&lt;&gt;1,"Check office location",IF($D424="All","Ready",IF(COUNTIFS('Team Setup'!$H$64:$H$163,$D424,'Team Setup'!$I$64:$I$163,$C424)=1,"Ready","Check group and location"))))))</x:f>
      </x:c>
      <x:c r="F424" s="2"/>
      <x:c r="G424" s="12"/>
      <x:c r="H424" s="20"/>
      <x:c r="I424" s="14"/>
      <x:c r="J424" s="13" t="str">
        <x:f>IF($G424="","",IF(OR(NOT(ISNUMBER($H424)),NOT(ISNUMBER($I424)),$I424&lt;=0),"Complete PTO fields",IF(COUNTIF('Team Setup'!$A$10:$A$34,$G424)=1,"Ready","Check member name")))</x:f>
      </x:c>
    </x:row>
    <x:row r="425">
      <x:c r="A425" s="20"/>
      <x:c r="B425" s="12"/>
      <x:c r="C425" s="12"/>
      <x:c r="D425" s="12"/>
      <x:c r="E425" s="13" t="str">
        <x:f>IF($A425="","",IF(NOT(ISNUMBER($A425)),"Enter a real date",IF(OR($B425="",$C425="",$D425=""),"Complete holiday fields",IF(COUNTIF('Team Setup'!$H$10:$H$59,$C425)&lt;&gt;1,"Check office location",IF($D425="All","Ready",IF(COUNTIFS('Team Setup'!$H$64:$H$163,$D425,'Team Setup'!$I$64:$I$163,$C425)=1,"Ready","Check group and location"))))))</x:f>
      </x:c>
      <x:c r="F425" s="2"/>
      <x:c r="G425" s="12"/>
      <x:c r="H425" s="20"/>
      <x:c r="I425" s="14"/>
      <x:c r="J425" s="13" t="str">
        <x:f>IF($G425="","",IF(OR(NOT(ISNUMBER($H425)),NOT(ISNUMBER($I425)),$I425&lt;=0),"Complete PTO fields",IF(COUNTIF('Team Setup'!$A$10:$A$34,$G425)=1,"Ready","Check member name")))</x:f>
      </x:c>
    </x:row>
    <x:row r="426">
      <x:c r="A426" s="20"/>
      <x:c r="B426" s="12"/>
      <x:c r="C426" s="12"/>
      <x:c r="D426" s="12"/>
      <x:c r="E426" s="13" t="str">
        <x:f>IF($A426="","",IF(NOT(ISNUMBER($A426)),"Enter a real date",IF(OR($B426="",$C426="",$D426=""),"Complete holiday fields",IF(COUNTIF('Team Setup'!$H$10:$H$59,$C426)&lt;&gt;1,"Check office location",IF($D426="All","Ready",IF(COUNTIFS('Team Setup'!$H$64:$H$163,$D426,'Team Setup'!$I$64:$I$163,$C426)=1,"Ready","Check group and location"))))))</x:f>
      </x:c>
      <x:c r="F426" s="2"/>
      <x:c r="G426" s="12"/>
      <x:c r="H426" s="20"/>
      <x:c r="I426" s="14"/>
      <x:c r="J426" s="13" t="str">
        <x:f>IF($G426="","",IF(OR(NOT(ISNUMBER($H426)),NOT(ISNUMBER($I426)),$I426&lt;=0),"Complete PTO fields",IF(COUNTIF('Team Setup'!$A$10:$A$34,$G426)=1,"Ready","Check member name")))</x:f>
      </x:c>
    </x:row>
    <x:row r="427">
      <x:c r="A427" s="20"/>
      <x:c r="B427" s="12"/>
      <x:c r="C427" s="12"/>
      <x:c r="D427" s="12"/>
      <x:c r="E427" s="13" t="str">
        <x:f>IF($A427="","",IF(NOT(ISNUMBER($A427)),"Enter a real date",IF(OR($B427="",$C427="",$D427=""),"Complete holiday fields",IF(COUNTIF('Team Setup'!$H$10:$H$59,$C427)&lt;&gt;1,"Check office location",IF($D427="All","Ready",IF(COUNTIFS('Team Setup'!$H$64:$H$163,$D427,'Team Setup'!$I$64:$I$163,$C427)=1,"Ready","Check group and location"))))))</x:f>
      </x:c>
      <x:c r="F427" s="2"/>
      <x:c r="G427" s="12"/>
      <x:c r="H427" s="20"/>
      <x:c r="I427" s="14"/>
      <x:c r="J427" s="13" t="str">
        <x:f>IF($G427="","",IF(OR(NOT(ISNUMBER($H427)),NOT(ISNUMBER($I427)),$I427&lt;=0),"Complete PTO fields",IF(COUNTIF('Team Setup'!$A$10:$A$34,$G427)=1,"Ready","Check member name")))</x:f>
      </x:c>
    </x:row>
    <x:row r="428">
      <x:c r="A428" s="20"/>
      <x:c r="B428" s="12"/>
      <x:c r="C428" s="12"/>
      <x:c r="D428" s="12"/>
      <x:c r="E428" s="13" t="str">
        <x:f>IF($A428="","",IF(NOT(ISNUMBER($A428)),"Enter a real date",IF(OR($B428="",$C428="",$D428=""),"Complete holiday fields",IF(COUNTIF('Team Setup'!$H$10:$H$59,$C428)&lt;&gt;1,"Check office location",IF($D428="All","Ready",IF(COUNTIFS('Team Setup'!$H$64:$H$163,$D428,'Team Setup'!$I$64:$I$163,$C428)=1,"Ready","Check group and location"))))))</x:f>
      </x:c>
      <x:c r="F428" s="2"/>
      <x:c r="G428" s="12"/>
      <x:c r="H428" s="20"/>
      <x:c r="I428" s="14"/>
      <x:c r="J428" s="13" t="str">
        <x:f>IF($G428="","",IF(OR(NOT(ISNUMBER($H428)),NOT(ISNUMBER($I428)),$I428&lt;=0),"Complete PTO fields",IF(COUNTIF('Team Setup'!$A$10:$A$34,$G428)=1,"Ready","Check member name")))</x:f>
      </x:c>
    </x:row>
    <x:row r="429">
      <x:c r="A429" s="20"/>
      <x:c r="B429" s="12"/>
      <x:c r="C429" s="12"/>
      <x:c r="D429" s="12"/>
      <x:c r="E429" s="13" t="str">
        <x:f>IF($A429="","",IF(NOT(ISNUMBER($A429)),"Enter a real date",IF(OR($B429="",$C429="",$D429=""),"Complete holiday fields",IF(COUNTIF('Team Setup'!$H$10:$H$59,$C429)&lt;&gt;1,"Check office location",IF($D429="All","Ready",IF(COUNTIFS('Team Setup'!$H$64:$H$163,$D429,'Team Setup'!$I$64:$I$163,$C429)=1,"Ready","Check group and location"))))))</x:f>
      </x:c>
      <x:c r="F429" s="2"/>
      <x:c r="G429" s="12"/>
      <x:c r="H429" s="20"/>
      <x:c r="I429" s="14"/>
      <x:c r="J429" s="13" t="str">
        <x:f>IF($G429="","",IF(OR(NOT(ISNUMBER($H429)),NOT(ISNUMBER($I429)),$I429&lt;=0),"Complete PTO fields",IF(COUNTIF('Team Setup'!$A$10:$A$34,$G429)=1,"Ready","Check member name")))</x:f>
      </x:c>
    </x:row>
    <x:row r="430">
      <x:c r="A430" s="20"/>
      <x:c r="B430" s="12"/>
      <x:c r="C430" s="12"/>
      <x:c r="D430" s="12"/>
      <x:c r="E430" s="13" t="str">
        <x:f>IF($A430="","",IF(NOT(ISNUMBER($A430)),"Enter a real date",IF(OR($B430="",$C430="",$D430=""),"Complete holiday fields",IF(COUNTIF('Team Setup'!$H$10:$H$59,$C430)&lt;&gt;1,"Check office location",IF($D430="All","Ready",IF(COUNTIFS('Team Setup'!$H$64:$H$163,$D430,'Team Setup'!$I$64:$I$163,$C430)=1,"Ready","Check group and location"))))))</x:f>
      </x:c>
      <x:c r="F430" s="2"/>
      <x:c r="G430" s="12"/>
      <x:c r="H430" s="20"/>
      <x:c r="I430" s="14"/>
      <x:c r="J430" s="13" t="str">
        <x:f>IF($G430="","",IF(OR(NOT(ISNUMBER($H430)),NOT(ISNUMBER($I430)),$I430&lt;=0),"Complete PTO fields",IF(COUNTIF('Team Setup'!$A$10:$A$34,$G430)=1,"Ready","Check member name")))</x:f>
      </x:c>
    </x:row>
    <x:row r="431">
      <x:c r="A431" s="20"/>
      <x:c r="B431" s="12"/>
      <x:c r="C431" s="12"/>
      <x:c r="D431" s="12"/>
      <x:c r="E431" s="13" t="str">
        <x:f>IF($A431="","",IF(NOT(ISNUMBER($A431)),"Enter a real date",IF(OR($B431="",$C431="",$D431=""),"Complete holiday fields",IF(COUNTIF('Team Setup'!$H$10:$H$59,$C431)&lt;&gt;1,"Check office location",IF($D431="All","Ready",IF(COUNTIFS('Team Setup'!$H$64:$H$163,$D431,'Team Setup'!$I$64:$I$163,$C431)=1,"Ready","Check group and location"))))))</x:f>
      </x:c>
      <x:c r="F431" s="2"/>
      <x:c r="G431" s="12"/>
      <x:c r="H431" s="20"/>
      <x:c r="I431" s="14"/>
      <x:c r="J431" s="13" t="str">
        <x:f>IF($G431="","",IF(OR(NOT(ISNUMBER($H431)),NOT(ISNUMBER($I431)),$I431&lt;=0),"Complete PTO fields",IF(COUNTIF('Team Setup'!$A$10:$A$34,$G431)=1,"Ready","Check member name")))</x:f>
      </x:c>
    </x:row>
    <x:row r="432">
      <x:c r="A432" s="20"/>
      <x:c r="B432" s="12"/>
      <x:c r="C432" s="12"/>
      <x:c r="D432" s="12"/>
      <x:c r="E432" s="13" t="str">
        <x:f>IF($A432="","",IF(NOT(ISNUMBER($A432)),"Enter a real date",IF(OR($B432="",$C432="",$D432=""),"Complete holiday fields",IF(COUNTIF('Team Setup'!$H$10:$H$59,$C432)&lt;&gt;1,"Check office location",IF($D432="All","Ready",IF(COUNTIFS('Team Setup'!$H$64:$H$163,$D432,'Team Setup'!$I$64:$I$163,$C432)=1,"Ready","Check group and location"))))))</x:f>
      </x:c>
      <x:c r="F432" s="2"/>
      <x:c r="G432" s="12"/>
      <x:c r="H432" s="20"/>
      <x:c r="I432" s="14"/>
      <x:c r="J432" s="13" t="str">
        <x:f>IF($G432="","",IF(OR(NOT(ISNUMBER($H432)),NOT(ISNUMBER($I432)),$I432&lt;=0),"Complete PTO fields",IF(COUNTIF('Team Setup'!$A$10:$A$34,$G432)=1,"Ready","Check member name")))</x:f>
      </x:c>
    </x:row>
    <x:row r="433">
      <x:c r="A433" s="20"/>
      <x:c r="B433" s="12"/>
      <x:c r="C433" s="12"/>
      <x:c r="D433" s="12"/>
      <x:c r="E433" s="13" t="str">
        <x:f>IF($A433="","",IF(NOT(ISNUMBER($A433)),"Enter a real date",IF(OR($B433="",$C433="",$D433=""),"Complete holiday fields",IF(COUNTIF('Team Setup'!$H$10:$H$59,$C433)&lt;&gt;1,"Check office location",IF($D433="All","Ready",IF(COUNTIFS('Team Setup'!$H$64:$H$163,$D433,'Team Setup'!$I$64:$I$163,$C433)=1,"Ready","Check group and location"))))))</x:f>
      </x:c>
      <x:c r="F433" s="2"/>
      <x:c r="G433" s="12"/>
      <x:c r="H433" s="20"/>
      <x:c r="I433" s="14"/>
      <x:c r="J433" s="13" t="str">
        <x:f>IF($G433="","",IF(OR(NOT(ISNUMBER($H433)),NOT(ISNUMBER($I433)),$I433&lt;=0),"Complete PTO fields",IF(COUNTIF('Team Setup'!$A$10:$A$34,$G433)=1,"Ready","Check member name")))</x:f>
      </x:c>
    </x:row>
    <x:row r="434">
      <x:c r="A434" s="20"/>
      <x:c r="B434" s="12"/>
      <x:c r="C434" s="12"/>
      <x:c r="D434" s="12"/>
      <x:c r="E434" s="13" t="str">
        <x:f>IF($A434="","",IF(NOT(ISNUMBER($A434)),"Enter a real date",IF(OR($B434="",$C434="",$D434=""),"Complete holiday fields",IF(COUNTIF('Team Setup'!$H$10:$H$59,$C434)&lt;&gt;1,"Check office location",IF($D434="All","Ready",IF(COUNTIFS('Team Setup'!$H$64:$H$163,$D434,'Team Setup'!$I$64:$I$163,$C434)=1,"Ready","Check group and location"))))))</x:f>
      </x:c>
      <x:c r="F434" s="2"/>
      <x:c r="G434" s="12"/>
      <x:c r="H434" s="20"/>
      <x:c r="I434" s="14"/>
      <x:c r="J434" s="13" t="str">
        <x:f>IF($G434="","",IF(OR(NOT(ISNUMBER($H434)),NOT(ISNUMBER($I434)),$I434&lt;=0),"Complete PTO fields",IF(COUNTIF('Team Setup'!$A$10:$A$34,$G434)=1,"Ready","Check member name")))</x:f>
      </x:c>
    </x:row>
    <x:row r="435">
      <x:c r="A435" s="20"/>
      <x:c r="B435" s="12"/>
      <x:c r="C435" s="12"/>
      <x:c r="D435" s="12"/>
      <x:c r="E435" s="13" t="str">
        <x:f>IF($A435="","",IF(NOT(ISNUMBER($A435)),"Enter a real date",IF(OR($B435="",$C435="",$D435=""),"Complete holiday fields",IF(COUNTIF('Team Setup'!$H$10:$H$59,$C435)&lt;&gt;1,"Check office location",IF($D435="All","Ready",IF(COUNTIFS('Team Setup'!$H$64:$H$163,$D435,'Team Setup'!$I$64:$I$163,$C435)=1,"Ready","Check group and location"))))))</x:f>
      </x:c>
      <x:c r="F435" s="2"/>
      <x:c r="G435" s="12"/>
      <x:c r="H435" s="20"/>
      <x:c r="I435" s="14"/>
      <x:c r="J435" s="13" t="str">
        <x:f>IF($G435="","",IF(OR(NOT(ISNUMBER($H435)),NOT(ISNUMBER($I435)),$I435&lt;=0),"Complete PTO fields",IF(COUNTIF('Team Setup'!$A$10:$A$34,$G435)=1,"Ready","Check member name")))</x:f>
      </x:c>
    </x:row>
    <x:row r="436">
      <x:c r="A436" s="20"/>
      <x:c r="B436" s="12"/>
      <x:c r="C436" s="12"/>
      <x:c r="D436" s="12"/>
      <x:c r="E436" s="13" t="str">
        <x:f>IF($A436="","",IF(NOT(ISNUMBER($A436)),"Enter a real date",IF(OR($B436="",$C436="",$D436=""),"Complete holiday fields",IF(COUNTIF('Team Setup'!$H$10:$H$59,$C436)&lt;&gt;1,"Check office location",IF($D436="All","Ready",IF(COUNTIFS('Team Setup'!$H$64:$H$163,$D436,'Team Setup'!$I$64:$I$163,$C436)=1,"Ready","Check group and location"))))))</x:f>
      </x:c>
      <x:c r="F436" s="2"/>
      <x:c r="G436" s="12"/>
      <x:c r="H436" s="20"/>
      <x:c r="I436" s="14"/>
      <x:c r="J436" s="13" t="str">
        <x:f>IF($G436="","",IF(OR(NOT(ISNUMBER($H436)),NOT(ISNUMBER($I436)),$I436&lt;=0),"Complete PTO fields",IF(COUNTIF('Team Setup'!$A$10:$A$34,$G436)=1,"Ready","Check member name")))</x:f>
      </x:c>
    </x:row>
    <x:row r="437">
      <x:c r="A437" s="20"/>
      <x:c r="B437" s="12"/>
      <x:c r="C437" s="12"/>
      <x:c r="D437" s="12"/>
      <x:c r="E437" s="13" t="str">
        <x:f>IF($A437="","",IF(NOT(ISNUMBER($A437)),"Enter a real date",IF(OR($B437="",$C437="",$D437=""),"Complete holiday fields",IF(COUNTIF('Team Setup'!$H$10:$H$59,$C437)&lt;&gt;1,"Check office location",IF($D437="All","Ready",IF(COUNTIFS('Team Setup'!$H$64:$H$163,$D437,'Team Setup'!$I$64:$I$163,$C437)=1,"Ready","Check group and location"))))))</x:f>
      </x:c>
      <x:c r="F437" s="2"/>
      <x:c r="G437" s="12"/>
      <x:c r="H437" s="20"/>
      <x:c r="I437" s="14"/>
      <x:c r="J437" s="13" t="str">
        <x:f>IF($G437="","",IF(OR(NOT(ISNUMBER($H437)),NOT(ISNUMBER($I437)),$I437&lt;=0),"Complete PTO fields",IF(COUNTIF('Team Setup'!$A$10:$A$34,$G437)=1,"Ready","Check member name")))</x:f>
      </x:c>
    </x:row>
    <x:row r="438">
      <x:c r="A438" s="20"/>
      <x:c r="B438" s="12"/>
      <x:c r="C438" s="12"/>
      <x:c r="D438" s="12"/>
      <x:c r="E438" s="13" t="str">
        <x:f>IF($A438="","",IF(NOT(ISNUMBER($A438)),"Enter a real date",IF(OR($B438="",$C438="",$D438=""),"Complete holiday fields",IF(COUNTIF('Team Setup'!$H$10:$H$59,$C438)&lt;&gt;1,"Check office location",IF($D438="All","Ready",IF(COUNTIFS('Team Setup'!$H$64:$H$163,$D438,'Team Setup'!$I$64:$I$163,$C438)=1,"Ready","Check group and location"))))))</x:f>
      </x:c>
      <x:c r="F438" s="2"/>
      <x:c r="G438" s="12"/>
      <x:c r="H438" s="20"/>
      <x:c r="I438" s="14"/>
      <x:c r="J438" s="13" t="str">
        <x:f>IF($G438="","",IF(OR(NOT(ISNUMBER($H438)),NOT(ISNUMBER($I438)),$I438&lt;=0),"Complete PTO fields",IF(COUNTIF('Team Setup'!$A$10:$A$34,$G438)=1,"Ready","Check member name")))</x:f>
      </x:c>
    </x:row>
    <x:row r="439">
      <x:c r="A439" s="20"/>
      <x:c r="B439" s="12"/>
      <x:c r="C439" s="12"/>
      <x:c r="D439" s="12"/>
      <x:c r="E439" s="13" t="str">
        <x:f>IF($A439="","",IF(NOT(ISNUMBER($A439)),"Enter a real date",IF(OR($B439="",$C439="",$D439=""),"Complete holiday fields",IF(COUNTIF('Team Setup'!$H$10:$H$59,$C439)&lt;&gt;1,"Check office location",IF($D439="All","Ready",IF(COUNTIFS('Team Setup'!$H$64:$H$163,$D439,'Team Setup'!$I$64:$I$163,$C439)=1,"Ready","Check group and location"))))))</x:f>
      </x:c>
      <x:c r="F439" s="2"/>
      <x:c r="G439" s="12"/>
      <x:c r="H439" s="20"/>
      <x:c r="I439" s="14"/>
      <x:c r="J439" s="13" t="str">
        <x:f>IF($G439="","",IF(OR(NOT(ISNUMBER($H439)),NOT(ISNUMBER($I439)),$I439&lt;=0),"Complete PTO fields",IF(COUNTIF('Team Setup'!$A$10:$A$34,$G439)=1,"Ready","Check member name")))</x:f>
      </x:c>
    </x:row>
    <x:row r="440">
      <x:c r="A440" s="20"/>
      <x:c r="B440" s="12"/>
      <x:c r="C440" s="12"/>
      <x:c r="D440" s="12"/>
      <x:c r="E440" s="13" t="str">
        <x:f>IF($A440="","",IF(NOT(ISNUMBER($A440)),"Enter a real date",IF(OR($B440="",$C440="",$D440=""),"Complete holiday fields",IF(COUNTIF('Team Setup'!$H$10:$H$59,$C440)&lt;&gt;1,"Check office location",IF($D440="All","Ready",IF(COUNTIFS('Team Setup'!$H$64:$H$163,$D440,'Team Setup'!$I$64:$I$163,$C440)=1,"Ready","Check group and location"))))))</x:f>
      </x:c>
      <x:c r="F440" s="2"/>
      <x:c r="G440" s="12"/>
      <x:c r="H440" s="20"/>
      <x:c r="I440" s="14"/>
      <x:c r="J440" s="13" t="str">
        <x:f>IF($G440="","",IF(OR(NOT(ISNUMBER($H440)),NOT(ISNUMBER($I440)),$I440&lt;=0),"Complete PTO fields",IF(COUNTIF('Team Setup'!$A$10:$A$34,$G440)=1,"Ready","Check member name")))</x:f>
      </x:c>
    </x:row>
    <x:row r="441">
      <x:c r="A441" s="20"/>
      <x:c r="B441" s="12"/>
      <x:c r="C441" s="12"/>
      <x:c r="D441" s="12"/>
      <x:c r="E441" s="13" t="str">
        <x:f>IF($A441="","",IF(NOT(ISNUMBER($A441)),"Enter a real date",IF(OR($B441="",$C441="",$D441=""),"Complete holiday fields",IF(COUNTIF('Team Setup'!$H$10:$H$59,$C441)&lt;&gt;1,"Check office location",IF($D441="All","Ready",IF(COUNTIFS('Team Setup'!$H$64:$H$163,$D441,'Team Setup'!$I$64:$I$163,$C441)=1,"Ready","Check group and location"))))))</x:f>
      </x:c>
      <x:c r="F441" s="2"/>
      <x:c r="G441" s="12"/>
      <x:c r="H441" s="20"/>
      <x:c r="I441" s="14"/>
      <x:c r="J441" s="13" t="str">
        <x:f>IF($G441="","",IF(OR(NOT(ISNUMBER($H441)),NOT(ISNUMBER($I441)),$I441&lt;=0),"Complete PTO fields",IF(COUNTIF('Team Setup'!$A$10:$A$34,$G441)=1,"Ready","Check member name")))</x:f>
      </x:c>
    </x:row>
    <x:row r="442">
      <x:c r="A442" s="20"/>
      <x:c r="B442" s="12"/>
      <x:c r="C442" s="12"/>
      <x:c r="D442" s="12"/>
      <x:c r="E442" s="13" t="str">
        <x:f>IF($A442="","",IF(NOT(ISNUMBER($A442)),"Enter a real date",IF(OR($B442="",$C442="",$D442=""),"Complete holiday fields",IF(COUNTIF('Team Setup'!$H$10:$H$59,$C442)&lt;&gt;1,"Check office location",IF($D442="All","Ready",IF(COUNTIFS('Team Setup'!$H$64:$H$163,$D442,'Team Setup'!$I$64:$I$163,$C442)=1,"Ready","Check group and location"))))))</x:f>
      </x:c>
      <x:c r="F442" s="2"/>
      <x:c r="G442" s="12"/>
      <x:c r="H442" s="20"/>
      <x:c r="I442" s="14"/>
      <x:c r="J442" s="13" t="str">
        <x:f>IF($G442="","",IF(OR(NOT(ISNUMBER($H442)),NOT(ISNUMBER($I442)),$I442&lt;=0),"Complete PTO fields",IF(COUNTIF('Team Setup'!$A$10:$A$34,$G442)=1,"Ready","Check member name")))</x:f>
      </x:c>
    </x:row>
    <x:row r="443">
      <x:c r="A443" s="20"/>
      <x:c r="B443" s="12"/>
      <x:c r="C443" s="12"/>
      <x:c r="D443" s="12"/>
      <x:c r="E443" s="13" t="str">
        <x:f>IF($A443="","",IF(NOT(ISNUMBER($A443)),"Enter a real date",IF(OR($B443="",$C443="",$D443=""),"Complete holiday fields",IF(COUNTIF('Team Setup'!$H$10:$H$59,$C443)&lt;&gt;1,"Check office location",IF($D443="All","Ready",IF(COUNTIFS('Team Setup'!$H$64:$H$163,$D443,'Team Setup'!$I$64:$I$163,$C443)=1,"Ready","Check group and location"))))))</x:f>
      </x:c>
      <x:c r="F443" s="2"/>
      <x:c r="G443" s="12"/>
      <x:c r="H443" s="20"/>
      <x:c r="I443" s="14"/>
      <x:c r="J443" s="13" t="str">
        <x:f>IF($G443="","",IF(OR(NOT(ISNUMBER($H443)),NOT(ISNUMBER($I443)),$I443&lt;=0),"Complete PTO fields",IF(COUNTIF('Team Setup'!$A$10:$A$34,$G443)=1,"Ready","Check member name")))</x:f>
      </x:c>
    </x:row>
    <x:row r="444">
      <x:c r="A444" s="20"/>
      <x:c r="B444" s="12"/>
      <x:c r="C444" s="12"/>
      <x:c r="D444" s="12"/>
      <x:c r="E444" s="13" t="str">
        <x:f>IF($A444="","",IF(NOT(ISNUMBER($A444)),"Enter a real date",IF(OR($B444="",$C444="",$D444=""),"Complete holiday fields",IF(COUNTIF('Team Setup'!$H$10:$H$59,$C444)&lt;&gt;1,"Check office location",IF($D444="All","Ready",IF(COUNTIFS('Team Setup'!$H$64:$H$163,$D444,'Team Setup'!$I$64:$I$163,$C444)=1,"Ready","Check group and location"))))))</x:f>
      </x:c>
      <x:c r="F444" s="2"/>
      <x:c r="G444" s="12"/>
      <x:c r="H444" s="20"/>
      <x:c r="I444" s="14"/>
      <x:c r="J444" s="13" t="str">
        <x:f>IF($G444="","",IF(OR(NOT(ISNUMBER($H444)),NOT(ISNUMBER($I444)),$I444&lt;=0),"Complete PTO fields",IF(COUNTIF('Team Setup'!$A$10:$A$34,$G444)=1,"Ready","Check member name")))</x:f>
      </x:c>
    </x:row>
    <x:row r="445">
      <x:c r="A445" s="20"/>
      <x:c r="B445" s="12"/>
      <x:c r="C445" s="12"/>
      <x:c r="D445" s="12"/>
      <x:c r="E445" s="13" t="str">
        <x:f>IF($A445="","",IF(NOT(ISNUMBER($A445)),"Enter a real date",IF(OR($B445="",$C445="",$D445=""),"Complete holiday fields",IF(COUNTIF('Team Setup'!$H$10:$H$59,$C445)&lt;&gt;1,"Check office location",IF($D445="All","Ready",IF(COUNTIFS('Team Setup'!$H$64:$H$163,$D445,'Team Setup'!$I$64:$I$163,$C445)=1,"Ready","Check group and location"))))))</x:f>
      </x:c>
      <x:c r="F445" s="2"/>
      <x:c r="G445" s="12"/>
      <x:c r="H445" s="20"/>
      <x:c r="I445" s="14"/>
      <x:c r="J445" s="13" t="str">
        <x:f>IF($G445="","",IF(OR(NOT(ISNUMBER($H445)),NOT(ISNUMBER($I445)),$I445&lt;=0),"Complete PTO fields",IF(COUNTIF('Team Setup'!$A$10:$A$34,$G445)=1,"Ready","Check member name")))</x:f>
      </x:c>
    </x:row>
    <x:row r="446">
      <x:c r="A446" s="20"/>
      <x:c r="B446" s="12"/>
      <x:c r="C446" s="12"/>
      <x:c r="D446" s="12"/>
      <x:c r="E446" s="13" t="str">
        <x:f>IF($A446="","",IF(NOT(ISNUMBER($A446)),"Enter a real date",IF(OR($B446="",$C446="",$D446=""),"Complete holiday fields",IF(COUNTIF('Team Setup'!$H$10:$H$59,$C446)&lt;&gt;1,"Check office location",IF($D446="All","Ready",IF(COUNTIFS('Team Setup'!$H$64:$H$163,$D446,'Team Setup'!$I$64:$I$163,$C446)=1,"Ready","Check group and location"))))))</x:f>
      </x:c>
      <x:c r="F446" s="2"/>
      <x:c r="G446" s="12"/>
      <x:c r="H446" s="20"/>
      <x:c r="I446" s="14"/>
      <x:c r="J446" s="13" t="str">
        <x:f>IF($G446="","",IF(OR(NOT(ISNUMBER($H446)),NOT(ISNUMBER($I446)),$I446&lt;=0),"Complete PTO fields",IF(COUNTIF('Team Setup'!$A$10:$A$34,$G446)=1,"Ready","Check member name")))</x:f>
      </x:c>
    </x:row>
    <x:row r="447">
      <x:c r="A447" s="20"/>
      <x:c r="B447" s="12"/>
      <x:c r="C447" s="12"/>
      <x:c r="D447" s="12"/>
      <x:c r="E447" s="13" t="str">
        <x:f>IF($A447="","",IF(NOT(ISNUMBER($A447)),"Enter a real date",IF(OR($B447="",$C447="",$D447=""),"Complete holiday fields",IF(COUNTIF('Team Setup'!$H$10:$H$59,$C447)&lt;&gt;1,"Check office location",IF($D447="All","Ready",IF(COUNTIFS('Team Setup'!$H$64:$H$163,$D447,'Team Setup'!$I$64:$I$163,$C447)=1,"Ready","Check group and location"))))))</x:f>
      </x:c>
      <x:c r="F447" s="2"/>
      <x:c r="G447" s="12"/>
      <x:c r="H447" s="20"/>
      <x:c r="I447" s="14"/>
      <x:c r="J447" s="13" t="str">
        <x:f>IF($G447="","",IF(OR(NOT(ISNUMBER($H447)),NOT(ISNUMBER($I447)),$I447&lt;=0),"Complete PTO fields",IF(COUNTIF('Team Setup'!$A$10:$A$34,$G447)=1,"Ready","Check member name")))</x:f>
      </x:c>
    </x:row>
    <x:row r="448">
      <x:c r="A448" s="20"/>
      <x:c r="B448" s="12"/>
      <x:c r="C448" s="12"/>
      <x:c r="D448" s="12"/>
      <x:c r="E448" s="13" t="str">
        <x:f>IF($A448="","",IF(NOT(ISNUMBER($A448)),"Enter a real date",IF(OR($B448="",$C448="",$D448=""),"Complete holiday fields",IF(COUNTIF('Team Setup'!$H$10:$H$59,$C448)&lt;&gt;1,"Check office location",IF($D448="All","Ready",IF(COUNTIFS('Team Setup'!$H$64:$H$163,$D448,'Team Setup'!$I$64:$I$163,$C448)=1,"Ready","Check group and location"))))))</x:f>
      </x:c>
      <x:c r="F448" s="2"/>
      <x:c r="G448" s="12"/>
      <x:c r="H448" s="20"/>
      <x:c r="I448" s="14"/>
      <x:c r="J448" s="13" t="str">
        <x:f>IF($G448="","",IF(OR(NOT(ISNUMBER($H448)),NOT(ISNUMBER($I448)),$I448&lt;=0),"Complete PTO fields",IF(COUNTIF('Team Setup'!$A$10:$A$34,$G448)=1,"Ready","Check member name")))</x:f>
      </x:c>
    </x:row>
    <x:row r="449">
      <x:c r="A449" s="20"/>
      <x:c r="B449" s="12"/>
      <x:c r="C449" s="12"/>
      <x:c r="D449" s="12"/>
      <x:c r="E449" s="13" t="str">
        <x:f>IF($A449="","",IF(NOT(ISNUMBER($A449)),"Enter a real date",IF(OR($B449="",$C449="",$D449=""),"Complete holiday fields",IF(COUNTIF('Team Setup'!$H$10:$H$59,$C449)&lt;&gt;1,"Check office location",IF($D449="All","Ready",IF(COUNTIFS('Team Setup'!$H$64:$H$163,$D449,'Team Setup'!$I$64:$I$163,$C449)=1,"Ready","Check group and location"))))))</x:f>
      </x:c>
      <x:c r="F449" s="2"/>
      <x:c r="G449" s="12"/>
      <x:c r="H449" s="20"/>
      <x:c r="I449" s="14"/>
      <x:c r="J449" s="13" t="str">
        <x:f>IF($G449="","",IF(OR(NOT(ISNUMBER($H449)),NOT(ISNUMBER($I449)),$I449&lt;=0),"Complete PTO fields",IF(COUNTIF('Team Setup'!$A$10:$A$34,$G449)=1,"Ready","Check member name")))</x:f>
      </x:c>
    </x:row>
    <x:row r="450">
      <x:c r="A450" s="20"/>
      <x:c r="B450" s="12"/>
      <x:c r="C450" s="12"/>
      <x:c r="D450" s="12"/>
      <x:c r="E450" s="13" t="str">
        <x:f>IF($A450="","",IF(NOT(ISNUMBER($A450)),"Enter a real date",IF(OR($B450="",$C450="",$D450=""),"Complete holiday fields",IF(COUNTIF('Team Setup'!$H$10:$H$59,$C450)&lt;&gt;1,"Check office location",IF($D450="All","Ready",IF(COUNTIFS('Team Setup'!$H$64:$H$163,$D450,'Team Setup'!$I$64:$I$163,$C450)=1,"Ready","Check group and location"))))))</x:f>
      </x:c>
      <x:c r="F450" s="2"/>
      <x:c r="G450" s="12"/>
      <x:c r="H450" s="20"/>
      <x:c r="I450" s="14"/>
      <x:c r="J450" s="13" t="str">
        <x:f>IF($G450="","",IF(OR(NOT(ISNUMBER($H450)),NOT(ISNUMBER($I450)),$I450&lt;=0),"Complete PTO fields",IF(COUNTIF('Team Setup'!$A$10:$A$34,$G450)=1,"Ready","Check member name")))</x:f>
      </x:c>
    </x:row>
    <x:row r="451">
      <x:c r="A451" s="20"/>
      <x:c r="B451" s="12"/>
      <x:c r="C451" s="12"/>
      <x:c r="D451" s="12"/>
      <x:c r="E451" s="13" t="str">
        <x:f>IF($A451="","",IF(NOT(ISNUMBER($A451)),"Enter a real date",IF(OR($B451="",$C451="",$D451=""),"Complete holiday fields",IF(COUNTIF('Team Setup'!$H$10:$H$59,$C451)&lt;&gt;1,"Check office location",IF($D451="All","Ready",IF(COUNTIFS('Team Setup'!$H$64:$H$163,$D451,'Team Setup'!$I$64:$I$163,$C451)=1,"Ready","Check group and location"))))))</x:f>
      </x:c>
      <x:c r="F451" s="2"/>
      <x:c r="G451" s="12"/>
      <x:c r="H451" s="20"/>
      <x:c r="I451" s="14"/>
      <x:c r="J451" s="13" t="str">
        <x:f>IF($G451="","",IF(OR(NOT(ISNUMBER($H451)),NOT(ISNUMBER($I451)),$I451&lt;=0),"Complete PTO fields",IF(COUNTIF('Team Setup'!$A$10:$A$34,$G451)=1,"Ready","Check member name")))</x:f>
      </x:c>
    </x:row>
    <x:row r="452">
      <x:c r="A452" s="20"/>
      <x:c r="B452" s="12"/>
      <x:c r="C452" s="12"/>
      <x:c r="D452" s="12"/>
      <x:c r="E452" s="13" t="str">
        <x:f>IF($A452="","",IF(NOT(ISNUMBER($A452)),"Enter a real date",IF(OR($B452="",$C452="",$D452=""),"Complete holiday fields",IF(COUNTIF('Team Setup'!$H$10:$H$59,$C452)&lt;&gt;1,"Check office location",IF($D452="All","Ready",IF(COUNTIFS('Team Setup'!$H$64:$H$163,$D452,'Team Setup'!$I$64:$I$163,$C452)=1,"Ready","Check group and location"))))))</x:f>
      </x:c>
      <x:c r="F452" s="2"/>
      <x:c r="G452" s="12"/>
      <x:c r="H452" s="20"/>
      <x:c r="I452" s="14"/>
      <x:c r="J452" s="13" t="str">
        <x:f>IF($G452="","",IF(OR(NOT(ISNUMBER($H452)),NOT(ISNUMBER($I452)),$I452&lt;=0),"Complete PTO fields",IF(COUNTIF('Team Setup'!$A$10:$A$34,$G452)=1,"Ready","Check member name")))</x:f>
      </x:c>
    </x:row>
    <x:row r="453">
      <x:c r="A453" s="20"/>
      <x:c r="B453" s="12"/>
      <x:c r="C453" s="12"/>
      <x:c r="D453" s="12"/>
      <x:c r="E453" s="13" t="str">
        <x:f>IF($A453="","",IF(NOT(ISNUMBER($A453)),"Enter a real date",IF(OR($B453="",$C453="",$D453=""),"Complete holiday fields",IF(COUNTIF('Team Setup'!$H$10:$H$59,$C453)&lt;&gt;1,"Check office location",IF($D453="All","Ready",IF(COUNTIFS('Team Setup'!$H$64:$H$163,$D453,'Team Setup'!$I$64:$I$163,$C453)=1,"Ready","Check group and location"))))))</x:f>
      </x:c>
      <x:c r="F453" s="2"/>
      <x:c r="G453" s="12"/>
      <x:c r="H453" s="20"/>
      <x:c r="I453" s="14"/>
      <x:c r="J453" s="13" t="str">
        <x:f>IF($G453="","",IF(OR(NOT(ISNUMBER($H453)),NOT(ISNUMBER($I453)),$I453&lt;=0),"Complete PTO fields",IF(COUNTIF('Team Setup'!$A$10:$A$34,$G453)=1,"Ready","Check member name")))</x:f>
      </x:c>
    </x:row>
    <x:row r="454">
      <x:c r="A454" s="20"/>
      <x:c r="B454" s="12"/>
      <x:c r="C454" s="12"/>
      <x:c r="D454" s="12"/>
      <x:c r="E454" s="13" t="str">
        <x:f>IF($A454="","",IF(NOT(ISNUMBER($A454)),"Enter a real date",IF(OR($B454="",$C454="",$D454=""),"Complete holiday fields",IF(COUNTIF('Team Setup'!$H$10:$H$59,$C454)&lt;&gt;1,"Check office location",IF($D454="All","Ready",IF(COUNTIFS('Team Setup'!$H$64:$H$163,$D454,'Team Setup'!$I$64:$I$163,$C454)=1,"Ready","Check group and location"))))))</x:f>
      </x:c>
      <x:c r="F454" s="2"/>
      <x:c r="G454" s="12"/>
      <x:c r="H454" s="20"/>
      <x:c r="I454" s="14"/>
      <x:c r="J454" s="13" t="str">
        <x:f>IF($G454="","",IF(OR(NOT(ISNUMBER($H454)),NOT(ISNUMBER($I454)),$I454&lt;=0),"Complete PTO fields",IF(COUNTIF('Team Setup'!$A$10:$A$34,$G454)=1,"Ready","Check member name")))</x:f>
      </x:c>
    </x:row>
    <x:row r="455">
      <x:c r="A455" s="20"/>
      <x:c r="B455" s="12"/>
      <x:c r="C455" s="12"/>
      <x:c r="D455" s="12"/>
      <x:c r="E455" s="13" t="str">
        <x:f>IF($A455="","",IF(NOT(ISNUMBER($A455)),"Enter a real date",IF(OR($B455="",$C455="",$D455=""),"Complete holiday fields",IF(COUNTIF('Team Setup'!$H$10:$H$59,$C455)&lt;&gt;1,"Check office location",IF($D455="All","Ready",IF(COUNTIFS('Team Setup'!$H$64:$H$163,$D455,'Team Setup'!$I$64:$I$163,$C455)=1,"Ready","Check group and location"))))))</x:f>
      </x:c>
      <x:c r="F455" s="2"/>
      <x:c r="G455" s="12"/>
      <x:c r="H455" s="20"/>
      <x:c r="I455" s="14"/>
      <x:c r="J455" s="13" t="str">
        <x:f>IF($G455="","",IF(OR(NOT(ISNUMBER($H455)),NOT(ISNUMBER($I455)),$I455&lt;=0),"Complete PTO fields",IF(COUNTIF('Team Setup'!$A$10:$A$34,$G455)=1,"Ready","Check member name")))</x:f>
      </x:c>
    </x:row>
    <x:row r="456">
      <x:c r="A456" s="20"/>
      <x:c r="B456" s="12"/>
      <x:c r="C456" s="12"/>
      <x:c r="D456" s="12"/>
      <x:c r="E456" s="13" t="str">
        <x:f>IF($A456="","",IF(NOT(ISNUMBER($A456)),"Enter a real date",IF(OR($B456="",$C456="",$D456=""),"Complete holiday fields",IF(COUNTIF('Team Setup'!$H$10:$H$59,$C456)&lt;&gt;1,"Check office location",IF($D456="All","Ready",IF(COUNTIFS('Team Setup'!$H$64:$H$163,$D456,'Team Setup'!$I$64:$I$163,$C456)=1,"Ready","Check group and location"))))))</x:f>
      </x:c>
      <x:c r="F456" s="2"/>
      <x:c r="G456" s="12"/>
      <x:c r="H456" s="20"/>
      <x:c r="I456" s="14"/>
      <x:c r="J456" s="13" t="str">
        <x:f>IF($G456="","",IF(OR(NOT(ISNUMBER($H456)),NOT(ISNUMBER($I456)),$I456&lt;=0),"Complete PTO fields",IF(COUNTIF('Team Setup'!$A$10:$A$34,$G456)=1,"Ready","Check member name")))</x:f>
      </x:c>
    </x:row>
    <x:row r="457">
      <x:c r="A457" s="20"/>
      <x:c r="B457" s="12"/>
      <x:c r="C457" s="12"/>
      <x:c r="D457" s="12"/>
      <x:c r="E457" s="13" t="str">
        <x:f>IF($A457="","",IF(NOT(ISNUMBER($A457)),"Enter a real date",IF(OR($B457="",$C457="",$D457=""),"Complete holiday fields",IF(COUNTIF('Team Setup'!$H$10:$H$59,$C457)&lt;&gt;1,"Check office location",IF($D457="All","Ready",IF(COUNTIFS('Team Setup'!$H$64:$H$163,$D457,'Team Setup'!$I$64:$I$163,$C457)=1,"Ready","Check group and location"))))))</x:f>
      </x:c>
      <x:c r="F457" s="2"/>
      <x:c r="G457" s="12"/>
      <x:c r="H457" s="20"/>
      <x:c r="I457" s="14"/>
      <x:c r="J457" s="13" t="str">
        <x:f>IF($G457="","",IF(OR(NOT(ISNUMBER($H457)),NOT(ISNUMBER($I457)),$I457&lt;=0),"Complete PTO fields",IF(COUNTIF('Team Setup'!$A$10:$A$34,$G457)=1,"Ready","Check member name")))</x:f>
      </x:c>
    </x:row>
    <x:row r="458">
      <x:c r="A458" s="20"/>
      <x:c r="B458" s="12"/>
      <x:c r="C458" s="12"/>
      <x:c r="D458" s="12"/>
      <x:c r="E458" s="13" t="str">
        <x:f>IF($A458="","",IF(NOT(ISNUMBER($A458)),"Enter a real date",IF(OR($B458="",$C458="",$D458=""),"Complete holiday fields",IF(COUNTIF('Team Setup'!$H$10:$H$59,$C458)&lt;&gt;1,"Check office location",IF($D458="All","Ready",IF(COUNTIFS('Team Setup'!$H$64:$H$163,$D458,'Team Setup'!$I$64:$I$163,$C458)=1,"Ready","Check group and location"))))))</x:f>
      </x:c>
      <x:c r="F458" s="2"/>
      <x:c r="G458" s="12"/>
      <x:c r="H458" s="20"/>
      <x:c r="I458" s="14"/>
      <x:c r="J458" s="13" t="str">
        <x:f>IF($G458="","",IF(OR(NOT(ISNUMBER($H458)),NOT(ISNUMBER($I458)),$I458&lt;=0),"Complete PTO fields",IF(COUNTIF('Team Setup'!$A$10:$A$34,$G458)=1,"Ready","Check member name")))</x:f>
      </x:c>
    </x:row>
    <x:row r="459">
      <x:c r="A459" s="20"/>
      <x:c r="B459" s="12"/>
      <x:c r="C459" s="12"/>
      <x:c r="D459" s="12"/>
      <x:c r="E459" s="13" t="str">
        <x:f>IF($A459="","",IF(NOT(ISNUMBER($A459)),"Enter a real date",IF(OR($B459="",$C459="",$D459=""),"Complete holiday fields",IF(COUNTIF('Team Setup'!$H$10:$H$59,$C459)&lt;&gt;1,"Check office location",IF($D459="All","Ready",IF(COUNTIFS('Team Setup'!$H$64:$H$163,$D459,'Team Setup'!$I$64:$I$163,$C459)=1,"Ready","Check group and location"))))))</x:f>
      </x:c>
      <x:c r="F459" s="2"/>
      <x:c r="G459" s="12"/>
      <x:c r="H459" s="20"/>
      <x:c r="I459" s="14"/>
      <x:c r="J459" s="13" t="str">
        <x:f>IF($G459="","",IF(OR(NOT(ISNUMBER($H459)),NOT(ISNUMBER($I459)),$I459&lt;=0),"Complete PTO fields",IF(COUNTIF('Team Setup'!$A$10:$A$34,$G459)=1,"Ready","Check member name")))</x:f>
      </x:c>
    </x:row>
    <x:row r="460">
      <x:c r="A460" s="20"/>
      <x:c r="B460" s="12"/>
      <x:c r="C460" s="12"/>
      <x:c r="D460" s="12"/>
      <x:c r="E460" s="13" t="str">
        <x:f>IF($A460="","",IF(NOT(ISNUMBER($A460)),"Enter a real date",IF(OR($B460="",$C460="",$D460=""),"Complete holiday fields",IF(COUNTIF('Team Setup'!$H$10:$H$59,$C460)&lt;&gt;1,"Check office location",IF($D460="All","Ready",IF(COUNTIFS('Team Setup'!$H$64:$H$163,$D460,'Team Setup'!$I$64:$I$163,$C460)=1,"Ready","Check group and location"))))))</x:f>
      </x:c>
      <x:c r="F460" s="2"/>
      <x:c r="G460" s="12"/>
      <x:c r="H460" s="20"/>
      <x:c r="I460" s="14"/>
      <x:c r="J460" s="13" t="str">
        <x:f>IF($G460="","",IF(OR(NOT(ISNUMBER($H460)),NOT(ISNUMBER($I460)),$I460&lt;=0),"Complete PTO fields",IF(COUNTIF('Team Setup'!$A$10:$A$34,$G460)=1,"Ready","Check member name")))</x:f>
      </x:c>
    </x:row>
    <x:row r="461">
      <x:c r="A461" s="20"/>
      <x:c r="B461" s="12"/>
      <x:c r="C461" s="12"/>
      <x:c r="D461" s="12"/>
      <x:c r="E461" s="13" t="str">
        <x:f>IF($A461="","",IF(NOT(ISNUMBER($A461)),"Enter a real date",IF(OR($B461="",$C461="",$D461=""),"Complete holiday fields",IF(COUNTIF('Team Setup'!$H$10:$H$59,$C461)&lt;&gt;1,"Check office location",IF($D461="All","Ready",IF(COUNTIFS('Team Setup'!$H$64:$H$163,$D461,'Team Setup'!$I$64:$I$163,$C461)=1,"Ready","Check group and location"))))))</x:f>
      </x:c>
      <x:c r="F461" s="2"/>
      <x:c r="G461" s="12"/>
      <x:c r="H461" s="20"/>
      <x:c r="I461" s="14"/>
      <x:c r="J461" s="13" t="str">
        <x:f>IF($G461="","",IF(OR(NOT(ISNUMBER($H461)),NOT(ISNUMBER($I461)),$I461&lt;=0),"Complete PTO fields",IF(COUNTIF('Team Setup'!$A$10:$A$34,$G461)=1,"Ready","Check member name")))</x:f>
      </x:c>
    </x:row>
    <x:row r="462">
      <x:c r="A462" s="20"/>
      <x:c r="B462" s="12"/>
      <x:c r="C462" s="12"/>
      <x:c r="D462" s="12"/>
      <x:c r="E462" s="13" t="str">
        <x:f>IF($A462="","",IF(NOT(ISNUMBER($A462)),"Enter a real date",IF(OR($B462="",$C462="",$D462=""),"Complete holiday fields",IF(COUNTIF('Team Setup'!$H$10:$H$59,$C462)&lt;&gt;1,"Check office location",IF($D462="All","Ready",IF(COUNTIFS('Team Setup'!$H$64:$H$163,$D462,'Team Setup'!$I$64:$I$163,$C462)=1,"Ready","Check group and location"))))))</x:f>
      </x:c>
      <x:c r="F462" s="2"/>
      <x:c r="G462" s="12"/>
      <x:c r="H462" s="20"/>
      <x:c r="I462" s="14"/>
      <x:c r="J462" s="13" t="str">
        <x:f>IF($G462="","",IF(OR(NOT(ISNUMBER($H462)),NOT(ISNUMBER($I462)),$I462&lt;=0),"Complete PTO fields",IF(COUNTIF('Team Setup'!$A$10:$A$34,$G462)=1,"Ready","Check member name")))</x:f>
      </x:c>
    </x:row>
    <x:row r="463">
      <x:c r="A463" s="20"/>
      <x:c r="B463" s="12"/>
      <x:c r="C463" s="12"/>
      <x:c r="D463" s="12"/>
      <x:c r="E463" s="13" t="str">
        <x:f>IF($A463="","",IF(NOT(ISNUMBER($A463)),"Enter a real date",IF(OR($B463="",$C463="",$D463=""),"Complete holiday fields",IF(COUNTIF('Team Setup'!$H$10:$H$59,$C463)&lt;&gt;1,"Check office location",IF($D463="All","Ready",IF(COUNTIFS('Team Setup'!$H$64:$H$163,$D463,'Team Setup'!$I$64:$I$163,$C463)=1,"Ready","Check group and location"))))))</x:f>
      </x:c>
      <x:c r="F463" s="2"/>
      <x:c r="G463" s="12"/>
      <x:c r="H463" s="20"/>
      <x:c r="I463" s="14"/>
      <x:c r="J463" s="13" t="str">
        <x:f>IF($G463="","",IF(OR(NOT(ISNUMBER($H463)),NOT(ISNUMBER($I463)),$I463&lt;=0),"Complete PTO fields",IF(COUNTIF('Team Setup'!$A$10:$A$34,$G463)=1,"Ready","Check member name")))</x:f>
      </x:c>
    </x:row>
    <x:row r="464">
      <x:c r="A464" s="20"/>
      <x:c r="B464" s="12"/>
      <x:c r="C464" s="12"/>
      <x:c r="D464" s="12"/>
      <x:c r="E464" s="13" t="str">
        <x:f>IF($A464="","",IF(NOT(ISNUMBER($A464)),"Enter a real date",IF(OR($B464="",$C464="",$D464=""),"Complete holiday fields",IF(COUNTIF('Team Setup'!$H$10:$H$59,$C464)&lt;&gt;1,"Check office location",IF($D464="All","Ready",IF(COUNTIFS('Team Setup'!$H$64:$H$163,$D464,'Team Setup'!$I$64:$I$163,$C464)=1,"Ready","Check group and location"))))))</x:f>
      </x:c>
      <x:c r="F464" s="2"/>
      <x:c r="G464" s="12"/>
      <x:c r="H464" s="20"/>
      <x:c r="I464" s="14"/>
      <x:c r="J464" s="13" t="str">
        <x:f>IF($G464="","",IF(OR(NOT(ISNUMBER($H464)),NOT(ISNUMBER($I464)),$I464&lt;=0),"Complete PTO fields",IF(COUNTIF('Team Setup'!$A$10:$A$34,$G464)=1,"Ready","Check member name")))</x:f>
      </x:c>
    </x:row>
    <x:row r="465">
      <x:c r="A465" s="20"/>
      <x:c r="B465" s="12"/>
      <x:c r="C465" s="12"/>
      <x:c r="D465" s="12"/>
      <x:c r="E465" s="13" t="str">
        <x:f>IF($A465="","",IF(NOT(ISNUMBER($A465)),"Enter a real date",IF(OR($B465="",$C465="",$D465=""),"Complete holiday fields",IF(COUNTIF('Team Setup'!$H$10:$H$59,$C465)&lt;&gt;1,"Check office location",IF($D465="All","Ready",IF(COUNTIFS('Team Setup'!$H$64:$H$163,$D465,'Team Setup'!$I$64:$I$163,$C465)=1,"Ready","Check group and location"))))))</x:f>
      </x:c>
      <x:c r="F465" s="2"/>
      <x:c r="G465" s="12"/>
      <x:c r="H465" s="20"/>
      <x:c r="I465" s="14"/>
      <x:c r="J465" s="13" t="str">
        <x:f>IF($G465="","",IF(OR(NOT(ISNUMBER($H465)),NOT(ISNUMBER($I465)),$I465&lt;=0),"Complete PTO fields",IF(COUNTIF('Team Setup'!$A$10:$A$34,$G465)=1,"Ready","Check member name")))</x:f>
      </x:c>
    </x:row>
    <x:row r="466">
      <x:c r="A466" s="20"/>
      <x:c r="B466" s="12"/>
      <x:c r="C466" s="12"/>
      <x:c r="D466" s="12"/>
      <x:c r="E466" s="13" t="str">
        <x:f>IF($A466="","",IF(NOT(ISNUMBER($A466)),"Enter a real date",IF(OR($B466="",$C466="",$D466=""),"Complete holiday fields",IF(COUNTIF('Team Setup'!$H$10:$H$59,$C466)&lt;&gt;1,"Check office location",IF($D466="All","Ready",IF(COUNTIFS('Team Setup'!$H$64:$H$163,$D466,'Team Setup'!$I$64:$I$163,$C466)=1,"Ready","Check group and location"))))))</x:f>
      </x:c>
      <x:c r="F466" s="2"/>
      <x:c r="G466" s="12"/>
      <x:c r="H466" s="20"/>
      <x:c r="I466" s="14"/>
      <x:c r="J466" s="13" t="str">
        <x:f>IF($G466="","",IF(OR(NOT(ISNUMBER($H466)),NOT(ISNUMBER($I466)),$I466&lt;=0),"Complete PTO fields",IF(COUNTIF('Team Setup'!$A$10:$A$34,$G466)=1,"Ready","Check member name")))</x:f>
      </x:c>
    </x:row>
    <x:row r="467">
      <x:c r="A467" s="20"/>
      <x:c r="B467" s="12"/>
      <x:c r="C467" s="12"/>
      <x:c r="D467" s="12"/>
      <x:c r="E467" s="13" t="str">
        <x:f>IF($A467="","",IF(NOT(ISNUMBER($A467)),"Enter a real date",IF(OR($B467="",$C467="",$D467=""),"Complete holiday fields",IF(COUNTIF('Team Setup'!$H$10:$H$59,$C467)&lt;&gt;1,"Check office location",IF($D467="All","Ready",IF(COUNTIFS('Team Setup'!$H$64:$H$163,$D467,'Team Setup'!$I$64:$I$163,$C467)=1,"Ready","Check group and location"))))))</x:f>
      </x:c>
      <x:c r="F467" s="2"/>
      <x:c r="G467" s="12"/>
      <x:c r="H467" s="20"/>
      <x:c r="I467" s="14"/>
      <x:c r="J467" s="13" t="str">
        <x:f>IF($G467="","",IF(OR(NOT(ISNUMBER($H467)),NOT(ISNUMBER($I467)),$I467&lt;=0),"Complete PTO fields",IF(COUNTIF('Team Setup'!$A$10:$A$34,$G467)=1,"Ready","Check member name")))</x:f>
      </x:c>
    </x:row>
    <x:row r="468">
      <x:c r="A468" s="20"/>
      <x:c r="B468" s="12"/>
      <x:c r="C468" s="12"/>
      <x:c r="D468" s="12"/>
      <x:c r="E468" s="13" t="str">
        <x:f>IF($A468="","",IF(NOT(ISNUMBER($A468)),"Enter a real date",IF(OR($B468="",$C468="",$D468=""),"Complete holiday fields",IF(COUNTIF('Team Setup'!$H$10:$H$59,$C468)&lt;&gt;1,"Check office location",IF($D468="All","Ready",IF(COUNTIFS('Team Setup'!$H$64:$H$163,$D468,'Team Setup'!$I$64:$I$163,$C468)=1,"Ready","Check group and location"))))))</x:f>
      </x:c>
      <x:c r="F468" s="2"/>
      <x:c r="G468" s="12"/>
      <x:c r="H468" s="20"/>
      <x:c r="I468" s="14"/>
      <x:c r="J468" s="13" t="str">
        <x:f>IF($G468="","",IF(OR(NOT(ISNUMBER($H468)),NOT(ISNUMBER($I468)),$I468&lt;=0),"Complete PTO fields",IF(COUNTIF('Team Setup'!$A$10:$A$34,$G468)=1,"Ready","Check member name")))</x:f>
      </x:c>
    </x:row>
    <x:row r="469">
      <x:c r="A469" s="20"/>
      <x:c r="B469" s="12"/>
      <x:c r="C469" s="12"/>
      <x:c r="D469" s="12"/>
      <x:c r="E469" s="13" t="str">
        <x:f>IF($A469="","",IF(NOT(ISNUMBER($A469)),"Enter a real date",IF(OR($B469="",$C469="",$D469=""),"Complete holiday fields",IF(COUNTIF('Team Setup'!$H$10:$H$59,$C469)&lt;&gt;1,"Check office location",IF($D469="All","Ready",IF(COUNTIFS('Team Setup'!$H$64:$H$163,$D469,'Team Setup'!$I$64:$I$163,$C469)=1,"Ready","Check group and location"))))))</x:f>
      </x:c>
      <x:c r="F469" s="2"/>
      <x:c r="G469" s="12"/>
      <x:c r="H469" s="20"/>
      <x:c r="I469" s="14"/>
      <x:c r="J469" s="13" t="str">
        <x:f>IF($G469="","",IF(OR(NOT(ISNUMBER($H469)),NOT(ISNUMBER($I469)),$I469&lt;=0),"Complete PTO fields",IF(COUNTIF('Team Setup'!$A$10:$A$34,$G469)=1,"Ready","Check member name")))</x:f>
      </x:c>
    </x:row>
    <x:row r="470">
      <x:c r="A470" s="20"/>
      <x:c r="B470" s="12"/>
      <x:c r="C470" s="12"/>
      <x:c r="D470" s="12"/>
      <x:c r="E470" s="13" t="str">
        <x:f>IF($A470="","",IF(NOT(ISNUMBER($A470)),"Enter a real date",IF(OR($B470="",$C470="",$D470=""),"Complete holiday fields",IF(COUNTIF('Team Setup'!$H$10:$H$59,$C470)&lt;&gt;1,"Check office location",IF($D470="All","Ready",IF(COUNTIFS('Team Setup'!$H$64:$H$163,$D470,'Team Setup'!$I$64:$I$163,$C470)=1,"Ready","Check group and location"))))))</x:f>
      </x:c>
      <x:c r="F470" s="2"/>
      <x:c r="G470" s="12"/>
      <x:c r="H470" s="20"/>
      <x:c r="I470" s="14"/>
      <x:c r="J470" s="13" t="str">
        <x:f>IF($G470="","",IF(OR(NOT(ISNUMBER($H470)),NOT(ISNUMBER($I470)),$I470&lt;=0),"Complete PTO fields",IF(COUNTIF('Team Setup'!$A$10:$A$34,$G470)=1,"Ready","Check member name")))</x:f>
      </x:c>
    </x:row>
    <x:row r="471">
      <x:c r="A471" s="20"/>
      <x:c r="B471" s="12"/>
      <x:c r="C471" s="12"/>
      <x:c r="D471" s="12"/>
      <x:c r="E471" s="13" t="str">
        <x:f>IF($A471="","",IF(NOT(ISNUMBER($A471)),"Enter a real date",IF(OR($B471="",$C471="",$D471=""),"Complete holiday fields",IF(COUNTIF('Team Setup'!$H$10:$H$59,$C471)&lt;&gt;1,"Check office location",IF($D471="All","Ready",IF(COUNTIFS('Team Setup'!$H$64:$H$163,$D471,'Team Setup'!$I$64:$I$163,$C471)=1,"Ready","Check group and location"))))))</x:f>
      </x:c>
      <x:c r="F471" s="2"/>
      <x:c r="G471" s="12"/>
      <x:c r="H471" s="20"/>
      <x:c r="I471" s="14"/>
      <x:c r="J471" s="13" t="str">
        <x:f>IF($G471="","",IF(OR(NOT(ISNUMBER($H471)),NOT(ISNUMBER($I471)),$I471&lt;=0),"Complete PTO fields",IF(COUNTIF('Team Setup'!$A$10:$A$34,$G471)=1,"Ready","Check member name")))</x:f>
      </x:c>
    </x:row>
    <x:row r="472">
      <x:c r="A472" s="20"/>
      <x:c r="B472" s="12"/>
      <x:c r="C472" s="12"/>
      <x:c r="D472" s="12"/>
      <x:c r="E472" s="13" t="str">
        <x:f>IF($A472="","",IF(NOT(ISNUMBER($A472)),"Enter a real date",IF(OR($B472="",$C472="",$D472=""),"Complete holiday fields",IF(COUNTIF('Team Setup'!$H$10:$H$59,$C472)&lt;&gt;1,"Check office location",IF($D472="All","Ready",IF(COUNTIFS('Team Setup'!$H$64:$H$163,$D472,'Team Setup'!$I$64:$I$163,$C472)=1,"Ready","Check group and location"))))))</x:f>
      </x:c>
      <x:c r="F472" s="2"/>
      <x:c r="G472" s="12"/>
      <x:c r="H472" s="20"/>
      <x:c r="I472" s="14"/>
      <x:c r="J472" s="13" t="str">
        <x:f>IF($G472="","",IF(OR(NOT(ISNUMBER($H472)),NOT(ISNUMBER($I472)),$I472&lt;=0),"Complete PTO fields",IF(COUNTIF('Team Setup'!$A$10:$A$34,$G472)=1,"Ready","Check member name")))</x:f>
      </x:c>
    </x:row>
    <x:row r="473">
      <x:c r="A473" s="20"/>
      <x:c r="B473" s="12"/>
      <x:c r="C473" s="12"/>
      <x:c r="D473" s="12"/>
      <x:c r="E473" s="13" t="str">
        <x:f>IF($A473="","",IF(NOT(ISNUMBER($A473)),"Enter a real date",IF(OR($B473="",$C473="",$D473=""),"Complete holiday fields",IF(COUNTIF('Team Setup'!$H$10:$H$59,$C473)&lt;&gt;1,"Check office location",IF($D473="All","Ready",IF(COUNTIFS('Team Setup'!$H$64:$H$163,$D473,'Team Setup'!$I$64:$I$163,$C473)=1,"Ready","Check group and location"))))))</x:f>
      </x:c>
      <x:c r="F473" s="2"/>
      <x:c r="G473" s="12"/>
      <x:c r="H473" s="20"/>
      <x:c r="I473" s="14"/>
      <x:c r="J473" s="13" t="str">
        <x:f>IF($G473="","",IF(OR(NOT(ISNUMBER($H473)),NOT(ISNUMBER($I473)),$I473&lt;=0),"Complete PTO fields",IF(COUNTIF('Team Setup'!$A$10:$A$34,$G473)=1,"Ready","Check member name")))</x:f>
      </x:c>
    </x:row>
    <x:row r="474">
      <x:c r="A474" s="20"/>
      <x:c r="B474" s="12"/>
      <x:c r="C474" s="12"/>
      <x:c r="D474" s="12"/>
      <x:c r="E474" s="13" t="str">
        <x:f>IF($A474="","",IF(NOT(ISNUMBER($A474)),"Enter a real date",IF(OR($B474="",$C474="",$D474=""),"Complete holiday fields",IF(COUNTIF('Team Setup'!$H$10:$H$59,$C474)&lt;&gt;1,"Check office location",IF($D474="All","Ready",IF(COUNTIFS('Team Setup'!$H$64:$H$163,$D474,'Team Setup'!$I$64:$I$163,$C474)=1,"Ready","Check group and location"))))))</x:f>
      </x:c>
      <x:c r="F474" s="2"/>
      <x:c r="G474" s="12"/>
      <x:c r="H474" s="20"/>
      <x:c r="I474" s="14"/>
      <x:c r="J474" s="13" t="str">
        <x:f>IF($G474="","",IF(OR(NOT(ISNUMBER($H474)),NOT(ISNUMBER($I474)),$I474&lt;=0),"Complete PTO fields",IF(COUNTIF('Team Setup'!$A$10:$A$34,$G474)=1,"Ready","Check member name")))</x:f>
      </x:c>
    </x:row>
    <x:row r="475">
      <x:c r="A475" s="20"/>
      <x:c r="B475" s="12"/>
      <x:c r="C475" s="12"/>
      <x:c r="D475" s="12"/>
      <x:c r="E475" s="13" t="str">
        <x:f>IF($A475="","",IF(NOT(ISNUMBER($A475)),"Enter a real date",IF(OR($B475="",$C475="",$D475=""),"Complete holiday fields",IF(COUNTIF('Team Setup'!$H$10:$H$59,$C475)&lt;&gt;1,"Check office location",IF($D475="All","Ready",IF(COUNTIFS('Team Setup'!$H$64:$H$163,$D475,'Team Setup'!$I$64:$I$163,$C475)=1,"Ready","Check group and location"))))))</x:f>
      </x:c>
      <x:c r="F475" s="2"/>
      <x:c r="G475" s="12"/>
      <x:c r="H475" s="20"/>
      <x:c r="I475" s="14"/>
      <x:c r="J475" s="13" t="str">
        <x:f>IF($G475="","",IF(OR(NOT(ISNUMBER($H475)),NOT(ISNUMBER($I475)),$I475&lt;=0),"Complete PTO fields",IF(COUNTIF('Team Setup'!$A$10:$A$34,$G475)=1,"Ready","Check member name")))</x:f>
      </x:c>
    </x:row>
    <x:row r="476">
      <x:c r="A476" s="20"/>
      <x:c r="B476" s="12"/>
      <x:c r="C476" s="12"/>
      <x:c r="D476" s="12"/>
      <x:c r="E476" s="13" t="str">
        <x:f>IF($A476="","",IF(NOT(ISNUMBER($A476)),"Enter a real date",IF(OR($B476="",$C476="",$D476=""),"Complete holiday fields",IF(COUNTIF('Team Setup'!$H$10:$H$59,$C476)&lt;&gt;1,"Check office location",IF($D476="All","Ready",IF(COUNTIFS('Team Setup'!$H$64:$H$163,$D476,'Team Setup'!$I$64:$I$163,$C476)=1,"Ready","Check group and location"))))))</x:f>
      </x:c>
      <x:c r="F476" s="2"/>
      <x:c r="G476" s="12"/>
      <x:c r="H476" s="20"/>
      <x:c r="I476" s="14"/>
      <x:c r="J476" s="13" t="str">
        <x:f>IF($G476="","",IF(OR(NOT(ISNUMBER($H476)),NOT(ISNUMBER($I476)),$I476&lt;=0),"Complete PTO fields",IF(COUNTIF('Team Setup'!$A$10:$A$34,$G476)=1,"Ready","Check member name")))</x:f>
      </x:c>
    </x:row>
    <x:row r="477">
      <x:c r="A477" s="20"/>
      <x:c r="B477" s="12"/>
      <x:c r="C477" s="12"/>
      <x:c r="D477" s="12"/>
      <x:c r="E477" s="13" t="str">
        <x:f>IF($A477="","",IF(NOT(ISNUMBER($A477)),"Enter a real date",IF(OR($B477="",$C477="",$D477=""),"Complete holiday fields",IF(COUNTIF('Team Setup'!$H$10:$H$59,$C477)&lt;&gt;1,"Check office location",IF($D477="All","Ready",IF(COUNTIFS('Team Setup'!$H$64:$H$163,$D477,'Team Setup'!$I$64:$I$163,$C477)=1,"Ready","Check group and location"))))))</x:f>
      </x:c>
      <x:c r="F477" s="2"/>
      <x:c r="G477" s="12"/>
      <x:c r="H477" s="20"/>
      <x:c r="I477" s="14"/>
      <x:c r="J477" s="13" t="str">
        <x:f>IF($G477="","",IF(OR(NOT(ISNUMBER($H477)),NOT(ISNUMBER($I477)),$I477&lt;=0),"Complete PTO fields",IF(COUNTIF('Team Setup'!$A$10:$A$34,$G477)=1,"Ready","Check member name")))</x:f>
      </x:c>
    </x:row>
    <x:row r="478">
      <x:c r="A478" s="20"/>
      <x:c r="B478" s="12"/>
      <x:c r="C478" s="12"/>
      <x:c r="D478" s="12"/>
      <x:c r="E478" s="13" t="str">
        <x:f>IF($A478="","",IF(NOT(ISNUMBER($A478)),"Enter a real date",IF(OR($B478="",$C478="",$D478=""),"Complete holiday fields",IF(COUNTIF('Team Setup'!$H$10:$H$59,$C478)&lt;&gt;1,"Check office location",IF($D478="All","Ready",IF(COUNTIFS('Team Setup'!$H$64:$H$163,$D478,'Team Setup'!$I$64:$I$163,$C478)=1,"Ready","Check group and location"))))))</x:f>
      </x:c>
      <x:c r="F478" s="2"/>
      <x:c r="G478" s="12"/>
      <x:c r="H478" s="20"/>
      <x:c r="I478" s="14"/>
      <x:c r="J478" s="13" t="str">
        <x:f>IF($G478="","",IF(OR(NOT(ISNUMBER($H478)),NOT(ISNUMBER($I478)),$I478&lt;=0),"Complete PTO fields",IF(COUNTIF('Team Setup'!$A$10:$A$34,$G478)=1,"Ready","Check member name")))</x:f>
      </x:c>
    </x:row>
    <x:row r="479">
      <x:c r="A479" s="20"/>
      <x:c r="B479" s="12"/>
      <x:c r="C479" s="12"/>
      <x:c r="D479" s="12"/>
      <x:c r="E479" s="13" t="str">
        <x:f>IF($A479="","",IF(NOT(ISNUMBER($A479)),"Enter a real date",IF(OR($B479="",$C479="",$D479=""),"Complete holiday fields",IF(COUNTIF('Team Setup'!$H$10:$H$59,$C479)&lt;&gt;1,"Check office location",IF($D479="All","Ready",IF(COUNTIFS('Team Setup'!$H$64:$H$163,$D479,'Team Setup'!$I$64:$I$163,$C479)=1,"Ready","Check group and location"))))))</x:f>
      </x:c>
      <x:c r="F479" s="2"/>
      <x:c r="G479" s="12"/>
      <x:c r="H479" s="20"/>
      <x:c r="I479" s="14"/>
      <x:c r="J479" s="13" t="str">
        <x:f>IF($G479="","",IF(OR(NOT(ISNUMBER($H479)),NOT(ISNUMBER($I479)),$I479&lt;=0),"Complete PTO fields",IF(COUNTIF('Team Setup'!$A$10:$A$34,$G479)=1,"Ready","Check member name")))</x:f>
      </x:c>
    </x:row>
    <x:row r="480">
      <x:c r="A480" s="20"/>
      <x:c r="B480" s="12"/>
      <x:c r="C480" s="12"/>
      <x:c r="D480" s="12"/>
      <x:c r="E480" s="13" t="str">
        <x:f>IF($A480="","",IF(NOT(ISNUMBER($A480)),"Enter a real date",IF(OR($B480="",$C480="",$D480=""),"Complete holiday fields",IF(COUNTIF('Team Setup'!$H$10:$H$59,$C480)&lt;&gt;1,"Check office location",IF($D480="All","Ready",IF(COUNTIFS('Team Setup'!$H$64:$H$163,$D480,'Team Setup'!$I$64:$I$163,$C480)=1,"Ready","Check group and location"))))))</x:f>
      </x:c>
      <x:c r="F480" s="2"/>
      <x:c r="G480" s="12"/>
      <x:c r="H480" s="20"/>
      <x:c r="I480" s="14"/>
      <x:c r="J480" s="13" t="str">
        <x:f>IF($G480="","",IF(OR(NOT(ISNUMBER($H480)),NOT(ISNUMBER($I480)),$I480&lt;=0),"Complete PTO fields",IF(COUNTIF('Team Setup'!$A$10:$A$34,$G480)=1,"Ready","Check member name")))</x:f>
      </x:c>
    </x:row>
    <x:row r="481">
      <x:c r="A481" s="20"/>
      <x:c r="B481" s="12"/>
      <x:c r="C481" s="12"/>
      <x:c r="D481" s="12"/>
      <x:c r="E481" s="13" t="str">
        <x:f>IF($A481="","",IF(NOT(ISNUMBER($A481)),"Enter a real date",IF(OR($B481="",$C481="",$D481=""),"Complete holiday fields",IF(COUNTIF('Team Setup'!$H$10:$H$59,$C481)&lt;&gt;1,"Check office location",IF($D481="All","Ready",IF(COUNTIFS('Team Setup'!$H$64:$H$163,$D481,'Team Setup'!$I$64:$I$163,$C481)=1,"Ready","Check group and location"))))))</x:f>
      </x:c>
      <x:c r="F481" s="2"/>
      <x:c r="G481" s="12"/>
      <x:c r="H481" s="20"/>
      <x:c r="I481" s="14"/>
      <x:c r="J481" s="13" t="str">
        <x:f>IF($G481="","",IF(OR(NOT(ISNUMBER($H481)),NOT(ISNUMBER($I481)),$I481&lt;=0),"Complete PTO fields",IF(COUNTIF('Team Setup'!$A$10:$A$34,$G481)=1,"Ready","Check member name")))</x:f>
      </x:c>
    </x:row>
    <x:row r="482">
      <x:c r="A482" s="20"/>
      <x:c r="B482" s="12"/>
      <x:c r="C482" s="12"/>
      <x:c r="D482" s="12"/>
      <x:c r="E482" s="13" t="str">
        <x:f>IF($A482="","",IF(NOT(ISNUMBER($A482)),"Enter a real date",IF(OR($B482="",$C482="",$D482=""),"Complete holiday fields",IF(COUNTIF('Team Setup'!$H$10:$H$59,$C482)&lt;&gt;1,"Check office location",IF($D482="All","Ready",IF(COUNTIFS('Team Setup'!$H$64:$H$163,$D482,'Team Setup'!$I$64:$I$163,$C482)=1,"Ready","Check group and location"))))))</x:f>
      </x:c>
      <x:c r="F482" s="2"/>
      <x:c r="G482" s="12"/>
      <x:c r="H482" s="20"/>
      <x:c r="I482" s="14"/>
      <x:c r="J482" s="13" t="str">
        <x:f>IF($G482="","",IF(OR(NOT(ISNUMBER($H482)),NOT(ISNUMBER($I482)),$I482&lt;=0),"Complete PTO fields",IF(COUNTIF('Team Setup'!$A$10:$A$34,$G482)=1,"Ready","Check member name")))</x:f>
      </x:c>
    </x:row>
    <x:row r="483">
      <x:c r="A483" s="20"/>
      <x:c r="B483" s="12"/>
      <x:c r="C483" s="12"/>
      <x:c r="D483" s="12"/>
      <x:c r="E483" s="13" t="str">
        <x:f>IF($A483="","",IF(NOT(ISNUMBER($A483)),"Enter a real date",IF(OR($B483="",$C483="",$D483=""),"Complete holiday fields",IF(COUNTIF('Team Setup'!$H$10:$H$59,$C483)&lt;&gt;1,"Check office location",IF($D483="All","Ready",IF(COUNTIFS('Team Setup'!$H$64:$H$163,$D483,'Team Setup'!$I$64:$I$163,$C483)=1,"Ready","Check group and location"))))))</x:f>
      </x:c>
      <x:c r="F483" s="2"/>
      <x:c r="G483" s="12"/>
      <x:c r="H483" s="20"/>
      <x:c r="I483" s="14"/>
      <x:c r="J483" s="13" t="str">
        <x:f>IF($G483="","",IF(OR(NOT(ISNUMBER($H483)),NOT(ISNUMBER($I483)),$I483&lt;=0),"Complete PTO fields",IF(COUNTIF('Team Setup'!$A$10:$A$34,$G483)=1,"Ready","Check member name")))</x:f>
      </x:c>
    </x:row>
    <x:row r="484">
      <x:c r="A484" s="20"/>
      <x:c r="B484" s="12"/>
      <x:c r="C484" s="12"/>
      <x:c r="D484" s="12"/>
      <x:c r="E484" s="13" t="str">
        <x:f>IF($A484="","",IF(NOT(ISNUMBER($A484)),"Enter a real date",IF(OR($B484="",$C484="",$D484=""),"Complete holiday fields",IF(COUNTIF('Team Setup'!$H$10:$H$59,$C484)&lt;&gt;1,"Check office location",IF($D484="All","Ready",IF(COUNTIFS('Team Setup'!$H$64:$H$163,$D484,'Team Setup'!$I$64:$I$163,$C484)=1,"Ready","Check group and location"))))))</x:f>
      </x:c>
      <x:c r="F484" s="2"/>
      <x:c r="G484" s="12"/>
      <x:c r="H484" s="20"/>
      <x:c r="I484" s="14"/>
      <x:c r="J484" s="13" t="str">
        <x:f>IF($G484="","",IF(OR(NOT(ISNUMBER($H484)),NOT(ISNUMBER($I484)),$I484&lt;=0),"Complete PTO fields",IF(COUNTIF('Team Setup'!$A$10:$A$34,$G484)=1,"Ready","Check member name")))</x:f>
      </x:c>
    </x:row>
    <x:row r="485">
      <x:c r="A485" s="20"/>
      <x:c r="B485" s="12"/>
      <x:c r="C485" s="12"/>
      <x:c r="D485" s="12"/>
      <x:c r="E485" s="13" t="str">
        <x:f>IF($A485="","",IF(NOT(ISNUMBER($A485)),"Enter a real date",IF(OR($B485="",$C485="",$D485=""),"Complete holiday fields",IF(COUNTIF('Team Setup'!$H$10:$H$59,$C485)&lt;&gt;1,"Check office location",IF($D485="All","Ready",IF(COUNTIFS('Team Setup'!$H$64:$H$163,$D485,'Team Setup'!$I$64:$I$163,$C485)=1,"Ready","Check group and location"))))))</x:f>
      </x:c>
      <x:c r="F485" s="2"/>
      <x:c r="G485" s="12"/>
      <x:c r="H485" s="20"/>
      <x:c r="I485" s="14"/>
      <x:c r="J485" s="13" t="str">
        <x:f>IF($G485="","",IF(OR(NOT(ISNUMBER($H485)),NOT(ISNUMBER($I485)),$I485&lt;=0),"Complete PTO fields",IF(COUNTIF('Team Setup'!$A$10:$A$34,$G485)=1,"Ready","Check member name")))</x:f>
      </x:c>
    </x:row>
    <x:row r="486">
      <x:c r="A486" s="20"/>
      <x:c r="B486" s="12"/>
      <x:c r="C486" s="12"/>
      <x:c r="D486" s="12"/>
      <x:c r="E486" s="13" t="str">
        <x:f>IF($A486="","",IF(NOT(ISNUMBER($A486)),"Enter a real date",IF(OR($B486="",$C486="",$D486=""),"Complete holiday fields",IF(COUNTIF('Team Setup'!$H$10:$H$59,$C486)&lt;&gt;1,"Check office location",IF($D486="All","Ready",IF(COUNTIFS('Team Setup'!$H$64:$H$163,$D486,'Team Setup'!$I$64:$I$163,$C486)=1,"Ready","Check group and location"))))))</x:f>
      </x:c>
      <x:c r="F486" s="2"/>
      <x:c r="G486" s="12"/>
      <x:c r="H486" s="20"/>
      <x:c r="I486" s="14"/>
      <x:c r="J486" s="13" t="str">
        <x:f>IF($G486="","",IF(OR(NOT(ISNUMBER($H486)),NOT(ISNUMBER($I486)),$I486&lt;=0),"Complete PTO fields",IF(COUNTIF('Team Setup'!$A$10:$A$34,$G486)=1,"Ready","Check member name")))</x:f>
      </x:c>
    </x:row>
    <x:row r="487">
      <x:c r="A487" s="20"/>
      <x:c r="B487" s="12"/>
      <x:c r="C487" s="12"/>
      <x:c r="D487" s="12"/>
      <x:c r="E487" s="13" t="str">
        <x:f>IF($A487="","",IF(NOT(ISNUMBER($A487)),"Enter a real date",IF(OR($B487="",$C487="",$D487=""),"Complete holiday fields",IF(COUNTIF('Team Setup'!$H$10:$H$59,$C487)&lt;&gt;1,"Check office location",IF($D487="All","Ready",IF(COUNTIFS('Team Setup'!$H$64:$H$163,$D487,'Team Setup'!$I$64:$I$163,$C487)=1,"Ready","Check group and location"))))))</x:f>
      </x:c>
      <x:c r="F487" s="2"/>
      <x:c r="G487" s="12"/>
      <x:c r="H487" s="20"/>
      <x:c r="I487" s="14"/>
      <x:c r="J487" s="13" t="str">
        <x:f>IF($G487="","",IF(OR(NOT(ISNUMBER($H487)),NOT(ISNUMBER($I487)),$I487&lt;=0),"Complete PTO fields",IF(COUNTIF('Team Setup'!$A$10:$A$34,$G487)=1,"Ready","Check member name")))</x:f>
      </x:c>
    </x:row>
    <x:row r="488">
      <x:c r="A488" s="20"/>
      <x:c r="B488" s="12"/>
      <x:c r="C488" s="12"/>
      <x:c r="D488" s="12"/>
      <x:c r="E488" s="13" t="str">
        <x:f>IF($A488="","",IF(NOT(ISNUMBER($A488)),"Enter a real date",IF(OR($B488="",$C488="",$D488=""),"Complete holiday fields",IF(COUNTIF('Team Setup'!$H$10:$H$59,$C488)&lt;&gt;1,"Check office location",IF($D488="All","Ready",IF(COUNTIFS('Team Setup'!$H$64:$H$163,$D488,'Team Setup'!$I$64:$I$163,$C488)=1,"Ready","Check group and location"))))))</x:f>
      </x:c>
      <x:c r="F488" s="2"/>
      <x:c r="G488" s="12"/>
      <x:c r="H488" s="20"/>
      <x:c r="I488" s="14"/>
      <x:c r="J488" s="13" t="str">
        <x:f>IF($G488="","",IF(OR(NOT(ISNUMBER($H488)),NOT(ISNUMBER($I488)),$I488&lt;=0),"Complete PTO fields",IF(COUNTIF('Team Setup'!$A$10:$A$34,$G488)=1,"Ready","Check member name")))</x:f>
      </x:c>
    </x:row>
    <x:row r="489">
      <x:c r="A489" s="20"/>
      <x:c r="B489" s="12"/>
      <x:c r="C489" s="12"/>
      <x:c r="D489" s="12"/>
      <x:c r="E489" s="13" t="str">
        <x:f>IF($A489="","",IF(NOT(ISNUMBER($A489)),"Enter a real date",IF(OR($B489="",$C489="",$D489=""),"Complete holiday fields",IF(COUNTIF('Team Setup'!$H$10:$H$59,$C489)&lt;&gt;1,"Check office location",IF($D489="All","Ready",IF(COUNTIFS('Team Setup'!$H$64:$H$163,$D489,'Team Setup'!$I$64:$I$163,$C489)=1,"Ready","Check group and location"))))))</x:f>
      </x:c>
      <x:c r="F489" s="2"/>
      <x:c r="G489" s="12"/>
      <x:c r="H489" s="20"/>
      <x:c r="I489" s="14"/>
      <x:c r="J489" s="13" t="str">
        <x:f>IF($G489="","",IF(OR(NOT(ISNUMBER($H489)),NOT(ISNUMBER($I489)),$I489&lt;=0),"Complete PTO fields",IF(COUNTIF('Team Setup'!$A$10:$A$34,$G489)=1,"Ready","Check member name")))</x:f>
      </x:c>
    </x:row>
    <x:row r="490">
      <x:c r="A490" s="20"/>
      <x:c r="B490" s="12"/>
      <x:c r="C490" s="12"/>
      <x:c r="D490" s="12"/>
      <x:c r="E490" s="13" t="str">
        <x:f>IF($A490="","",IF(NOT(ISNUMBER($A490)),"Enter a real date",IF(OR($B490="",$C490="",$D490=""),"Complete holiday fields",IF(COUNTIF('Team Setup'!$H$10:$H$59,$C490)&lt;&gt;1,"Check office location",IF($D490="All","Ready",IF(COUNTIFS('Team Setup'!$H$64:$H$163,$D490,'Team Setup'!$I$64:$I$163,$C490)=1,"Ready","Check group and location"))))))</x:f>
      </x:c>
      <x:c r="F490" s="2"/>
      <x:c r="G490" s="12"/>
      <x:c r="H490" s="20"/>
      <x:c r="I490" s="14"/>
      <x:c r="J490" s="13" t="str">
        <x:f>IF($G490="","",IF(OR(NOT(ISNUMBER($H490)),NOT(ISNUMBER($I490)),$I490&lt;=0),"Complete PTO fields",IF(COUNTIF('Team Setup'!$A$10:$A$34,$G490)=1,"Ready","Check member name")))</x:f>
      </x:c>
    </x:row>
    <x:row r="491">
      <x:c r="A491" s="20"/>
      <x:c r="B491" s="12"/>
      <x:c r="C491" s="12"/>
      <x:c r="D491" s="12"/>
      <x:c r="E491" s="13" t="str">
        <x:f>IF($A491="","",IF(NOT(ISNUMBER($A491)),"Enter a real date",IF(OR($B491="",$C491="",$D491=""),"Complete holiday fields",IF(COUNTIF('Team Setup'!$H$10:$H$59,$C491)&lt;&gt;1,"Check office location",IF($D491="All","Ready",IF(COUNTIFS('Team Setup'!$H$64:$H$163,$D491,'Team Setup'!$I$64:$I$163,$C491)=1,"Ready","Check group and location"))))))</x:f>
      </x:c>
      <x:c r="F491" s="2"/>
      <x:c r="G491" s="12"/>
      <x:c r="H491" s="20"/>
      <x:c r="I491" s="14"/>
      <x:c r="J491" s="13" t="str">
        <x:f>IF($G491="","",IF(OR(NOT(ISNUMBER($H491)),NOT(ISNUMBER($I491)),$I491&lt;=0),"Complete PTO fields",IF(COUNTIF('Team Setup'!$A$10:$A$34,$G491)=1,"Ready","Check member name")))</x:f>
      </x:c>
    </x:row>
    <x:row r="492">
      <x:c r="A492" s="20"/>
      <x:c r="B492" s="12"/>
      <x:c r="C492" s="12"/>
      <x:c r="D492" s="12"/>
      <x:c r="E492" s="13" t="str">
        <x:f>IF($A492="","",IF(NOT(ISNUMBER($A492)),"Enter a real date",IF(OR($B492="",$C492="",$D492=""),"Complete holiday fields",IF(COUNTIF('Team Setup'!$H$10:$H$59,$C492)&lt;&gt;1,"Check office location",IF($D492="All","Ready",IF(COUNTIFS('Team Setup'!$H$64:$H$163,$D492,'Team Setup'!$I$64:$I$163,$C492)=1,"Ready","Check group and location"))))))</x:f>
      </x:c>
      <x:c r="F492" s="2"/>
      <x:c r="G492" s="12"/>
      <x:c r="H492" s="20"/>
      <x:c r="I492" s="14"/>
      <x:c r="J492" s="13" t="str">
        <x:f>IF($G492="","",IF(OR(NOT(ISNUMBER($H492)),NOT(ISNUMBER($I492)),$I492&lt;=0),"Complete PTO fields",IF(COUNTIF('Team Setup'!$A$10:$A$34,$G492)=1,"Ready","Check member name")))</x:f>
      </x:c>
    </x:row>
    <x:row r="493">
      <x:c r="A493" s="20"/>
      <x:c r="B493" s="12"/>
      <x:c r="C493" s="12"/>
      <x:c r="D493" s="12"/>
      <x:c r="E493" s="13" t="str">
        <x:f>IF($A493="","",IF(NOT(ISNUMBER($A493)),"Enter a real date",IF(OR($B493="",$C493="",$D493=""),"Complete holiday fields",IF(COUNTIF('Team Setup'!$H$10:$H$59,$C493)&lt;&gt;1,"Check office location",IF($D493="All","Ready",IF(COUNTIFS('Team Setup'!$H$64:$H$163,$D493,'Team Setup'!$I$64:$I$163,$C493)=1,"Ready","Check group and location"))))))</x:f>
      </x:c>
      <x:c r="F493" s="2"/>
      <x:c r="G493" s="12"/>
      <x:c r="H493" s="20"/>
      <x:c r="I493" s="14"/>
      <x:c r="J493" s="13" t="str">
        <x:f>IF($G493="","",IF(OR(NOT(ISNUMBER($H493)),NOT(ISNUMBER($I493)),$I493&lt;=0),"Complete PTO fields",IF(COUNTIF('Team Setup'!$A$10:$A$34,$G493)=1,"Ready","Check member name")))</x:f>
      </x:c>
    </x:row>
    <x:row r="494">
      <x:c r="A494" s="20"/>
      <x:c r="B494" s="12"/>
      <x:c r="C494" s="12"/>
      <x:c r="D494" s="12"/>
      <x:c r="E494" s="13" t="str">
        <x:f>IF($A494="","",IF(NOT(ISNUMBER($A494)),"Enter a real date",IF(OR($B494="",$C494="",$D494=""),"Complete holiday fields",IF(COUNTIF('Team Setup'!$H$10:$H$59,$C494)&lt;&gt;1,"Check office location",IF($D494="All","Ready",IF(COUNTIFS('Team Setup'!$H$64:$H$163,$D494,'Team Setup'!$I$64:$I$163,$C494)=1,"Ready","Check group and location"))))))</x:f>
      </x:c>
      <x:c r="F494" s="2"/>
      <x:c r="G494" s="12"/>
      <x:c r="H494" s="20"/>
      <x:c r="I494" s="14"/>
      <x:c r="J494" s="13" t="str">
        <x:f>IF($G494="","",IF(OR(NOT(ISNUMBER($H494)),NOT(ISNUMBER($I494)),$I494&lt;=0),"Complete PTO fields",IF(COUNTIF('Team Setup'!$A$10:$A$34,$G494)=1,"Ready","Check member name")))</x:f>
      </x:c>
    </x:row>
    <x:row r="495">
      <x:c r="A495" s="20"/>
      <x:c r="B495" s="12"/>
      <x:c r="C495" s="12"/>
      <x:c r="D495" s="12"/>
      <x:c r="E495" s="13" t="str">
        <x:f>IF($A495="","",IF(NOT(ISNUMBER($A495)),"Enter a real date",IF(OR($B495="",$C495="",$D495=""),"Complete holiday fields",IF(COUNTIF('Team Setup'!$H$10:$H$59,$C495)&lt;&gt;1,"Check office location",IF($D495="All","Ready",IF(COUNTIFS('Team Setup'!$H$64:$H$163,$D495,'Team Setup'!$I$64:$I$163,$C495)=1,"Ready","Check group and location"))))))</x:f>
      </x:c>
      <x:c r="F495" s="2"/>
      <x:c r="G495" s="12"/>
      <x:c r="H495" s="20"/>
      <x:c r="I495" s="14"/>
      <x:c r="J495" s="13" t="str">
        <x:f>IF($G495="","",IF(OR(NOT(ISNUMBER($H495)),NOT(ISNUMBER($I495)),$I495&lt;=0),"Complete PTO fields",IF(COUNTIF('Team Setup'!$A$10:$A$34,$G495)=1,"Ready","Check member name")))</x:f>
      </x:c>
    </x:row>
    <x:row r="496">
      <x:c r="A496" s="20"/>
      <x:c r="B496" s="12"/>
      <x:c r="C496" s="12"/>
      <x:c r="D496" s="12"/>
      <x:c r="E496" s="13" t="str">
        <x:f>IF($A496="","",IF(NOT(ISNUMBER($A496)),"Enter a real date",IF(OR($B496="",$C496="",$D496=""),"Complete holiday fields",IF(COUNTIF('Team Setup'!$H$10:$H$59,$C496)&lt;&gt;1,"Check office location",IF($D496="All","Ready",IF(COUNTIFS('Team Setup'!$H$64:$H$163,$D496,'Team Setup'!$I$64:$I$163,$C496)=1,"Ready","Check group and location"))))))</x:f>
      </x:c>
      <x:c r="F496" s="2"/>
      <x:c r="G496" s="12"/>
      <x:c r="H496" s="20"/>
      <x:c r="I496" s="14"/>
      <x:c r="J496" s="13" t="str">
        <x:f>IF($G496="","",IF(OR(NOT(ISNUMBER($H496)),NOT(ISNUMBER($I496)),$I496&lt;=0),"Complete PTO fields",IF(COUNTIF('Team Setup'!$A$10:$A$34,$G496)=1,"Ready","Check member name")))</x:f>
      </x:c>
    </x:row>
    <x:row r="497">
      <x:c r="A497" s="20"/>
      <x:c r="B497" s="12"/>
      <x:c r="C497" s="12"/>
      <x:c r="D497" s="12"/>
      <x:c r="E497" s="13" t="str">
        <x:f>IF($A497="","",IF(NOT(ISNUMBER($A497)),"Enter a real date",IF(OR($B497="",$C497="",$D497=""),"Complete holiday fields",IF(COUNTIF('Team Setup'!$H$10:$H$59,$C497)&lt;&gt;1,"Check office location",IF($D497="All","Ready",IF(COUNTIFS('Team Setup'!$H$64:$H$163,$D497,'Team Setup'!$I$64:$I$163,$C497)=1,"Ready","Check group and location"))))))</x:f>
      </x:c>
      <x:c r="F497" s="2"/>
      <x:c r="G497" s="12"/>
      <x:c r="H497" s="20"/>
      <x:c r="I497" s="14"/>
      <x:c r="J497" s="13" t="str">
        <x:f>IF($G497="","",IF(OR(NOT(ISNUMBER($H497)),NOT(ISNUMBER($I497)),$I497&lt;=0),"Complete PTO fields",IF(COUNTIF('Team Setup'!$A$10:$A$34,$G497)=1,"Ready","Check member name")))</x:f>
      </x:c>
    </x:row>
    <x:row r="498">
      <x:c r="A498" s="20"/>
      <x:c r="B498" s="12"/>
      <x:c r="C498" s="12"/>
      <x:c r="D498" s="12"/>
      <x:c r="E498" s="13" t="str">
        <x:f>IF($A498="","",IF(NOT(ISNUMBER($A498)),"Enter a real date",IF(OR($B498="",$C498="",$D498=""),"Complete holiday fields",IF(COUNTIF('Team Setup'!$H$10:$H$59,$C498)&lt;&gt;1,"Check office location",IF($D498="All","Ready",IF(COUNTIFS('Team Setup'!$H$64:$H$163,$D498,'Team Setup'!$I$64:$I$163,$C498)=1,"Ready","Check group and location"))))))</x:f>
      </x:c>
      <x:c r="F498" s="2"/>
      <x:c r="G498" s="12"/>
      <x:c r="H498" s="20"/>
      <x:c r="I498" s="14"/>
      <x:c r="J498" s="13" t="str">
        <x:f>IF($G498="","",IF(OR(NOT(ISNUMBER($H498)),NOT(ISNUMBER($I498)),$I498&lt;=0),"Complete PTO fields",IF(COUNTIF('Team Setup'!$A$10:$A$34,$G498)=1,"Ready","Check member name")))</x:f>
      </x:c>
    </x:row>
    <x:row r="499">
      <x:c r="A499" s="20"/>
      <x:c r="B499" s="12"/>
      <x:c r="C499" s="12"/>
      <x:c r="D499" s="12"/>
      <x:c r="E499" s="13" t="str">
        <x:f>IF($A499="","",IF(NOT(ISNUMBER($A499)),"Enter a real date",IF(OR($B499="",$C499="",$D499=""),"Complete holiday fields",IF(COUNTIF('Team Setup'!$H$10:$H$59,$C499)&lt;&gt;1,"Check office location",IF($D499="All","Ready",IF(COUNTIFS('Team Setup'!$H$64:$H$163,$D499,'Team Setup'!$I$64:$I$163,$C499)=1,"Ready","Check group and location"))))))</x:f>
      </x:c>
      <x:c r="F499" s="2"/>
      <x:c r="G499" s="12"/>
      <x:c r="H499" s="20"/>
      <x:c r="I499" s="14"/>
      <x:c r="J499" s="13" t="str">
        <x:f>IF($G499="","",IF(OR(NOT(ISNUMBER($H499)),NOT(ISNUMBER($I499)),$I499&lt;=0),"Complete PTO fields",IF(COUNTIF('Team Setup'!$A$10:$A$34,$G499)=1,"Ready","Check member name")))</x:f>
      </x:c>
    </x:row>
    <x:row r="500">
      <x:c r="A500" s="20"/>
      <x:c r="B500" s="12"/>
      <x:c r="C500" s="12"/>
      <x:c r="D500" s="12"/>
      <x:c r="E500" s="13" t="str">
        <x:f>IF($A500="","",IF(NOT(ISNUMBER($A500)),"Enter a real date",IF(OR($B500="",$C500="",$D500=""),"Complete holiday fields",IF(COUNTIF('Team Setup'!$H$10:$H$59,$C500)&lt;&gt;1,"Check office location",IF($D500="All","Ready",IF(COUNTIFS('Team Setup'!$H$64:$H$163,$D500,'Team Setup'!$I$64:$I$163,$C500)=1,"Ready","Check group and location"))))))</x:f>
      </x:c>
      <x:c r="F500" s="2"/>
      <x:c r="G500" s="12"/>
      <x:c r="H500" s="20"/>
      <x:c r="I500" s="14"/>
      <x:c r="J500" s="13" t="str">
        <x:f>IF($G500="","",IF(OR(NOT(ISNUMBER($H500)),NOT(ISNUMBER($I500)),$I500&lt;=0),"Complete PTO fields",IF(COUNTIF('Team Setup'!$A$10:$A$34,$G500)=1,"Ready","Check member name")))</x:f>
      </x:c>
    </x:row>
    <x:row r="501">
      <x:c r="A501" s="20"/>
      <x:c r="B501" s="12"/>
      <x:c r="C501" s="12"/>
      <x:c r="D501" s="12"/>
      <x:c r="E501" s="13" t="str">
        <x:f>IF($A501="","",IF(NOT(ISNUMBER($A501)),"Enter a real date",IF(OR($B501="",$C501="",$D501=""),"Complete holiday fields",IF(COUNTIF('Team Setup'!$H$10:$H$59,$C501)&lt;&gt;1,"Check office location",IF($D501="All","Ready",IF(COUNTIFS('Team Setup'!$H$64:$H$163,$D501,'Team Setup'!$I$64:$I$163,$C501)=1,"Ready","Check group and location"))))))</x:f>
      </x:c>
      <x:c r="F501" s="2"/>
      <x:c r="G501" s="12"/>
      <x:c r="H501" s="20"/>
      <x:c r="I501" s="14"/>
      <x:c r="J501" s="13" t="str">
        <x:f>IF($G501="","",IF(OR(NOT(ISNUMBER($H501)),NOT(ISNUMBER($I501)),$I501&lt;=0),"Complete PTO fields",IF(COUNTIF('Team Setup'!$A$10:$A$34,$G501)=1,"Ready","Check member name")))</x:f>
      </x:c>
    </x:row>
    <x:row r="502">
      <x:c r="A502" s="20"/>
      <x:c r="B502" s="12"/>
      <x:c r="C502" s="12"/>
      <x:c r="D502" s="12"/>
      <x:c r="E502" s="13" t="str">
        <x:f>IF($A502="","",IF(NOT(ISNUMBER($A502)),"Enter a real date",IF(OR($B502="",$C502="",$D502=""),"Complete holiday fields",IF(COUNTIF('Team Setup'!$H$10:$H$59,$C502)&lt;&gt;1,"Check office location",IF($D502="All","Ready",IF(COUNTIFS('Team Setup'!$H$64:$H$163,$D502,'Team Setup'!$I$64:$I$163,$C502)=1,"Ready","Check group and location"))))))</x:f>
      </x:c>
      <x:c r="F502" s="2"/>
      <x:c r="G502" s="12"/>
      <x:c r="H502" s="20"/>
      <x:c r="I502" s="14"/>
      <x:c r="J502" s="13" t="str">
        <x:f>IF($G502="","",IF(OR(NOT(ISNUMBER($H502)),NOT(ISNUMBER($I502)),$I502&lt;=0),"Complete PTO fields",IF(COUNTIF('Team Setup'!$A$10:$A$34,$G502)=1,"Ready","Check member name")))</x:f>
      </x:c>
    </x:row>
    <x:row r="503">
      <x:c r="A503" s="20"/>
      <x:c r="B503" s="12"/>
      <x:c r="C503" s="12"/>
      <x:c r="D503" s="12"/>
      <x:c r="E503" s="13" t="str">
        <x:f>IF($A503="","",IF(NOT(ISNUMBER($A503)),"Enter a real date",IF(OR($B503="",$C503="",$D503=""),"Complete holiday fields",IF(COUNTIF('Team Setup'!$H$10:$H$59,$C503)&lt;&gt;1,"Check office location",IF($D503="All","Ready",IF(COUNTIFS('Team Setup'!$H$64:$H$163,$D503,'Team Setup'!$I$64:$I$163,$C503)=1,"Ready","Check group and location"))))))</x:f>
      </x:c>
      <x:c r="F503" s="2"/>
      <x:c r="G503" s="12"/>
      <x:c r="H503" s="20"/>
      <x:c r="I503" s="14"/>
      <x:c r="J503" s="13" t="str">
        <x:f>IF($G503="","",IF(OR(NOT(ISNUMBER($H503)),NOT(ISNUMBER($I503)),$I503&lt;=0),"Complete PTO fields",IF(COUNTIF('Team Setup'!$A$10:$A$34,$G503)=1,"Ready","Check member name")))</x:f>
      </x:c>
    </x:row>
    <x:row r="504">
      <x:c r="A504" s="20"/>
      <x:c r="B504" s="12"/>
      <x:c r="C504" s="12"/>
      <x:c r="D504" s="12"/>
      <x:c r="E504" s="13" t="str">
        <x:f>IF($A504="","",IF(NOT(ISNUMBER($A504)),"Enter a real date",IF(OR($B504="",$C504="",$D504=""),"Complete holiday fields",IF(COUNTIF('Team Setup'!$H$10:$H$59,$C504)&lt;&gt;1,"Check office location",IF($D504="All","Ready",IF(COUNTIFS('Team Setup'!$H$64:$H$163,$D504,'Team Setup'!$I$64:$I$163,$C504)=1,"Ready","Check group and location"))))))</x:f>
      </x:c>
      <x:c r="F504" s="2"/>
      <x:c r="G504" s="12"/>
      <x:c r="H504" s="20"/>
      <x:c r="I504" s="14"/>
      <x:c r="J504" s="13" t="str">
        <x:f>IF($G504="","",IF(OR(NOT(ISNUMBER($H504)),NOT(ISNUMBER($I504)),$I504&lt;=0),"Complete PTO fields",IF(COUNTIF('Team Setup'!$A$10:$A$34,$G504)=1,"Ready","Check member name")))</x:f>
      </x:c>
    </x:row>
    <x:row r="505">
      <x:c r="A505" s="20"/>
      <x:c r="B505" s="12"/>
      <x:c r="C505" s="12"/>
      <x:c r="D505" s="12"/>
      <x:c r="E505" s="13" t="str">
        <x:f>IF($A505="","",IF(NOT(ISNUMBER($A505)),"Enter a real date",IF(OR($B505="",$C505="",$D505=""),"Complete holiday fields",IF(COUNTIF('Team Setup'!$H$10:$H$59,$C505)&lt;&gt;1,"Check office location",IF($D505="All","Ready",IF(COUNTIFS('Team Setup'!$H$64:$H$163,$D505,'Team Setup'!$I$64:$I$163,$C505)=1,"Ready","Check group and location"))))))</x:f>
      </x:c>
      <x:c r="F505" s="2"/>
      <x:c r="G505" s="12"/>
      <x:c r="H505" s="20"/>
      <x:c r="I505" s="14"/>
      <x:c r="J505" s="13" t="str">
        <x:f>IF($G505="","",IF(OR(NOT(ISNUMBER($H505)),NOT(ISNUMBER($I505)),$I505&lt;=0),"Complete PTO fields",IF(COUNTIF('Team Setup'!$A$10:$A$34,$G505)=1,"Ready","Check member name")))</x:f>
      </x:c>
    </x:row>
    <x:row r="506">
      <x:c r="A506" s="20"/>
      <x:c r="B506" s="12"/>
      <x:c r="C506" s="12"/>
      <x:c r="D506" s="12"/>
      <x:c r="E506" s="13" t="str">
        <x:f>IF($A506="","",IF(NOT(ISNUMBER($A506)),"Enter a real date",IF(OR($B506="",$C506="",$D506=""),"Complete holiday fields",IF(COUNTIF('Team Setup'!$H$10:$H$59,$C506)&lt;&gt;1,"Check office location",IF($D506="All","Ready",IF(COUNTIFS('Team Setup'!$H$64:$H$163,$D506,'Team Setup'!$I$64:$I$163,$C506)=1,"Ready","Check group and location"))))))</x:f>
      </x:c>
      <x:c r="F506" s="2"/>
      <x:c r="G506" s="12"/>
      <x:c r="H506" s="20"/>
      <x:c r="I506" s="14"/>
      <x:c r="J506" s="13" t="str">
        <x:f>IF($G506="","",IF(OR(NOT(ISNUMBER($H506)),NOT(ISNUMBER($I506)),$I506&lt;=0),"Complete PTO fields",IF(COUNTIF('Team Setup'!$A$10:$A$34,$G506)=1,"Ready","Check member name")))</x:f>
      </x:c>
    </x:row>
    <x:row r="507">
      <x:c r="A507" s="20"/>
      <x:c r="B507" s="12"/>
      <x:c r="C507" s="12"/>
      <x:c r="D507" s="12"/>
      <x:c r="E507" s="13" t="str">
        <x:f>IF($A507="","",IF(NOT(ISNUMBER($A507)),"Enter a real date",IF(OR($B507="",$C507="",$D507=""),"Complete holiday fields",IF(COUNTIF('Team Setup'!$H$10:$H$59,$C507)&lt;&gt;1,"Check office location",IF($D507="All","Ready",IF(COUNTIFS('Team Setup'!$H$64:$H$163,$D507,'Team Setup'!$I$64:$I$163,$C507)=1,"Ready","Check group and location"))))))</x:f>
      </x:c>
      <x:c r="F507" s="2"/>
      <x:c r="G507" s="12"/>
      <x:c r="H507" s="20"/>
      <x:c r="I507" s="14"/>
      <x:c r="J507" s="13" t="str">
        <x:f>IF($G507="","",IF(OR(NOT(ISNUMBER($H507)),NOT(ISNUMBER($I507)),$I507&lt;=0),"Complete PTO fields",IF(COUNTIF('Team Setup'!$A$10:$A$34,$G507)=1,"Ready","Check member name")))</x:f>
      </x:c>
    </x:row>
    <x:row r="508">
      <x:c r="A508" s="20"/>
      <x:c r="B508" s="12"/>
      <x:c r="C508" s="12"/>
      <x:c r="D508" s="12"/>
      <x:c r="E508" s="13" t="str">
        <x:f>IF($A508="","",IF(NOT(ISNUMBER($A508)),"Enter a real date",IF(OR($B508="",$C508="",$D508=""),"Complete holiday fields",IF(COUNTIF('Team Setup'!$H$10:$H$59,$C508)&lt;&gt;1,"Check office location",IF($D508="All","Ready",IF(COUNTIFS('Team Setup'!$H$64:$H$163,$D508,'Team Setup'!$I$64:$I$163,$C508)=1,"Ready","Check group and location"))))))</x:f>
      </x:c>
      <x:c r="F508" s="2"/>
      <x:c r="G508" s="12"/>
      <x:c r="H508" s="20"/>
      <x:c r="I508" s="14"/>
      <x:c r="J508" s="13" t="str">
        <x:f>IF($G508="","",IF(OR(NOT(ISNUMBER($H508)),NOT(ISNUMBER($I508)),$I508&lt;=0),"Complete PTO fields",IF(COUNTIF('Team Setup'!$A$10:$A$34,$G508)=1,"Ready","Check member name")))</x:f>
      </x:c>
    </x:row>
  </x:sheetData>
  <x:mergeCells>
    <x:mergeCell ref="A2:J2"/>
  </x:mergeCells>
  <x:pageMargins left="0.7" right="0.7" top="0.75" bottom="0.75" header="0.3" footer="0.3"/>
  <x:tableParts count="2">
    <x:tablePart xmlns:r="http://schemas.openxmlformats.org/officeDocument/2006/relationships" r:id="R1e2626fad9384e8e"/>
    <x:tablePart xmlns:r="http://schemas.openxmlformats.org/officeDocument/2006/relationships" r:id="R5866bd75829e4645"/>
  </x:tableParts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46" hidden="0" customWidth="1"/>
    <x:col min="3" max="3" width="23" hidden="0" customWidth="1"/>
    <x:col min="4" max="4" width="20" hidden="0" customWidth="1"/>
    <x:col min="5" max="5" width="19" hidden="0" customWidth="1"/>
    <x:col min="6" max="6" width="21" hidden="0" customWidth="1"/>
    <x:col min="7" max="7" width="24" hidden="0" customWidth="1"/>
  </x:cols>
  <x:sheetData>
    <x:row r="1" ht="27" customHeight="1">
      <x:c r="A1" s="3" t="str">
        <x:v>Jira Tasks</x:v>
      </x:c>
      <x:c r="B1" s="2"/>
      <x:c r="C1" s="2"/>
      <x:c r="D1" s="2"/>
      <x:c r="E1" s="2"/>
      <x:c r="F1" s="2"/>
      <x:c r="G1" s="2"/>
    </x:row>
    <x:row r="2" ht="32" customHeight="1">
      <x:c r="A2" s="5" t="str">
        <x:v>Paste Jira values into columns A:E. Map exported columns to these headings. Use one assignee per issue and numeric estimate hours.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>
      <x:c r="A4" s="21" t="str">
        <x:v>Convert Story Points or seconds to hours before pasting. Filters and checks are provided in columns F:G.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30" customHeight="1">
      <x:c r="A6" s="19" t="str">
        <x:v>Issue Key</x:v>
      </x:c>
      <x:c r="B6" s="19" t="str">
        <x:v>Summary</x:v>
      </x:c>
      <x:c r="C6" s="19" t="str">
        <x:v>Assignee</x:v>
      </x:c>
      <x:c r="D6" s="19" t="str">
        <x:v>Sprint</x:v>
      </x:c>
      <x:c r="E6" s="19" t="str">
        <x:v>Estimate (hours)</x:v>
      </x:c>
      <x:c r="F6" s="19" t="str">
        <x:v>Assignee check</x:v>
      </x:c>
      <x:c r="G6" s="19" t="str">
        <x:v>Estimate check</x:v>
      </x:c>
    </x:row>
    <x:row r="7">
      <x:c r="A7" s="12"/>
      <x:c r="B7" s="12"/>
      <x:c r="C7" s="12"/>
      <x:c r="D7" s="12"/>
      <x:c r="E7" s="14"/>
      <x:c r="F7" s="13" t="str">
        <x:f>IF($A7="","",IF($D7&lt;&gt;'Team Setup'!$B$4,"Other sprint",IF($C7="","Unassigned",IF(OR(ISNUMBER(SEARCH(",",$C7)),ISNUMBER(SEARCH(";",$C7))),"Multiple assignees",IF(COUNTIF('Team Setup'!$B$10:$B$34,$C7)=1,"Matched","Unmatched")))))</x:f>
      </x:c>
      <x:c r="G7" s="13" t="str">
        <x:f>IF($A7="","",IF($D7&lt;&gt;'Team Setup'!$B$4,"Other sprint",IF($E7="","Unestimated",IF(NOT(ISNUMBER($E7)),"Check estimate in hours",IF($E7&lt;0,"Check estimate in hours",IF($E7=0,"Unestimated","Estimated"))))))</x:f>
      </x:c>
    </x:row>
    <x:row r="8">
      <x:c r="A8" s="12"/>
      <x:c r="B8" s="12"/>
      <x:c r="C8" s="12"/>
      <x:c r="D8" s="12"/>
      <x:c r="E8" s="14"/>
      <x:c r="F8" s="13" t="str">
        <x:f>IF($A8="","",IF($D8&lt;&gt;'Team Setup'!$B$4,"Other sprint",IF($C8="","Unassigned",IF(OR(ISNUMBER(SEARCH(",",$C8)),ISNUMBER(SEARCH(";",$C8))),"Multiple assignees",IF(COUNTIF('Team Setup'!$B$10:$B$34,$C8)=1,"Matched","Unmatched")))))</x:f>
      </x:c>
      <x:c r="G8" s="13" t="str">
        <x:f>IF($A8="","",IF($D8&lt;&gt;'Team Setup'!$B$4,"Other sprint",IF($E8="","Unestimated",IF(NOT(ISNUMBER($E8)),"Check estimate in hours",IF($E8&lt;0,"Check estimate in hours",IF($E8=0,"Unestimated","Estimated"))))))</x:f>
      </x:c>
    </x:row>
    <x:row r="9">
      <x:c r="A9" s="12"/>
      <x:c r="B9" s="12"/>
      <x:c r="C9" s="12"/>
      <x:c r="D9" s="12"/>
      <x:c r="E9" s="14"/>
      <x:c r="F9" s="13" t="str">
        <x:f>IF($A9="","",IF($D9&lt;&gt;'Team Setup'!$B$4,"Other sprint",IF($C9="","Unassigned",IF(OR(ISNUMBER(SEARCH(",",$C9)),ISNUMBER(SEARCH(";",$C9))),"Multiple assignees",IF(COUNTIF('Team Setup'!$B$10:$B$34,$C9)=1,"Matched","Unmatched")))))</x:f>
      </x:c>
      <x:c r="G9" s="13" t="str">
        <x:f>IF($A9="","",IF($D9&lt;&gt;'Team Setup'!$B$4,"Other sprint",IF($E9="","Unestimated",IF(NOT(ISNUMBER($E9)),"Check estimate in hours",IF($E9&lt;0,"Check estimate in hours",IF($E9=0,"Unestimated","Estimated"))))))</x:f>
      </x:c>
    </x:row>
    <x:row r="10">
      <x:c r="A10" s="12"/>
      <x:c r="B10" s="12"/>
      <x:c r="C10" s="12"/>
      <x:c r="D10" s="12"/>
      <x:c r="E10" s="14"/>
      <x:c r="F10" s="13" t="str">
        <x:f>IF($A10="","",IF($D10&lt;&gt;'Team Setup'!$B$4,"Other sprint",IF($C10="","Unassigned",IF(OR(ISNUMBER(SEARCH(",",$C10)),ISNUMBER(SEARCH(";",$C10))),"Multiple assignees",IF(COUNTIF('Team Setup'!$B$10:$B$34,$C10)=1,"Matched","Unmatched")))))</x:f>
      </x:c>
      <x:c r="G10" s="13" t="str">
        <x:f>IF($A10="","",IF($D10&lt;&gt;'Team Setup'!$B$4,"Other sprint",IF($E10="","Unestimated",IF(NOT(ISNUMBER($E10)),"Check estimate in hours",IF($E10&lt;0,"Check estimate in hours",IF($E10=0,"Unestimated","Estimated"))))))</x:f>
      </x:c>
    </x:row>
    <x:row r="11">
      <x:c r="A11" s="12"/>
      <x:c r="B11" s="12"/>
      <x:c r="C11" s="12"/>
      <x:c r="D11" s="12"/>
      <x:c r="E11" s="14"/>
      <x:c r="F11" s="13" t="str">
        <x:f>IF($A11="","",IF($D11&lt;&gt;'Team Setup'!$B$4,"Other sprint",IF($C11="","Unassigned",IF(OR(ISNUMBER(SEARCH(",",$C11)),ISNUMBER(SEARCH(";",$C11))),"Multiple assignees",IF(COUNTIF('Team Setup'!$B$10:$B$34,$C11)=1,"Matched","Unmatched")))))</x:f>
      </x:c>
      <x:c r="G11" s="13" t="str">
        <x:f>IF($A11="","",IF($D11&lt;&gt;'Team Setup'!$B$4,"Other sprint",IF($E11="","Unestimated",IF(NOT(ISNUMBER($E11)),"Check estimate in hours",IF($E11&lt;0,"Check estimate in hours",IF($E11=0,"Unestimated","Estimated"))))))</x:f>
      </x:c>
    </x:row>
    <x:row r="12">
      <x:c r="A12" s="12"/>
      <x:c r="B12" s="12"/>
      <x:c r="C12" s="12"/>
      <x:c r="D12" s="12"/>
      <x:c r="E12" s="14"/>
      <x:c r="F12" s="13" t="str">
        <x:f>IF($A12="","",IF($D12&lt;&gt;'Team Setup'!$B$4,"Other sprint",IF($C12="","Unassigned",IF(OR(ISNUMBER(SEARCH(",",$C12)),ISNUMBER(SEARCH(";",$C12))),"Multiple assignees",IF(COUNTIF('Team Setup'!$B$10:$B$34,$C12)=1,"Matched","Unmatched")))))</x:f>
      </x:c>
      <x:c r="G12" s="13" t="str">
        <x:f>IF($A12="","",IF($D12&lt;&gt;'Team Setup'!$B$4,"Other sprint",IF($E12="","Unestimated",IF(NOT(ISNUMBER($E12)),"Check estimate in hours",IF($E12&lt;0,"Check estimate in hours",IF($E12=0,"Unestimated","Estimated"))))))</x:f>
      </x:c>
    </x:row>
    <x:row r="13">
      <x:c r="A13" s="12"/>
      <x:c r="B13" s="12"/>
      <x:c r="C13" s="12"/>
      <x:c r="D13" s="12"/>
      <x:c r="E13" s="14"/>
      <x:c r="F13" s="13" t="str">
        <x:f>IF($A13="","",IF($D13&lt;&gt;'Team Setup'!$B$4,"Other sprint",IF($C13="","Unassigned",IF(OR(ISNUMBER(SEARCH(",",$C13)),ISNUMBER(SEARCH(";",$C13))),"Multiple assignees",IF(COUNTIF('Team Setup'!$B$10:$B$34,$C13)=1,"Matched","Unmatched")))))</x:f>
      </x:c>
      <x:c r="G13" s="13" t="str">
        <x:f>IF($A13="","",IF($D13&lt;&gt;'Team Setup'!$B$4,"Other sprint",IF($E13="","Unestimated",IF(NOT(ISNUMBER($E13)),"Check estimate in hours",IF($E13&lt;0,"Check estimate in hours",IF($E13=0,"Unestimated","Estimated"))))))</x:f>
      </x:c>
    </x:row>
    <x:row r="14">
      <x:c r="A14" s="12"/>
      <x:c r="B14" s="12"/>
      <x:c r="C14" s="12"/>
      <x:c r="D14" s="12"/>
      <x:c r="E14" s="14"/>
      <x:c r="F14" s="13" t="str">
        <x:f>IF($A14="","",IF($D14&lt;&gt;'Team Setup'!$B$4,"Other sprint",IF($C14="","Unassigned",IF(OR(ISNUMBER(SEARCH(",",$C14)),ISNUMBER(SEARCH(";",$C14))),"Multiple assignees",IF(COUNTIF('Team Setup'!$B$10:$B$34,$C14)=1,"Matched","Unmatched")))))</x:f>
      </x:c>
      <x:c r="G14" s="13" t="str">
        <x:f>IF($A14="","",IF($D14&lt;&gt;'Team Setup'!$B$4,"Other sprint",IF($E14="","Unestimated",IF(NOT(ISNUMBER($E14)),"Check estimate in hours",IF($E14&lt;0,"Check estimate in hours",IF($E14=0,"Unestimated","Estimated"))))))</x:f>
      </x:c>
    </x:row>
    <x:row r="15">
      <x:c r="A15" s="12"/>
      <x:c r="B15" s="12"/>
      <x:c r="C15" s="12"/>
      <x:c r="D15" s="12"/>
      <x:c r="E15" s="14"/>
      <x:c r="F15" s="13" t="str">
        <x:f>IF($A15="","",IF($D15&lt;&gt;'Team Setup'!$B$4,"Other sprint",IF($C15="","Unassigned",IF(OR(ISNUMBER(SEARCH(",",$C15)),ISNUMBER(SEARCH(";",$C15))),"Multiple assignees",IF(COUNTIF('Team Setup'!$B$10:$B$34,$C15)=1,"Matched","Unmatched")))))</x:f>
      </x:c>
      <x:c r="G15" s="13" t="str">
        <x:f>IF($A15="","",IF($D15&lt;&gt;'Team Setup'!$B$4,"Other sprint",IF($E15="","Unestimated",IF(NOT(ISNUMBER($E15)),"Check estimate in hours",IF($E15&lt;0,"Check estimate in hours",IF($E15=0,"Unestimated","Estimated"))))))</x:f>
      </x:c>
    </x:row>
    <x:row r="16">
      <x:c r="A16" s="12"/>
      <x:c r="B16" s="12"/>
      <x:c r="C16" s="12"/>
      <x:c r="D16" s="12"/>
      <x:c r="E16" s="14"/>
      <x:c r="F16" s="13" t="str">
        <x:f>IF($A16="","",IF($D16&lt;&gt;'Team Setup'!$B$4,"Other sprint",IF($C16="","Unassigned",IF(OR(ISNUMBER(SEARCH(",",$C16)),ISNUMBER(SEARCH(";",$C16))),"Multiple assignees",IF(COUNTIF('Team Setup'!$B$10:$B$34,$C16)=1,"Matched","Unmatched")))))</x:f>
      </x:c>
      <x:c r="G16" s="13" t="str">
        <x:f>IF($A16="","",IF($D16&lt;&gt;'Team Setup'!$B$4,"Other sprint",IF($E16="","Unestimated",IF(NOT(ISNUMBER($E16)),"Check estimate in hours",IF($E16&lt;0,"Check estimate in hours",IF($E16=0,"Unestimated","Estimated"))))))</x:f>
      </x:c>
    </x:row>
    <x:row r="17">
      <x:c r="A17" s="12"/>
      <x:c r="B17" s="12"/>
      <x:c r="C17" s="12"/>
      <x:c r="D17" s="12"/>
      <x:c r="E17" s="14"/>
      <x:c r="F17" s="13" t="str">
        <x:f>IF($A17="","",IF($D17&lt;&gt;'Team Setup'!$B$4,"Other sprint",IF($C17="","Unassigned",IF(OR(ISNUMBER(SEARCH(",",$C17)),ISNUMBER(SEARCH(";",$C17))),"Multiple assignees",IF(COUNTIF('Team Setup'!$B$10:$B$34,$C17)=1,"Matched","Unmatched")))))</x:f>
      </x:c>
      <x:c r="G17" s="13" t="str">
        <x:f>IF($A17="","",IF($D17&lt;&gt;'Team Setup'!$B$4,"Other sprint",IF($E17="","Unestimated",IF(NOT(ISNUMBER($E17)),"Check estimate in hours",IF($E17&lt;0,"Check estimate in hours",IF($E17=0,"Unestimated","Estimated"))))))</x:f>
      </x:c>
    </x:row>
    <x:row r="18">
      <x:c r="A18" s="12"/>
      <x:c r="B18" s="12"/>
      <x:c r="C18" s="12"/>
      <x:c r="D18" s="12"/>
      <x:c r="E18" s="14"/>
      <x:c r="F18" s="13" t="str">
        <x:f>IF($A18="","",IF($D18&lt;&gt;'Team Setup'!$B$4,"Other sprint",IF($C18="","Unassigned",IF(OR(ISNUMBER(SEARCH(",",$C18)),ISNUMBER(SEARCH(";",$C18))),"Multiple assignees",IF(COUNTIF('Team Setup'!$B$10:$B$34,$C18)=1,"Matched","Unmatched")))))</x:f>
      </x:c>
      <x:c r="G18" s="13" t="str">
        <x:f>IF($A18="","",IF($D18&lt;&gt;'Team Setup'!$B$4,"Other sprint",IF($E18="","Unestimated",IF(NOT(ISNUMBER($E18)),"Check estimate in hours",IF($E18&lt;0,"Check estimate in hours",IF($E18=0,"Unestimated","Estimated"))))))</x:f>
      </x:c>
    </x:row>
    <x:row r="19">
      <x:c r="A19" s="12"/>
      <x:c r="B19" s="12"/>
      <x:c r="C19" s="12"/>
      <x:c r="D19" s="12"/>
      <x:c r="E19" s="14"/>
      <x:c r="F19" s="13" t="str">
        <x:f>IF($A19="","",IF($D19&lt;&gt;'Team Setup'!$B$4,"Other sprint",IF($C19="","Unassigned",IF(OR(ISNUMBER(SEARCH(",",$C19)),ISNUMBER(SEARCH(";",$C19))),"Multiple assignees",IF(COUNTIF('Team Setup'!$B$10:$B$34,$C19)=1,"Matched","Unmatched")))))</x:f>
      </x:c>
      <x:c r="G19" s="13" t="str">
        <x:f>IF($A19="","",IF($D19&lt;&gt;'Team Setup'!$B$4,"Other sprint",IF($E19="","Unestimated",IF(NOT(ISNUMBER($E19)),"Check estimate in hours",IF($E19&lt;0,"Check estimate in hours",IF($E19=0,"Unestimated","Estimated"))))))</x:f>
      </x:c>
    </x:row>
    <x:row r="20">
      <x:c r="A20" s="12"/>
      <x:c r="B20" s="12"/>
      <x:c r="C20" s="12"/>
      <x:c r="D20" s="12"/>
      <x:c r="E20" s="14"/>
      <x:c r="F20" s="13" t="str">
        <x:f>IF($A20="","",IF($D20&lt;&gt;'Team Setup'!$B$4,"Other sprint",IF($C20="","Unassigned",IF(OR(ISNUMBER(SEARCH(",",$C20)),ISNUMBER(SEARCH(";",$C20))),"Multiple assignees",IF(COUNTIF('Team Setup'!$B$10:$B$34,$C20)=1,"Matched","Unmatched")))))</x:f>
      </x:c>
      <x:c r="G20" s="13" t="str">
        <x:f>IF($A20="","",IF($D20&lt;&gt;'Team Setup'!$B$4,"Other sprint",IF($E20="","Unestimated",IF(NOT(ISNUMBER($E20)),"Check estimate in hours",IF($E20&lt;0,"Check estimate in hours",IF($E20=0,"Unestimated","Estimated"))))))</x:f>
      </x:c>
    </x:row>
    <x:row r="21">
      <x:c r="A21" s="12"/>
      <x:c r="B21" s="12"/>
      <x:c r="C21" s="12"/>
      <x:c r="D21" s="12"/>
      <x:c r="E21" s="14"/>
      <x:c r="F21" s="13" t="str">
        <x:f>IF($A21="","",IF($D21&lt;&gt;'Team Setup'!$B$4,"Other sprint",IF($C21="","Unassigned",IF(OR(ISNUMBER(SEARCH(",",$C21)),ISNUMBER(SEARCH(";",$C21))),"Multiple assignees",IF(COUNTIF('Team Setup'!$B$10:$B$34,$C21)=1,"Matched","Unmatched")))))</x:f>
      </x:c>
      <x:c r="G21" s="13" t="str">
        <x:f>IF($A21="","",IF($D21&lt;&gt;'Team Setup'!$B$4,"Other sprint",IF($E21="","Unestimated",IF(NOT(ISNUMBER($E21)),"Check estimate in hours",IF($E21&lt;0,"Check estimate in hours",IF($E21=0,"Unestimated","Estimated"))))))</x:f>
      </x:c>
    </x:row>
    <x:row r="22">
      <x:c r="A22" s="12"/>
      <x:c r="B22" s="12"/>
      <x:c r="C22" s="12"/>
      <x:c r="D22" s="12"/>
      <x:c r="E22" s="14"/>
      <x:c r="F22" s="13" t="str">
        <x:f>IF($A22="","",IF($D22&lt;&gt;'Team Setup'!$B$4,"Other sprint",IF($C22="","Unassigned",IF(OR(ISNUMBER(SEARCH(",",$C22)),ISNUMBER(SEARCH(";",$C22))),"Multiple assignees",IF(COUNTIF('Team Setup'!$B$10:$B$34,$C22)=1,"Matched","Unmatched")))))</x:f>
      </x:c>
      <x:c r="G22" s="13" t="str">
        <x:f>IF($A22="","",IF($D22&lt;&gt;'Team Setup'!$B$4,"Other sprint",IF($E22="","Unestimated",IF(NOT(ISNUMBER($E22)),"Check estimate in hours",IF($E22&lt;0,"Check estimate in hours",IF($E22=0,"Unestimated","Estimated"))))))</x:f>
      </x:c>
    </x:row>
    <x:row r="23">
      <x:c r="A23" s="12"/>
      <x:c r="B23" s="12"/>
      <x:c r="C23" s="12"/>
      <x:c r="D23" s="12"/>
      <x:c r="E23" s="14"/>
      <x:c r="F23" s="13" t="str">
        <x:f>IF($A23="","",IF($D23&lt;&gt;'Team Setup'!$B$4,"Other sprint",IF($C23="","Unassigned",IF(OR(ISNUMBER(SEARCH(",",$C23)),ISNUMBER(SEARCH(";",$C23))),"Multiple assignees",IF(COUNTIF('Team Setup'!$B$10:$B$34,$C23)=1,"Matched","Unmatched")))))</x:f>
      </x:c>
      <x:c r="G23" s="13" t="str">
        <x:f>IF($A23="","",IF($D23&lt;&gt;'Team Setup'!$B$4,"Other sprint",IF($E23="","Unestimated",IF(NOT(ISNUMBER($E23)),"Check estimate in hours",IF($E23&lt;0,"Check estimate in hours",IF($E23=0,"Unestimated","Estimated"))))))</x:f>
      </x:c>
    </x:row>
    <x:row r="24">
      <x:c r="A24" s="12"/>
      <x:c r="B24" s="12"/>
      <x:c r="C24" s="12"/>
      <x:c r="D24" s="12"/>
      <x:c r="E24" s="14"/>
      <x:c r="F24" s="13" t="str">
        <x:f>IF($A24="","",IF($D24&lt;&gt;'Team Setup'!$B$4,"Other sprint",IF($C24="","Unassigned",IF(OR(ISNUMBER(SEARCH(",",$C24)),ISNUMBER(SEARCH(";",$C24))),"Multiple assignees",IF(COUNTIF('Team Setup'!$B$10:$B$34,$C24)=1,"Matched","Unmatched")))))</x:f>
      </x:c>
      <x:c r="G24" s="13" t="str">
        <x:f>IF($A24="","",IF($D24&lt;&gt;'Team Setup'!$B$4,"Other sprint",IF($E24="","Unestimated",IF(NOT(ISNUMBER($E24)),"Check estimate in hours",IF($E24&lt;0,"Check estimate in hours",IF($E24=0,"Unestimated","Estimated"))))))</x:f>
      </x:c>
    </x:row>
    <x:row r="25">
      <x:c r="A25" s="12"/>
      <x:c r="B25" s="12"/>
      <x:c r="C25" s="12"/>
      <x:c r="D25" s="12"/>
      <x:c r="E25" s="14"/>
      <x:c r="F25" s="13" t="str">
        <x:f>IF($A25="","",IF($D25&lt;&gt;'Team Setup'!$B$4,"Other sprint",IF($C25="","Unassigned",IF(OR(ISNUMBER(SEARCH(",",$C25)),ISNUMBER(SEARCH(";",$C25))),"Multiple assignees",IF(COUNTIF('Team Setup'!$B$10:$B$34,$C25)=1,"Matched","Unmatched")))))</x:f>
      </x:c>
      <x:c r="G25" s="13" t="str">
        <x:f>IF($A25="","",IF($D25&lt;&gt;'Team Setup'!$B$4,"Other sprint",IF($E25="","Unestimated",IF(NOT(ISNUMBER($E25)),"Check estimate in hours",IF($E25&lt;0,"Check estimate in hours",IF($E25=0,"Unestimated","Estimated"))))))</x:f>
      </x:c>
    </x:row>
    <x:row r="26">
      <x:c r="A26" s="12"/>
      <x:c r="B26" s="12"/>
      <x:c r="C26" s="12"/>
      <x:c r="D26" s="12"/>
      <x:c r="E26" s="14"/>
      <x:c r="F26" s="13" t="str">
        <x:f>IF($A26="","",IF($D26&lt;&gt;'Team Setup'!$B$4,"Other sprint",IF($C26="","Unassigned",IF(OR(ISNUMBER(SEARCH(",",$C26)),ISNUMBER(SEARCH(";",$C26))),"Multiple assignees",IF(COUNTIF('Team Setup'!$B$10:$B$34,$C26)=1,"Matched","Unmatched")))))</x:f>
      </x:c>
      <x:c r="G26" s="13" t="str">
        <x:f>IF($A26="","",IF($D26&lt;&gt;'Team Setup'!$B$4,"Other sprint",IF($E26="","Unestimated",IF(NOT(ISNUMBER($E26)),"Check estimate in hours",IF($E26&lt;0,"Check estimate in hours",IF($E26=0,"Unestimated","Estimated"))))))</x:f>
      </x:c>
    </x:row>
    <x:row r="27">
      <x:c r="A27" s="12"/>
      <x:c r="B27" s="12"/>
      <x:c r="C27" s="12"/>
      <x:c r="D27" s="12"/>
      <x:c r="E27" s="14"/>
      <x:c r="F27" s="13" t="str">
        <x:f>IF($A27="","",IF($D27&lt;&gt;'Team Setup'!$B$4,"Other sprint",IF($C27="","Unassigned",IF(OR(ISNUMBER(SEARCH(",",$C27)),ISNUMBER(SEARCH(";",$C27))),"Multiple assignees",IF(COUNTIF('Team Setup'!$B$10:$B$34,$C27)=1,"Matched","Unmatched")))))</x:f>
      </x:c>
      <x:c r="G27" s="13" t="str">
        <x:f>IF($A27="","",IF($D27&lt;&gt;'Team Setup'!$B$4,"Other sprint",IF($E27="","Unestimated",IF(NOT(ISNUMBER($E27)),"Check estimate in hours",IF($E27&lt;0,"Check estimate in hours",IF($E27=0,"Unestimated","Estimated"))))))</x:f>
      </x:c>
    </x:row>
    <x:row r="28">
      <x:c r="A28" s="12"/>
      <x:c r="B28" s="12"/>
      <x:c r="C28" s="12"/>
      <x:c r="D28" s="12"/>
      <x:c r="E28" s="14"/>
      <x:c r="F28" s="13" t="str">
        <x:f>IF($A28="","",IF($D28&lt;&gt;'Team Setup'!$B$4,"Other sprint",IF($C28="","Unassigned",IF(OR(ISNUMBER(SEARCH(",",$C28)),ISNUMBER(SEARCH(";",$C28))),"Multiple assignees",IF(COUNTIF('Team Setup'!$B$10:$B$34,$C28)=1,"Matched","Unmatched")))))</x:f>
      </x:c>
      <x:c r="G28" s="13" t="str">
        <x:f>IF($A28="","",IF($D28&lt;&gt;'Team Setup'!$B$4,"Other sprint",IF($E28="","Unestimated",IF(NOT(ISNUMBER($E28)),"Check estimate in hours",IF($E28&lt;0,"Check estimate in hours",IF($E28=0,"Unestimated","Estimated"))))))</x:f>
      </x:c>
    </x:row>
    <x:row r="29">
      <x:c r="A29" s="12"/>
      <x:c r="B29" s="12"/>
      <x:c r="C29" s="12"/>
      <x:c r="D29" s="12"/>
      <x:c r="E29" s="14"/>
      <x:c r="F29" s="13" t="str">
        <x:f>IF($A29="","",IF($D29&lt;&gt;'Team Setup'!$B$4,"Other sprint",IF($C29="","Unassigned",IF(OR(ISNUMBER(SEARCH(",",$C29)),ISNUMBER(SEARCH(";",$C29))),"Multiple assignees",IF(COUNTIF('Team Setup'!$B$10:$B$34,$C29)=1,"Matched","Unmatched")))))</x:f>
      </x:c>
      <x:c r="G29" s="13" t="str">
        <x:f>IF($A29="","",IF($D29&lt;&gt;'Team Setup'!$B$4,"Other sprint",IF($E29="","Unestimated",IF(NOT(ISNUMBER($E29)),"Check estimate in hours",IF($E29&lt;0,"Check estimate in hours",IF($E29=0,"Unestimated","Estimated"))))))</x:f>
      </x:c>
    </x:row>
    <x:row r="30">
      <x:c r="A30" s="12"/>
      <x:c r="B30" s="12"/>
      <x:c r="C30" s="12"/>
      <x:c r="D30" s="12"/>
      <x:c r="E30" s="14"/>
      <x:c r="F30" s="13" t="str">
        <x:f>IF($A30="","",IF($D30&lt;&gt;'Team Setup'!$B$4,"Other sprint",IF($C30="","Unassigned",IF(OR(ISNUMBER(SEARCH(",",$C30)),ISNUMBER(SEARCH(";",$C30))),"Multiple assignees",IF(COUNTIF('Team Setup'!$B$10:$B$34,$C30)=1,"Matched","Unmatched")))))</x:f>
      </x:c>
      <x:c r="G30" s="13" t="str">
        <x:f>IF($A30="","",IF($D30&lt;&gt;'Team Setup'!$B$4,"Other sprint",IF($E30="","Unestimated",IF(NOT(ISNUMBER($E30)),"Check estimate in hours",IF($E30&lt;0,"Check estimate in hours",IF($E30=0,"Unestimated","Estimated"))))))</x:f>
      </x:c>
    </x:row>
    <x:row r="31">
      <x:c r="A31" s="12"/>
      <x:c r="B31" s="12"/>
      <x:c r="C31" s="12"/>
      <x:c r="D31" s="12"/>
      <x:c r="E31" s="14"/>
      <x:c r="F31" s="13" t="str">
        <x:f>IF($A31="","",IF($D31&lt;&gt;'Team Setup'!$B$4,"Other sprint",IF($C31="","Unassigned",IF(OR(ISNUMBER(SEARCH(",",$C31)),ISNUMBER(SEARCH(";",$C31))),"Multiple assignees",IF(COUNTIF('Team Setup'!$B$10:$B$34,$C31)=1,"Matched","Unmatched")))))</x:f>
      </x:c>
      <x:c r="G31" s="13" t="str">
        <x:f>IF($A31="","",IF($D31&lt;&gt;'Team Setup'!$B$4,"Other sprint",IF($E31="","Unestimated",IF(NOT(ISNUMBER($E31)),"Check estimate in hours",IF($E31&lt;0,"Check estimate in hours",IF($E31=0,"Unestimated","Estimated"))))))</x:f>
      </x:c>
    </x:row>
    <x:row r="32">
      <x:c r="A32" s="12"/>
      <x:c r="B32" s="12"/>
      <x:c r="C32" s="12"/>
      <x:c r="D32" s="12"/>
      <x:c r="E32" s="14"/>
      <x:c r="F32" s="13" t="str">
        <x:f>IF($A32="","",IF($D32&lt;&gt;'Team Setup'!$B$4,"Other sprint",IF($C32="","Unassigned",IF(OR(ISNUMBER(SEARCH(",",$C32)),ISNUMBER(SEARCH(";",$C32))),"Multiple assignees",IF(COUNTIF('Team Setup'!$B$10:$B$34,$C32)=1,"Matched","Unmatched")))))</x:f>
      </x:c>
      <x:c r="G32" s="13" t="str">
        <x:f>IF($A32="","",IF($D32&lt;&gt;'Team Setup'!$B$4,"Other sprint",IF($E32="","Unestimated",IF(NOT(ISNUMBER($E32)),"Check estimate in hours",IF($E32&lt;0,"Check estimate in hours",IF($E32=0,"Unestimated","Estimated"))))))</x:f>
      </x:c>
    </x:row>
    <x:row r="33">
      <x:c r="A33" s="12"/>
      <x:c r="B33" s="12"/>
      <x:c r="C33" s="12"/>
      <x:c r="D33" s="12"/>
      <x:c r="E33" s="14"/>
      <x:c r="F33" s="13" t="str">
        <x:f>IF($A33="","",IF($D33&lt;&gt;'Team Setup'!$B$4,"Other sprint",IF($C33="","Unassigned",IF(OR(ISNUMBER(SEARCH(",",$C33)),ISNUMBER(SEARCH(";",$C33))),"Multiple assignees",IF(COUNTIF('Team Setup'!$B$10:$B$34,$C33)=1,"Matched","Unmatched")))))</x:f>
      </x:c>
      <x:c r="G33" s="13" t="str">
        <x:f>IF($A33="","",IF($D33&lt;&gt;'Team Setup'!$B$4,"Other sprint",IF($E33="","Unestimated",IF(NOT(ISNUMBER($E33)),"Check estimate in hours",IF($E33&lt;0,"Check estimate in hours",IF($E33=0,"Unestimated","Estimated"))))))</x:f>
      </x:c>
    </x:row>
    <x:row r="34">
      <x:c r="A34" s="12"/>
      <x:c r="B34" s="12"/>
      <x:c r="C34" s="12"/>
      <x:c r="D34" s="12"/>
      <x:c r="E34" s="14"/>
      <x:c r="F34" s="13" t="str">
        <x:f>IF($A34="","",IF($D34&lt;&gt;'Team Setup'!$B$4,"Other sprint",IF($C34="","Unassigned",IF(OR(ISNUMBER(SEARCH(",",$C34)),ISNUMBER(SEARCH(";",$C34))),"Multiple assignees",IF(COUNTIF('Team Setup'!$B$10:$B$34,$C34)=1,"Matched","Unmatched")))))</x:f>
      </x:c>
      <x:c r="G34" s="13" t="str">
        <x:f>IF($A34="","",IF($D34&lt;&gt;'Team Setup'!$B$4,"Other sprint",IF($E34="","Unestimated",IF(NOT(ISNUMBER($E34)),"Check estimate in hours",IF($E34&lt;0,"Check estimate in hours",IF($E34=0,"Unestimated","Estimated"))))))</x:f>
      </x:c>
    </x:row>
    <x:row r="35">
      <x:c r="A35" s="12"/>
      <x:c r="B35" s="12"/>
      <x:c r="C35" s="12"/>
      <x:c r="D35" s="12"/>
      <x:c r="E35" s="14"/>
      <x:c r="F35" s="13" t="str">
        <x:f>IF($A35="","",IF($D35&lt;&gt;'Team Setup'!$B$4,"Other sprint",IF($C35="","Unassigned",IF(OR(ISNUMBER(SEARCH(",",$C35)),ISNUMBER(SEARCH(";",$C35))),"Multiple assignees",IF(COUNTIF('Team Setup'!$B$10:$B$34,$C35)=1,"Matched","Unmatched")))))</x:f>
      </x:c>
      <x:c r="G35" s="13" t="str">
        <x:f>IF($A35="","",IF($D35&lt;&gt;'Team Setup'!$B$4,"Other sprint",IF($E35="","Unestimated",IF(NOT(ISNUMBER($E35)),"Check estimate in hours",IF($E35&lt;0,"Check estimate in hours",IF($E35=0,"Unestimated","Estimated"))))))</x:f>
      </x:c>
    </x:row>
    <x:row r="36">
      <x:c r="A36" s="12"/>
      <x:c r="B36" s="12"/>
      <x:c r="C36" s="12"/>
      <x:c r="D36" s="12"/>
      <x:c r="E36" s="14"/>
      <x:c r="F36" s="13" t="str">
        <x:f>IF($A36="","",IF($D36&lt;&gt;'Team Setup'!$B$4,"Other sprint",IF($C36="","Unassigned",IF(OR(ISNUMBER(SEARCH(",",$C36)),ISNUMBER(SEARCH(";",$C36))),"Multiple assignees",IF(COUNTIF('Team Setup'!$B$10:$B$34,$C36)=1,"Matched","Unmatched")))))</x:f>
      </x:c>
      <x:c r="G36" s="13" t="str">
        <x:f>IF($A36="","",IF($D36&lt;&gt;'Team Setup'!$B$4,"Other sprint",IF($E36="","Unestimated",IF(NOT(ISNUMBER($E36)),"Check estimate in hours",IF($E36&lt;0,"Check estimate in hours",IF($E36=0,"Unestimated","Estimated"))))))</x:f>
      </x:c>
    </x:row>
    <x:row r="37">
      <x:c r="A37" s="12"/>
      <x:c r="B37" s="12"/>
      <x:c r="C37" s="12"/>
      <x:c r="D37" s="12"/>
      <x:c r="E37" s="14"/>
      <x:c r="F37" s="13" t="str">
        <x:f>IF($A37="","",IF($D37&lt;&gt;'Team Setup'!$B$4,"Other sprint",IF($C37="","Unassigned",IF(OR(ISNUMBER(SEARCH(",",$C37)),ISNUMBER(SEARCH(";",$C37))),"Multiple assignees",IF(COUNTIF('Team Setup'!$B$10:$B$34,$C37)=1,"Matched","Unmatched")))))</x:f>
      </x:c>
      <x:c r="G37" s="13" t="str">
        <x:f>IF($A37="","",IF($D37&lt;&gt;'Team Setup'!$B$4,"Other sprint",IF($E37="","Unestimated",IF(NOT(ISNUMBER($E37)),"Check estimate in hours",IF($E37&lt;0,"Check estimate in hours",IF($E37=0,"Unestimated","Estimated"))))))</x:f>
      </x:c>
    </x:row>
    <x:row r="38">
      <x:c r="A38" s="12"/>
      <x:c r="B38" s="12"/>
      <x:c r="C38" s="12"/>
      <x:c r="D38" s="12"/>
      <x:c r="E38" s="14"/>
      <x:c r="F38" s="13" t="str">
        <x:f>IF($A38="","",IF($D38&lt;&gt;'Team Setup'!$B$4,"Other sprint",IF($C38="","Unassigned",IF(OR(ISNUMBER(SEARCH(",",$C38)),ISNUMBER(SEARCH(";",$C38))),"Multiple assignees",IF(COUNTIF('Team Setup'!$B$10:$B$34,$C38)=1,"Matched","Unmatched")))))</x:f>
      </x:c>
      <x:c r="G38" s="13" t="str">
        <x:f>IF($A38="","",IF($D38&lt;&gt;'Team Setup'!$B$4,"Other sprint",IF($E38="","Unestimated",IF(NOT(ISNUMBER($E38)),"Check estimate in hours",IF($E38&lt;0,"Check estimate in hours",IF($E38=0,"Unestimated","Estimated"))))))</x:f>
      </x:c>
    </x:row>
    <x:row r="39">
      <x:c r="A39" s="12"/>
      <x:c r="B39" s="12"/>
      <x:c r="C39" s="12"/>
      <x:c r="D39" s="12"/>
      <x:c r="E39" s="14"/>
      <x:c r="F39" s="13" t="str">
        <x:f>IF($A39="","",IF($D39&lt;&gt;'Team Setup'!$B$4,"Other sprint",IF($C39="","Unassigned",IF(OR(ISNUMBER(SEARCH(",",$C39)),ISNUMBER(SEARCH(";",$C39))),"Multiple assignees",IF(COUNTIF('Team Setup'!$B$10:$B$34,$C39)=1,"Matched","Unmatched")))))</x:f>
      </x:c>
      <x:c r="G39" s="13" t="str">
        <x:f>IF($A39="","",IF($D39&lt;&gt;'Team Setup'!$B$4,"Other sprint",IF($E39="","Unestimated",IF(NOT(ISNUMBER($E39)),"Check estimate in hours",IF($E39&lt;0,"Check estimate in hours",IF($E39=0,"Unestimated","Estimated"))))))</x:f>
      </x:c>
    </x:row>
    <x:row r="40">
      <x:c r="A40" s="12"/>
      <x:c r="B40" s="12"/>
      <x:c r="C40" s="12"/>
      <x:c r="D40" s="12"/>
      <x:c r="E40" s="14"/>
      <x:c r="F40" s="13" t="str">
        <x:f>IF($A40="","",IF($D40&lt;&gt;'Team Setup'!$B$4,"Other sprint",IF($C40="","Unassigned",IF(OR(ISNUMBER(SEARCH(",",$C40)),ISNUMBER(SEARCH(";",$C40))),"Multiple assignees",IF(COUNTIF('Team Setup'!$B$10:$B$34,$C40)=1,"Matched","Unmatched")))))</x:f>
      </x:c>
      <x:c r="G40" s="13" t="str">
        <x:f>IF($A40="","",IF($D40&lt;&gt;'Team Setup'!$B$4,"Other sprint",IF($E40="","Unestimated",IF(NOT(ISNUMBER($E40)),"Check estimate in hours",IF($E40&lt;0,"Check estimate in hours",IF($E40=0,"Unestimated","Estimated"))))))</x:f>
      </x:c>
    </x:row>
    <x:row r="41">
      <x:c r="A41" s="12"/>
      <x:c r="B41" s="12"/>
      <x:c r="C41" s="12"/>
      <x:c r="D41" s="12"/>
      <x:c r="E41" s="14"/>
      <x:c r="F41" s="13" t="str">
        <x:f>IF($A41="","",IF($D41&lt;&gt;'Team Setup'!$B$4,"Other sprint",IF($C41="","Unassigned",IF(OR(ISNUMBER(SEARCH(",",$C41)),ISNUMBER(SEARCH(";",$C41))),"Multiple assignees",IF(COUNTIF('Team Setup'!$B$10:$B$34,$C41)=1,"Matched","Unmatched")))))</x:f>
      </x:c>
      <x:c r="G41" s="13" t="str">
        <x:f>IF($A41="","",IF($D41&lt;&gt;'Team Setup'!$B$4,"Other sprint",IF($E41="","Unestimated",IF(NOT(ISNUMBER($E41)),"Check estimate in hours",IF($E41&lt;0,"Check estimate in hours",IF($E41=0,"Unestimated","Estimated"))))))</x:f>
      </x:c>
    </x:row>
    <x:row r="42">
      <x:c r="A42" s="12"/>
      <x:c r="B42" s="12"/>
      <x:c r="C42" s="12"/>
      <x:c r="D42" s="12"/>
      <x:c r="E42" s="14"/>
      <x:c r="F42" s="13" t="str">
        <x:f>IF($A42="","",IF($D42&lt;&gt;'Team Setup'!$B$4,"Other sprint",IF($C42="","Unassigned",IF(OR(ISNUMBER(SEARCH(",",$C42)),ISNUMBER(SEARCH(";",$C42))),"Multiple assignees",IF(COUNTIF('Team Setup'!$B$10:$B$34,$C42)=1,"Matched","Unmatched")))))</x:f>
      </x:c>
      <x:c r="G42" s="13" t="str">
        <x:f>IF($A42="","",IF($D42&lt;&gt;'Team Setup'!$B$4,"Other sprint",IF($E42="","Unestimated",IF(NOT(ISNUMBER($E42)),"Check estimate in hours",IF($E42&lt;0,"Check estimate in hours",IF($E42=0,"Unestimated","Estimated"))))))</x:f>
      </x:c>
    </x:row>
    <x:row r="43">
      <x:c r="A43" s="12"/>
      <x:c r="B43" s="12"/>
      <x:c r="C43" s="12"/>
      <x:c r="D43" s="12"/>
      <x:c r="E43" s="14"/>
      <x:c r="F43" s="13" t="str">
        <x:f>IF($A43="","",IF($D43&lt;&gt;'Team Setup'!$B$4,"Other sprint",IF($C43="","Unassigned",IF(OR(ISNUMBER(SEARCH(",",$C43)),ISNUMBER(SEARCH(";",$C43))),"Multiple assignees",IF(COUNTIF('Team Setup'!$B$10:$B$34,$C43)=1,"Matched","Unmatched")))))</x:f>
      </x:c>
      <x:c r="G43" s="13" t="str">
        <x:f>IF($A43="","",IF($D43&lt;&gt;'Team Setup'!$B$4,"Other sprint",IF($E43="","Unestimated",IF(NOT(ISNUMBER($E43)),"Check estimate in hours",IF($E43&lt;0,"Check estimate in hours",IF($E43=0,"Unestimated","Estimated"))))))</x:f>
      </x:c>
    </x:row>
    <x:row r="44">
      <x:c r="A44" s="12"/>
      <x:c r="B44" s="12"/>
      <x:c r="C44" s="12"/>
      <x:c r="D44" s="12"/>
      <x:c r="E44" s="14"/>
      <x:c r="F44" s="13" t="str">
        <x:f>IF($A44="","",IF($D44&lt;&gt;'Team Setup'!$B$4,"Other sprint",IF($C44="","Unassigned",IF(OR(ISNUMBER(SEARCH(",",$C44)),ISNUMBER(SEARCH(";",$C44))),"Multiple assignees",IF(COUNTIF('Team Setup'!$B$10:$B$34,$C44)=1,"Matched","Unmatched")))))</x:f>
      </x:c>
      <x:c r="G44" s="13" t="str">
        <x:f>IF($A44="","",IF($D44&lt;&gt;'Team Setup'!$B$4,"Other sprint",IF($E44="","Unestimated",IF(NOT(ISNUMBER($E44)),"Check estimate in hours",IF($E44&lt;0,"Check estimate in hours",IF($E44=0,"Unestimated","Estimated"))))))</x:f>
      </x:c>
    </x:row>
    <x:row r="45">
      <x:c r="A45" s="12"/>
      <x:c r="B45" s="12"/>
      <x:c r="C45" s="12"/>
      <x:c r="D45" s="12"/>
      <x:c r="E45" s="14"/>
      <x:c r="F45" s="13" t="str">
        <x:f>IF($A45="","",IF($D45&lt;&gt;'Team Setup'!$B$4,"Other sprint",IF($C45="","Unassigned",IF(OR(ISNUMBER(SEARCH(",",$C45)),ISNUMBER(SEARCH(";",$C45))),"Multiple assignees",IF(COUNTIF('Team Setup'!$B$10:$B$34,$C45)=1,"Matched","Unmatched")))))</x:f>
      </x:c>
      <x:c r="G45" s="13" t="str">
        <x:f>IF($A45="","",IF($D45&lt;&gt;'Team Setup'!$B$4,"Other sprint",IF($E45="","Unestimated",IF(NOT(ISNUMBER($E45)),"Check estimate in hours",IF($E45&lt;0,"Check estimate in hours",IF($E45=0,"Unestimated","Estimated"))))))</x:f>
      </x:c>
    </x:row>
    <x:row r="46">
      <x:c r="A46" s="12"/>
      <x:c r="B46" s="12"/>
      <x:c r="C46" s="12"/>
      <x:c r="D46" s="12"/>
      <x:c r="E46" s="14"/>
      <x:c r="F46" s="13" t="str">
        <x:f>IF($A46="","",IF($D46&lt;&gt;'Team Setup'!$B$4,"Other sprint",IF($C46="","Unassigned",IF(OR(ISNUMBER(SEARCH(",",$C46)),ISNUMBER(SEARCH(";",$C46))),"Multiple assignees",IF(COUNTIF('Team Setup'!$B$10:$B$34,$C46)=1,"Matched","Unmatched")))))</x:f>
      </x:c>
      <x:c r="G46" s="13" t="str">
        <x:f>IF($A46="","",IF($D46&lt;&gt;'Team Setup'!$B$4,"Other sprint",IF($E46="","Unestimated",IF(NOT(ISNUMBER($E46)),"Check estimate in hours",IF($E46&lt;0,"Check estimate in hours",IF($E46=0,"Unestimated","Estimated"))))))</x:f>
      </x:c>
    </x:row>
    <x:row r="47">
      <x:c r="A47" s="12"/>
      <x:c r="B47" s="12"/>
      <x:c r="C47" s="12"/>
      <x:c r="D47" s="12"/>
      <x:c r="E47" s="14"/>
      <x:c r="F47" s="13" t="str">
        <x:f>IF($A47="","",IF($D47&lt;&gt;'Team Setup'!$B$4,"Other sprint",IF($C47="","Unassigned",IF(OR(ISNUMBER(SEARCH(",",$C47)),ISNUMBER(SEARCH(";",$C47))),"Multiple assignees",IF(COUNTIF('Team Setup'!$B$10:$B$34,$C47)=1,"Matched","Unmatched")))))</x:f>
      </x:c>
      <x:c r="G47" s="13" t="str">
        <x:f>IF($A47="","",IF($D47&lt;&gt;'Team Setup'!$B$4,"Other sprint",IF($E47="","Unestimated",IF(NOT(ISNUMBER($E47)),"Check estimate in hours",IF($E47&lt;0,"Check estimate in hours",IF($E47=0,"Unestimated","Estimated"))))))</x:f>
      </x:c>
    </x:row>
    <x:row r="48">
      <x:c r="A48" s="12"/>
      <x:c r="B48" s="12"/>
      <x:c r="C48" s="12"/>
      <x:c r="D48" s="12"/>
      <x:c r="E48" s="14"/>
      <x:c r="F48" s="13" t="str">
        <x:f>IF($A48="","",IF($D48&lt;&gt;'Team Setup'!$B$4,"Other sprint",IF($C48="","Unassigned",IF(OR(ISNUMBER(SEARCH(",",$C48)),ISNUMBER(SEARCH(";",$C48))),"Multiple assignees",IF(COUNTIF('Team Setup'!$B$10:$B$34,$C48)=1,"Matched","Unmatched")))))</x:f>
      </x:c>
      <x:c r="G48" s="13" t="str">
        <x:f>IF($A48="","",IF($D48&lt;&gt;'Team Setup'!$B$4,"Other sprint",IF($E48="","Unestimated",IF(NOT(ISNUMBER($E48)),"Check estimate in hours",IF($E48&lt;0,"Check estimate in hours",IF($E48=0,"Unestimated","Estimated"))))))</x:f>
      </x:c>
    </x:row>
    <x:row r="49">
      <x:c r="A49" s="12"/>
      <x:c r="B49" s="12"/>
      <x:c r="C49" s="12"/>
      <x:c r="D49" s="12"/>
      <x:c r="E49" s="14"/>
      <x:c r="F49" s="13" t="str">
        <x:f>IF($A49="","",IF($D49&lt;&gt;'Team Setup'!$B$4,"Other sprint",IF($C49="","Unassigned",IF(OR(ISNUMBER(SEARCH(",",$C49)),ISNUMBER(SEARCH(";",$C49))),"Multiple assignees",IF(COUNTIF('Team Setup'!$B$10:$B$34,$C49)=1,"Matched","Unmatched")))))</x:f>
      </x:c>
      <x:c r="G49" s="13" t="str">
        <x:f>IF($A49="","",IF($D49&lt;&gt;'Team Setup'!$B$4,"Other sprint",IF($E49="","Unestimated",IF(NOT(ISNUMBER($E49)),"Check estimate in hours",IF($E49&lt;0,"Check estimate in hours",IF($E49=0,"Unestimated","Estimated"))))))</x:f>
      </x:c>
    </x:row>
    <x:row r="50">
      <x:c r="A50" s="12"/>
      <x:c r="B50" s="12"/>
      <x:c r="C50" s="12"/>
      <x:c r="D50" s="12"/>
      <x:c r="E50" s="14"/>
      <x:c r="F50" s="13" t="str">
        <x:f>IF($A50="","",IF($D50&lt;&gt;'Team Setup'!$B$4,"Other sprint",IF($C50="","Unassigned",IF(OR(ISNUMBER(SEARCH(",",$C50)),ISNUMBER(SEARCH(";",$C50))),"Multiple assignees",IF(COUNTIF('Team Setup'!$B$10:$B$34,$C50)=1,"Matched","Unmatched")))))</x:f>
      </x:c>
      <x:c r="G50" s="13" t="str">
        <x:f>IF($A50="","",IF($D50&lt;&gt;'Team Setup'!$B$4,"Other sprint",IF($E50="","Unestimated",IF(NOT(ISNUMBER($E50)),"Check estimate in hours",IF($E50&lt;0,"Check estimate in hours",IF($E50=0,"Unestimated","Estimated"))))))</x:f>
      </x:c>
    </x:row>
    <x:row r="51">
      <x:c r="A51" s="12"/>
      <x:c r="B51" s="12"/>
      <x:c r="C51" s="12"/>
      <x:c r="D51" s="12"/>
      <x:c r="E51" s="14"/>
      <x:c r="F51" s="13" t="str">
        <x:f>IF($A51="","",IF($D51&lt;&gt;'Team Setup'!$B$4,"Other sprint",IF($C51="","Unassigned",IF(OR(ISNUMBER(SEARCH(",",$C51)),ISNUMBER(SEARCH(";",$C51))),"Multiple assignees",IF(COUNTIF('Team Setup'!$B$10:$B$34,$C51)=1,"Matched","Unmatched")))))</x:f>
      </x:c>
      <x:c r="G51" s="13" t="str">
        <x:f>IF($A51="","",IF($D51&lt;&gt;'Team Setup'!$B$4,"Other sprint",IF($E51="","Unestimated",IF(NOT(ISNUMBER($E51)),"Check estimate in hours",IF($E51&lt;0,"Check estimate in hours",IF($E51=0,"Unestimated","Estimated"))))))</x:f>
      </x:c>
    </x:row>
    <x:row r="52">
      <x:c r="A52" s="12"/>
      <x:c r="B52" s="12"/>
      <x:c r="C52" s="12"/>
      <x:c r="D52" s="12"/>
      <x:c r="E52" s="14"/>
      <x:c r="F52" s="13" t="str">
        <x:f>IF($A52="","",IF($D52&lt;&gt;'Team Setup'!$B$4,"Other sprint",IF($C52="","Unassigned",IF(OR(ISNUMBER(SEARCH(",",$C52)),ISNUMBER(SEARCH(";",$C52))),"Multiple assignees",IF(COUNTIF('Team Setup'!$B$10:$B$34,$C52)=1,"Matched","Unmatched")))))</x:f>
      </x:c>
      <x:c r="G52" s="13" t="str">
        <x:f>IF($A52="","",IF($D52&lt;&gt;'Team Setup'!$B$4,"Other sprint",IF($E52="","Unestimated",IF(NOT(ISNUMBER($E52)),"Check estimate in hours",IF($E52&lt;0,"Check estimate in hours",IF($E52=0,"Unestimated","Estimated"))))))</x:f>
      </x:c>
    </x:row>
    <x:row r="53">
      <x:c r="A53" s="12"/>
      <x:c r="B53" s="12"/>
      <x:c r="C53" s="12"/>
      <x:c r="D53" s="12"/>
      <x:c r="E53" s="14"/>
      <x:c r="F53" s="13" t="str">
        <x:f>IF($A53="","",IF($D53&lt;&gt;'Team Setup'!$B$4,"Other sprint",IF($C53="","Unassigned",IF(OR(ISNUMBER(SEARCH(",",$C53)),ISNUMBER(SEARCH(";",$C53))),"Multiple assignees",IF(COUNTIF('Team Setup'!$B$10:$B$34,$C53)=1,"Matched","Unmatched")))))</x:f>
      </x:c>
      <x:c r="G53" s="13" t="str">
        <x:f>IF($A53="","",IF($D53&lt;&gt;'Team Setup'!$B$4,"Other sprint",IF($E53="","Unestimated",IF(NOT(ISNUMBER($E53)),"Check estimate in hours",IF($E53&lt;0,"Check estimate in hours",IF($E53=0,"Unestimated","Estimated"))))))</x:f>
      </x:c>
    </x:row>
    <x:row r="54">
      <x:c r="A54" s="12"/>
      <x:c r="B54" s="12"/>
      <x:c r="C54" s="12"/>
      <x:c r="D54" s="12"/>
      <x:c r="E54" s="14"/>
      <x:c r="F54" s="13" t="str">
        <x:f>IF($A54="","",IF($D54&lt;&gt;'Team Setup'!$B$4,"Other sprint",IF($C54="","Unassigned",IF(OR(ISNUMBER(SEARCH(",",$C54)),ISNUMBER(SEARCH(";",$C54))),"Multiple assignees",IF(COUNTIF('Team Setup'!$B$10:$B$34,$C54)=1,"Matched","Unmatched")))))</x:f>
      </x:c>
      <x:c r="G54" s="13" t="str">
        <x:f>IF($A54="","",IF($D54&lt;&gt;'Team Setup'!$B$4,"Other sprint",IF($E54="","Unestimated",IF(NOT(ISNUMBER($E54)),"Check estimate in hours",IF($E54&lt;0,"Check estimate in hours",IF($E54=0,"Unestimated","Estimated"))))))</x:f>
      </x:c>
    </x:row>
    <x:row r="55">
      <x:c r="A55" s="12"/>
      <x:c r="B55" s="12"/>
      <x:c r="C55" s="12"/>
      <x:c r="D55" s="12"/>
      <x:c r="E55" s="14"/>
      <x:c r="F55" s="13" t="str">
        <x:f>IF($A55="","",IF($D55&lt;&gt;'Team Setup'!$B$4,"Other sprint",IF($C55="","Unassigned",IF(OR(ISNUMBER(SEARCH(",",$C55)),ISNUMBER(SEARCH(";",$C55))),"Multiple assignees",IF(COUNTIF('Team Setup'!$B$10:$B$34,$C55)=1,"Matched","Unmatched")))))</x:f>
      </x:c>
      <x:c r="G55" s="13" t="str">
        <x:f>IF($A55="","",IF($D55&lt;&gt;'Team Setup'!$B$4,"Other sprint",IF($E55="","Unestimated",IF(NOT(ISNUMBER($E55)),"Check estimate in hours",IF($E55&lt;0,"Check estimate in hours",IF($E55=0,"Unestimated","Estimated"))))))</x:f>
      </x:c>
    </x:row>
    <x:row r="56">
      <x:c r="A56" s="12"/>
      <x:c r="B56" s="12"/>
      <x:c r="C56" s="12"/>
      <x:c r="D56" s="12"/>
      <x:c r="E56" s="14"/>
      <x:c r="F56" s="13" t="str">
        <x:f>IF($A56="","",IF($D56&lt;&gt;'Team Setup'!$B$4,"Other sprint",IF($C56="","Unassigned",IF(OR(ISNUMBER(SEARCH(",",$C56)),ISNUMBER(SEARCH(";",$C56))),"Multiple assignees",IF(COUNTIF('Team Setup'!$B$10:$B$34,$C56)=1,"Matched","Unmatched")))))</x:f>
      </x:c>
      <x:c r="G56" s="13" t="str">
        <x:f>IF($A56="","",IF($D56&lt;&gt;'Team Setup'!$B$4,"Other sprint",IF($E56="","Unestimated",IF(NOT(ISNUMBER($E56)),"Check estimate in hours",IF($E56&lt;0,"Check estimate in hours",IF($E56=0,"Unestimated","Estimated"))))))</x:f>
      </x:c>
    </x:row>
    <x:row r="57">
      <x:c r="A57" s="12"/>
      <x:c r="B57" s="12"/>
      <x:c r="C57" s="12"/>
      <x:c r="D57" s="12"/>
      <x:c r="E57" s="14"/>
      <x:c r="F57" s="13" t="str">
        <x:f>IF($A57="","",IF($D57&lt;&gt;'Team Setup'!$B$4,"Other sprint",IF($C57="","Unassigned",IF(OR(ISNUMBER(SEARCH(",",$C57)),ISNUMBER(SEARCH(";",$C57))),"Multiple assignees",IF(COUNTIF('Team Setup'!$B$10:$B$34,$C57)=1,"Matched","Unmatched")))))</x:f>
      </x:c>
      <x:c r="G57" s="13" t="str">
        <x:f>IF($A57="","",IF($D57&lt;&gt;'Team Setup'!$B$4,"Other sprint",IF($E57="","Unestimated",IF(NOT(ISNUMBER($E57)),"Check estimate in hours",IF($E57&lt;0,"Check estimate in hours",IF($E57=0,"Unestimated","Estimated"))))))</x:f>
      </x:c>
    </x:row>
    <x:row r="58">
      <x:c r="A58" s="12"/>
      <x:c r="B58" s="12"/>
      <x:c r="C58" s="12"/>
      <x:c r="D58" s="12"/>
      <x:c r="E58" s="14"/>
      <x:c r="F58" s="13" t="str">
        <x:f>IF($A58="","",IF($D58&lt;&gt;'Team Setup'!$B$4,"Other sprint",IF($C58="","Unassigned",IF(OR(ISNUMBER(SEARCH(",",$C58)),ISNUMBER(SEARCH(";",$C58))),"Multiple assignees",IF(COUNTIF('Team Setup'!$B$10:$B$34,$C58)=1,"Matched","Unmatched")))))</x:f>
      </x:c>
      <x:c r="G58" s="13" t="str">
        <x:f>IF($A58="","",IF($D58&lt;&gt;'Team Setup'!$B$4,"Other sprint",IF($E58="","Unestimated",IF(NOT(ISNUMBER($E58)),"Check estimate in hours",IF($E58&lt;0,"Check estimate in hours",IF($E58=0,"Unestimated","Estimated"))))))</x:f>
      </x:c>
    </x:row>
    <x:row r="59">
      <x:c r="A59" s="12"/>
      <x:c r="B59" s="12"/>
      <x:c r="C59" s="12"/>
      <x:c r="D59" s="12"/>
      <x:c r="E59" s="14"/>
      <x:c r="F59" s="13" t="str">
        <x:f>IF($A59="","",IF($D59&lt;&gt;'Team Setup'!$B$4,"Other sprint",IF($C59="","Unassigned",IF(OR(ISNUMBER(SEARCH(",",$C59)),ISNUMBER(SEARCH(";",$C59))),"Multiple assignees",IF(COUNTIF('Team Setup'!$B$10:$B$34,$C59)=1,"Matched","Unmatched")))))</x:f>
      </x:c>
      <x:c r="G59" s="13" t="str">
        <x:f>IF($A59="","",IF($D59&lt;&gt;'Team Setup'!$B$4,"Other sprint",IF($E59="","Unestimated",IF(NOT(ISNUMBER($E59)),"Check estimate in hours",IF($E59&lt;0,"Check estimate in hours",IF($E59=0,"Unestimated","Estimated"))))))</x:f>
      </x:c>
    </x:row>
    <x:row r="60">
      <x:c r="A60" s="12"/>
      <x:c r="B60" s="12"/>
      <x:c r="C60" s="12"/>
      <x:c r="D60" s="12"/>
      <x:c r="E60" s="14"/>
      <x:c r="F60" s="13" t="str">
        <x:f>IF($A60="","",IF($D60&lt;&gt;'Team Setup'!$B$4,"Other sprint",IF($C60="","Unassigned",IF(OR(ISNUMBER(SEARCH(",",$C60)),ISNUMBER(SEARCH(";",$C60))),"Multiple assignees",IF(COUNTIF('Team Setup'!$B$10:$B$34,$C60)=1,"Matched","Unmatched")))))</x:f>
      </x:c>
      <x:c r="G60" s="13" t="str">
        <x:f>IF($A60="","",IF($D60&lt;&gt;'Team Setup'!$B$4,"Other sprint",IF($E60="","Unestimated",IF(NOT(ISNUMBER($E60)),"Check estimate in hours",IF($E60&lt;0,"Check estimate in hours",IF($E60=0,"Unestimated","Estimated"))))))</x:f>
      </x:c>
    </x:row>
    <x:row r="61">
      <x:c r="A61" s="12"/>
      <x:c r="B61" s="12"/>
      <x:c r="C61" s="12"/>
      <x:c r="D61" s="12"/>
      <x:c r="E61" s="14"/>
      <x:c r="F61" s="13" t="str">
        <x:f>IF($A61="","",IF($D61&lt;&gt;'Team Setup'!$B$4,"Other sprint",IF($C61="","Unassigned",IF(OR(ISNUMBER(SEARCH(",",$C61)),ISNUMBER(SEARCH(";",$C61))),"Multiple assignees",IF(COUNTIF('Team Setup'!$B$10:$B$34,$C61)=1,"Matched","Unmatched")))))</x:f>
      </x:c>
      <x:c r="G61" s="13" t="str">
        <x:f>IF($A61="","",IF($D61&lt;&gt;'Team Setup'!$B$4,"Other sprint",IF($E61="","Unestimated",IF(NOT(ISNUMBER($E61)),"Check estimate in hours",IF($E61&lt;0,"Check estimate in hours",IF($E61=0,"Unestimated","Estimated"))))))</x:f>
      </x:c>
    </x:row>
    <x:row r="62">
      <x:c r="A62" s="12"/>
      <x:c r="B62" s="12"/>
      <x:c r="C62" s="12"/>
      <x:c r="D62" s="12"/>
      <x:c r="E62" s="14"/>
      <x:c r="F62" s="13" t="str">
        <x:f>IF($A62="","",IF($D62&lt;&gt;'Team Setup'!$B$4,"Other sprint",IF($C62="","Unassigned",IF(OR(ISNUMBER(SEARCH(",",$C62)),ISNUMBER(SEARCH(";",$C62))),"Multiple assignees",IF(COUNTIF('Team Setup'!$B$10:$B$34,$C62)=1,"Matched","Unmatched")))))</x:f>
      </x:c>
      <x:c r="G62" s="13" t="str">
        <x:f>IF($A62="","",IF($D62&lt;&gt;'Team Setup'!$B$4,"Other sprint",IF($E62="","Unestimated",IF(NOT(ISNUMBER($E62)),"Check estimate in hours",IF($E62&lt;0,"Check estimate in hours",IF($E62=0,"Unestimated","Estimated"))))))</x:f>
      </x:c>
    </x:row>
    <x:row r="63">
      <x:c r="A63" s="12"/>
      <x:c r="B63" s="12"/>
      <x:c r="C63" s="12"/>
      <x:c r="D63" s="12"/>
      <x:c r="E63" s="14"/>
      <x:c r="F63" s="13" t="str">
        <x:f>IF($A63="","",IF($D63&lt;&gt;'Team Setup'!$B$4,"Other sprint",IF($C63="","Unassigned",IF(OR(ISNUMBER(SEARCH(",",$C63)),ISNUMBER(SEARCH(";",$C63))),"Multiple assignees",IF(COUNTIF('Team Setup'!$B$10:$B$34,$C63)=1,"Matched","Unmatched")))))</x:f>
      </x:c>
      <x:c r="G63" s="13" t="str">
        <x:f>IF($A63="","",IF($D63&lt;&gt;'Team Setup'!$B$4,"Other sprint",IF($E63="","Unestimated",IF(NOT(ISNUMBER($E63)),"Check estimate in hours",IF($E63&lt;0,"Check estimate in hours",IF($E63=0,"Unestimated","Estimated"))))))</x:f>
      </x:c>
    </x:row>
    <x:row r="64">
      <x:c r="A64" s="12"/>
      <x:c r="B64" s="12"/>
      <x:c r="C64" s="12"/>
      <x:c r="D64" s="12"/>
      <x:c r="E64" s="14"/>
      <x:c r="F64" s="13" t="str">
        <x:f>IF($A64="","",IF($D64&lt;&gt;'Team Setup'!$B$4,"Other sprint",IF($C64="","Unassigned",IF(OR(ISNUMBER(SEARCH(",",$C64)),ISNUMBER(SEARCH(";",$C64))),"Multiple assignees",IF(COUNTIF('Team Setup'!$B$10:$B$34,$C64)=1,"Matched","Unmatched")))))</x:f>
      </x:c>
      <x:c r="G64" s="13" t="str">
        <x:f>IF($A64="","",IF($D64&lt;&gt;'Team Setup'!$B$4,"Other sprint",IF($E64="","Unestimated",IF(NOT(ISNUMBER($E64)),"Check estimate in hours",IF($E64&lt;0,"Check estimate in hours",IF($E64=0,"Unestimated","Estimated"))))))</x:f>
      </x:c>
    </x:row>
    <x:row r="65">
      <x:c r="A65" s="12"/>
      <x:c r="B65" s="12"/>
      <x:c r="C65" s="12"/>
      <x:c r="D65" s="12"/>
      <x:c r="E65" s="14"/>
      <x:c r="F65" s="13" t="str">
        <x:f>IF($A65="","",IF($D65&lt;&gt;'Team Setup'!$B$4,"Other sprint",IF($C65="","Unassigned",IF(OR(ISNUMBER(SEARCH(",",$C65)),ISNUMBER(SEARCH(";",$C65))),"Multiple assignees",IF(COUNTIF('Team Setup'!$B$10:$B$34,$C65)=1,"Matched","Unmatched")))))</x:f>
      </x:c>
      <x:c r="G65" s="13" t="str">
        <x:f>IF($A65="","",IF($D65&lt;&gt;'Team Setup'!$B$4,"Other sprint",IF($E65="","Unestimated",IF(NOT(ISNUMBER($E65)),"Check estimate in hours",IF($E65&lt;0,"Check estimate in hours",IF($E65=0,"Unestimated","Estimated"))))))</x:f>
      </x:c>
    </x:row>
    <x:row r="66">
      <x:c r="A66" s="12"/>
      <x:c r="B66" s="12"/>
      <x:c r="C66" s="12"/>
      <x:c r="D66" s="12"/>
      <x:c r="E66" s="14"/>
      <x:c r="F66" s="13" t="str">
        <x:f>IF($A66="","",IF($D66&lt;&gt;'Team Setup'!$B$4,"Other sprint",IF($C66="","Unassigned",IF(OR(ISNUMBER(SEARCH(",",$C66)),ISNUMBER(SEARCH(";",$C66))),"Multiple assignees",IF(COUNTIF('Team Setup'!$B$10:$B$34,$C66)=1,"Matched","Unmatched")))))</x:f>
      </x:c>
      <x:c r="G66" s="13" t="str">
        <x:f>IF($A66="","",IF($D66&lt;&gt;'Team Setup'!$B$4,"Other sprint",IF($E66="","Unestimated",IF(NOT(ISNUMBER($E66)),"Check estimate in hours",IF($E66&lt;0,"Check estimate in hours",IF($E66=0,"Unestimated","Estimated"))))))</x:f>
      </x:c>
    </x:row>
    <x:row r="67">
      <x:c r="A67" s="12"/>
      <x:c r="B67" s="12"/>
      <x:c r="C67" s="12"/>
      <x:c r="D67" s="12"/>
      <x:c r="E67" s="14"/>
      <x:c r="F67" s="13" t="str">
        <x:f>IF($A67="","",IF($D67&lt;&gt;'Team Setup'!$B$4,"Other sprint",IF($C67="","Unassigned",IF(OR(ISNUMBER(SEARCH(",",$C67)),ISNUMBER(SEARCH(";",$C67))),"Multiple assignees",IF(COUNTIF('Team Setup'!$B$10:$B$34,$C67)=1,"Matched","Unmatched")))))</x:f>
      </x:c>
      <x:c r="G67" s="13" t="str">
        <x:f>IF($A67="","",IF($D67&lt;&gt;'Team Setup'!$B$4,"Other sprint",IF($E67="","Unestimated",IF(NOT(ISNUMBER($E67)),"Check estimate in hours",IF($E67&lt;0,"Check estimate in hours",IF($E67=0,"Unestimated","Estimated"))))))</x:f>
      </x:c>
    </x:row>
    <x:row r="68">
      <x:c r="A68" s="12"/>
      <x:c r="B68" s="12"/>
      <x:c r="C68" s="12"/>
      <x:c r="D68" s="12"/>
      <x:c r="E68" s="14"/>
      <x:c r="F68" s="13" t="str">
        <x:f>IF($A68="","",IF($D68&lt;&gt;'Team Setup'!$B$4,"Other sprint",IF($C68="","Unassigned",IF(OR(ISNUMBER(SEARCH(",",$C68)),ISNUMBER(SEARCH(";",$C68))),"Multiple assignees",IF(COUNTIF('Team Setup'!$B$10:$B$34,$C68)=1,"Matched","Unmatched")))))</x:f>
      </x:c>
      <x:c r="G68" s="13" t="str">
        <x:f>IF($A68="","",IF($D68&lt;&gt;'Team Setup'!$B$4,"Other sprint",IF($E68="","Unestimated",IF(NOT(ISNUMBER($E68)),"Check estimate in hours",IF($E68&lt;0,"Check estimate in hours",IF($E68=0,"Unestimated","Estimated"))))))</x:f>
      </x:c>
    </x:row>
    <x:row r="69">
      <x:c r="A69" s="12"/>
      <x:c r="B69" s="12"/>
      <x:c r="C69" s="12"/>
      <x:c r="D69" s="12"/>
      <x:c r="E69" s="14"/>
      <x:c r="F69" s="13" t="str">
        <x:f>IF($A69="","",IF($D69&lt;&gt;'Team Setup'!$B$4,"Other sprint",IF($C69="","Unassigned",IF(OR(ISNUMBER(SEARCH(",",$C69)),ISNUMBER(SEARCH(";",$C69))),"Multiple assignees",IF(COUNTIF('Team Setup'!$B$10:$B$34,$C69)=1,"Matched","Unmatched")))))</x:f>
      </x:c>
      <x:c r="G69" s="13" t="str">
        <x:f>IF($A69="","",IF($D69&lt;&gt;'Team Setup'!$B$4,"Other sprint",IF($E69="","Unestimated",IF(NOT(ISNUMBER($E69)),"Check estimate in hours",IF($E69&lt;0,"Check estimate in hours",IF($E69=0,"Unestimated","Estimated"))))))</x:f>
      </x:c>
    </x:row>
    <x:row r="70">
      <x:c r="A70" s="12"/>
      <x:c r="B70" s="12"/>
      <x:c r="C70" s="12"/>
      <x:c r="D70" s="12"/>
      <x:c r="E70" s="14"/>
      <x:c r="F70" s="13" t="str">
        <x:f>IF($A70="","",IF($D70&lt;&gt;'Team Setup'!$B$4,"Other sprint",IF($C70="","Unassigned",IF(OR(ISNUMBER(SEARCH(",",$C70)),ISNUMBER(SEARCH(";",$C70))),"Multiple assignees",IF(COUNTIF('Team Setup'!$B$10:$B$34,$C70)=1,"Matched","Unmatched")))))</x:f>
      </x:c>
      <x:c r="G70" s="13" t="str">
        <x:f>IF($A70="","",IF($D70&lt;&gt;'Team Setup'!$B$4,"Other sprint",IF($E70="","Unestimated",IF(NOT(ISNUMBER($E70)),"Check estimate in hours",IF($E70&lt;0,"Check estimate in hours",IF($E70=0,"Unestimated","Estimated"))))))</x:f>
      </x:c>
    </x:row>
    <x:row r="71">
      <x:c r="A71" s="12"/>
      <x:c r="B71" s="12"/>
      <x:c r="C71" s="12"/>
      <x:c r="D71" s="12"/>
      <x:c r="E71" s="14"/>
      <x:c r="F71" s="13" t="str">
        <x:f>IF($A71="","",IF($D71&lt;&gt;'Team Setup'!$B$4,"Other sprint",IF($C71="","Unassigned",IF(OR(ISNUMBER(SEARCH(",",$C71)),ISNUMBER(SEARCH(";",$C71))),"Multiple assignees",IF(COUNTIF('Team Setup'!$B$10:$B$34,$C71)=1,"Matched","Unmatched")))))</x:f>
      </x:c>
      <x:c r="G71" s="13" t="str">
        <x:f>IF($A71="","",IF($D71&lt;&gt;'Team Setup'!$B$4,"Other sprint",IF($E71="","Unestimated",IF(NOT(ISNUMBER($E71)),"Check estimate in hours",IF($E71&lt;0,"Check estimate in hours",IF($E71=0,"Unestimated","Estimated"))))))</x:f>
      </x:c>
    </x:row>
    <x:row r="72">
      <x:c r="A72" s="12"/>
      <x:c r="B72" s="12"/>
      <x:c r="C72" s="12"/>
      <x:c r="D72" s="12"/>
      <x:c r="E72" s="14"/>
      <x:c r="F72" s="13" t="str">
        <x:f>IF($A72="","",IF($D72&lt;&gt;'Team Setup'!$B$4,"Other sprint",IF($C72="","Unassigned",IF(OR(ISNUMBER(SEARCH(",",$C72)),ISNUMBER(SEARCH(";",$C72))),"Multiple assignees",IF(COUNTIF('Team Setup'!$B$10:$B$34,$C72)=1,"Matched","Unmatched")))))</x:f>
      </x:c>
      <x:c r="G72" s="13" t="str">
        <x:f>IF($A72="","",IF($D72&lt;&gt;'Team Setup'!$B$4,"Other sprint",IF($E72="","Unestimated",IF(NOT(ISNUMBER($E72)),"Check estimate in hours",IF($E72&lt;0,"Check estimate in hours",IF($E72=0,"Unestimated","Estimated"))))))</x:f>
      </x:c>
    </x:row>
    <x:row r="73">
      <x:c r="A73" s="12"/>
      <x:c r="B73" s="12"/>
      <x:c r="C73" s="12"/>
      <x:c r="D73" s="12"/>
      <x:c r="E73" s="14"/>
      <x:c r="F73" s="13" t="str">
        <x:f>IF($A73="","",IF($D73&lt;&gt;'Team Setup'!$B$4,"Other sprint",IF($C73="","Unassigned",IF(OR(ISNUMBER(SEARCH(",",$C73)),ISNUMBER(SEARCH(";",$C73))),"Multiple assignees",IF(COUNTIF('Team Setup'!$B$10:$B$34,$C73)=1,"Matched","Unmatched")))))</x:f>
      </x:c>
      <x:c r="G73" s="13" t="str">
        <x:f>IF($A73="","",IF($D73&lt;&gt;'Team Setup'!$B$4,"Other sprint",IF($E73="","Unestimated",IF(NOT(ISNUMBER($E73)),"Check estimate in hours",IF($E73&lt;0,"Check estimate in hours",IF($E73=0,"Unestimated","Estimated"))))))</x:f>
      </x:c>
    </x:row>
    <x:row r="74">
      <x:c r="A74" s="12"/>
      <x:c r="B74" s="12"/>
      <x:c r="C74" s="12"/>
      <x:c r="D74" s="12"/>
      <x:c r="E74" s="14"/>
      <x:c r="F74" s="13" t="str">
        <x:f>IF($A74="","",IF($D74&lt;&gt;'Team Setup'!$B$4,"Other sprint",IF($C74="","Unassigned",IF(OR(ISNUMBER(SEARCH(",",$C74)),ISNUMBER(SEARCH(";",$C74))),"Multiple assignees",IF(COUNTIF('Team Setup'!$B$10:$B$34,$C74)=1,"Matched","Unmatched")))))</x:f>
      </x:c>
      <x:c r="G74" s="13" t="str">
        <x:f>IF($A74="","",IF($D74&lt;&gt;'Team Setup'!$B$4,"Other sprint",IF($E74="","Unestimated",IF(NOT(ISNUMBER($E74)),"Check estimate in hours",IF($E74&lt;0,"Check estimate in hours",IF($E74=0,"Unestimated","Estimated"))))))</x:f>
      </x:c>
    </x:row>
    <x:row r="75">
      <x:c r="A75" s="12"/>
      <x:c r="B75" s="12"/>
      <x:c r="C75" s="12"/>
      <x:c r="D75" s="12"/>
      <x:c r="E75" s="14"/>
      <x:c r="F75" s="13" t="str">
        <x:f>IF($A75="","",IF($D75&lt;&gt;'Team Setup'!$B$4,"Other sprint",IF($C75="","Unassigned",IF(OR(ISNUMBER(SEARCH(",",$C75)),ISNUMBER(SEARCH(";",$C75))),"Multiple assignees",IF(COUNTIF('Team Setup'!$B$10:$B$34,$C75)=1,"Matched","Unmatched")))))</x:f>
      </x:c>
      <x:c r="G75" s="13" t="str">
        <x:f>IF($A75="","",IF($D75&lt;&gt;'Team Setup'!$B$4,"Other sprint",IF($E75="","Unestimated",IF(NOT(ISNUMBER($E75)),"Check estimate in hours",IF($E75&lt;0,"Check estimate in hours",IF($E75=0,"Unestimated","Estimated"))))))</x:f>
      </x:c>
    </x:row>
    <x:row r="76">
      <x:c r="A76" s="12"/>
      <x:c r="B76" s="12"/>
      <x:c r="C76" s="12"/>
      <x:c r="D76" s="12"/>
      <x:c r="E76" s="14"/>
      <x:c r="F76" s="13" t="str">
        <x:f>IF($A76="","",IF($D76&lt;&gt;'Team Setup'!$B$4,"Other sprint",IF($C76="","Unassigned",IF(OR(ISNUMBER(SEARCH(",",$C76)),ISNUMBER(SEARCH(";",$C76))),"Multiple assignees",IF(COUNTIF('Team Setup'!$B$10:$B$34,$C76)=1,"Matched","Unmatched")))))</x:f>
      </x:c>
      <x:c r="G76" s="13" t="str">
        <x:f>IF($A76="","",IF($D76&lt;&gt;'Team Setup'!$B$4,"Other sprint",IF($E76="","Unestimated",IF(NOT(ISNUMBER($E76)),"Check estimate in hours",IF($E76&lt;0,"Check estimate in hours",IF($E76=0,"Unestimated","Estimated"))))))</x:f>
      </x:c>
    </x:row>
    <x:row r="77">
      <x:c r="A77" s="12"/>
      <x:c r="B77" s="12"/>
      <x:c r="C77" s="12"/>
      <x:c r="D77" s="12"/>
      <x:c r="E77" s="14"/>
      <x:c r="F77" s="13" t="str">
        <x:f>IF($A77="","",IF($D77&lt;&gt;'Team Setup'!$B$4,"Other sprint",IF($C77="","Unassigned",IF(OR(ISNUMBER(SEARCH(",",$C77)),ISNUMBER(SEARCH(";",$C77))),"Multiple assignees",IF(COUNTIF('Team Setup'!$B$10:$B$34,$C77)=1,"Matched","Unmatched")))))</x:f>
      </x:c>
      <x:c r="G77" s="13" t="str">
        <x:f>IF($A77="","",IF($D77&lt;&gt;'Team Setup'!$B$4,"Other sprint",IF($E77="","Unestimated",IF(NOT(ISNUMBER($E77)),"Check estimate in hours",IF($E77&lt;0,"Check estimate in hours",IF($E77=0,"Unestimated","Estimated"))))))</x:f>
      </x:c>
    </x:row>
    <x:row r="78">
      <x:c r="A78" s="12"/>
      <x:c r="B78" s="12"/>
      <x:c r="C78" s="12"/>
      <x:c r="D78" s="12"/>
      <x:c r="E78" s="14"/>
      <x:c r="F78" s="13" t="str">
        <x:f>IF($A78="","",IF($D78&lt;&gt;'Team Setup'!$B$4,"Other sprint",IF($C78="","Unassigned",IF(OR(ISNUMBER(SEARCH(",",$C78)),ISNUMBER(SEARCH(";",$C78))),"Multiple assignees",IF(COUNTIF('Team Setup'!$B$10:$B$34,$C78)=1,"Matched","Unmatched")))))</x:f>
      </x:c>
      <x:c r="G78" s="13" t="str">
        <x:f>IF($A78="","",IF($D78&lt;&gt;'Team Setup'!$B$4,"Other sprint",IF($E78="","Unestimated",IF(NOT(ISNUMBER($E78)),"Check estimate in hours",IF($E78&lt;0,"Check estimate in hours",IF($E78=0,"Unestimated","Estimated"))))))</x:f>
      </x:c>
    </x:row>
    <x:row r="79">
      <x:c r="A79" s="12"/>
      <x:c r="B79" s="12"/>
      <x:c r="C79" s="12"/>
      <x:c r="D79" s="12"/>
      <x:c r="E79" s="14"/>
      <x:c r="F79" s="13" t="str">
        <x:f>IF($A79="","",IF($D79&lt;&gt;'Team Setup'!$B$4,"Other sprint",IF($C79="","Unassigned",IF(OR(ISNUMBER(SEARCH(",",$C79)),ISNUMBER(SEARCH(";",$C79))),"Multiple assignees",IF(COUNTIF('Team Setup'!$B$10:$B$34,$C79)=1,"Matched","Unmatched")))))</x:f>
      </x:c>
      <x:c r="G79" s="13" t="str">
        <x:f>IF($A79="","",IF($D79&lt;&gt;'Team Setup'!$B$4,"Other sprint",IF($E79="","Unestimated",IF(NOT(ISNUMBER($E79)),"Check estimate in hours",IF($E79&lt;0,"Check estimate in hours",IF($E79=0,"Unestimated","Estimated"))))))</x:f>
      </x:c>
    </x:row>
    <x:row r="80">
      <x:c r="A80" s="12"/>
      <x:c r="B80" s="12"/>
      <x:c r="C80" s="12"/>
      <x:c r="D80" s="12"/>
      <x:c r="E80" s="14"/>
      <x:c r="F80" s="13" t="str">
        <x:f>IF($A80="","",IF($D80&lt;&gt;'Team Setup'!$B$4,"Other sprint",IF($C80="","Unassigned",IF(OR(ISNUMBER(SEARCH(",",$C80)),ISNUMBER(SEARCH(";",$C80))),"Multiple assignees",IF(COUNTIF('Team Setup'!$B$10:$B$34,$C80)=1,"Matched","Unmatched")))))</x:f>
      </x:c>
      <x:c r="G80" s="13" t="str">
        <x:f>IF($A80="","",IF($D80&lt;&gt;'Team Setup'!$B$4,"Other sprint",IF($E80="","Unestimated",IF(NOT(ISNUMBER($E80)),"Check estimate in hours",IF($E80&lt;0,"Check estimate in hours",IF($E80=0,"Unestimated","Estimated"))))))</x:f>
      </x:c>
    </x:row>
    <x:row r="81">
      <x:c r="A81" s="12"/>
      <x:c r="B81" s="12"/>
      <x:c r="C81" s="12"/>
      <x:c r="D81" s="12"/>
      <x:c r="E81" s="14"/>
      <x:c r="F81" s="13" t="str">
        <x:f>IF($A81="","",IF($D81&lt;&gt;'Team Setup'!$B$4,"Other sprint",IF($C81="","Unassigned",IF(OR(ISNUMBER(SEARCH(",",$C81)),ISNUMBER(SEARCH(";",$C81))),"Multiple assignees",IF(COUNTIF('Team Setup'!$B$10:$B$34,$C81)=1,"Matched","Unmatched")))))</x:f>
      </x:c>
      <x:c r="G81" s="13" t="str">
        <x:f>IF($A81="","",IF($D81&lt;&gt;'Team Setup'!$B$4,"Other sprint",IF($E81="","Unestimated",IF(NOT(ISNUMBER($E81)),"Check estimate in hours",IF($E81&lt;0,"Check estimate in hours",IF($E81=0,"Unestimated","Estimated"))))))</x:f>
      </x:c>
    </x:row>
    <x:row r="82">
      <x:c r="A82" s="12"/>
      <x:c r="B82" s="12"/>
      <x:c r="C82" s="12"/>
      <x:c r="D82" s="12"/>
      <x:c r="E82" s="14"/>
      <x:c r="F82" s="13" t="str">
        <x:f>IF($A82="","",IF($D82&lt;&gt;'Team Setup'!$B$4,"Other sprint",IF($C82="","Unassigned",IF(OR(ISNUMBER(SEARCH(",",$C82)),ISNUMBER(SEARCH(";",$C82))),"Multiple assignees",IF(COUNTIF('Team Setup'!$B$10:$B$34,$C82)=1,"Matched","Unmatched")))))</x:f>
      </x:c>
      <x:c r="G82" s="13" t="str">
        <x:f>IF($A82="","",IF($D82&lt;&gt;'Team Setup'!$B$4,"Other sprint",IF($E82="","Unestimated",IF(NOT(ISNUMBER($E82)),"Check estimate in hours",IF($E82&lt;0,"Check estimate in hours",IF($E82=0,"Unestimated","Estimated"))))))</x:f>
      </x:c>
    </x:row>
    <x:row r="83">
      <x:c r="A83" s="12"/>
      <x:c r="B83" s="12"/>
      <x:c r="C83" s="12"/>
      <x:c r="D83" s="12"/>
      <x:c r="E83" s="14"/>
      <x:c r="F83" s="13" t="str">
        <x:f>IF($A83="","",IF($D83&lt;&gt;'Team Setup'!$B$4,"Other sprint",IF($C83="","Unassigned",IF(OR(ISNUMBER(SEARCH(",",$C83)),ISNUMBER(SEARCH(";",$C83))),"Multiple assignees",IF(COUNTIF('Team Setup'!$B$10:$B$34,$C83)=1,"Matched","Unmatched")))))</x:f>
      </x:c>
      <x:c r="G83" s="13" t="str">
        <x:f>IF($A83="","",IF($D83&lt;&gt;'Team Setup'!$B$4,"Other sprint",IF($E83="","Unestimated",IF(NOT(ISNUMBER($E83)),"Check estimate in hours",IF($E83&lt;0,"Check estimate in hours",IF($E83=0,"Unestimated","Estimated"))))))</x:f>
      </x:c>
    </x:row>
    <x:row r="84">
      <x:c r="A84" s="12"/>
      <x:c r="B84" s="12"/>
      <x:c r="C84" s="12"/>
      <x:c r="D84" s="12"/>
      <x:c r="E84" s="14"/>
      <x:c r="F84" s="13" t="str">
        <x:f>IF($A84="","",IF($D84&lt;&gt;'Team Setup'!$B$4,"Other sprint",IF($C84="","Unassigned",IF(OR(ISNUMBER(SEARCH(",",$C84)),ISNUMBER(SEARCH(";",$C84))),"Multiple assignees",IF(COUNTIF('Team Setup'!$B$10:$B$34,$C84)=1,"Matched","Unmatched")))))</x:f>
      </x:c>
      <x:c r="G84" s="13" t="str">
        <x:f>IF($A84="","",IF($D84&lt;&gt;'Team Setup'!$B$4,"Other sprint",IF($E84="","Unestimated",IF(NOT(ISNUMBER($E84)),"Check estimate in hours",IF($E84&lt;0,"Check estimate in hours",IF($E84=0,"Unestimated","Estimated"))))))</x:f>
      </x:c>
    </x:row>
    <x:row r="85">
      <x:c r="A85" s="12"/>
      <x:c r="B85" s="12"/>
      <x:c r="C85" s="12"/>
      <x:c r="D85" s="12"/>
      <x:c r="E85" s="14"/>
      <x:c r="F85" s="13" t="str">
        <x:f>IF($A85="","",IF($D85&lt;&gt;'Team Setup'!$B$4,"Other sprint",IF($C85="","Unassigned",IF(OR(ISNUMBER(SEARCH(",",$C85)),ISNUMBER(SEARCH(";",$C85))),"Multiple assignees",IF(COUNTIF('Team Setup'!$B$10:$B$34,$C85)=1,"Matched","Unmatched")))))</x:f>
      </x:c>
      <x:c r="G85" s="13" t="str">
        <x:f>IF($A85="","",IF($D85&lt;&gt;'Team Setup'!$B$4,"Other sprint",IF($E85="","Unestimated",IF(NOT(ISNUMBER($E85)),"Check estimate in hours",IF($E85&lt;0,"Check estimate in hours",IF($E85=0,"Unestimated","Estimated"))))))</x:f>
      </x:c>
    </x:row>
    <x:row r="86">
      <x:c r="A86" s="12"/>
      <x:c r="B86" s="12"/>
      <x:c r="C86" s="12"/>
      <x:c r="D86" s="12"/>
      <x:c r="E86" s="14"/>
      <x:c r="F86" s="13" t="str">
        <x:f>IF($A86="","",IF($D86&lt;&gt;'Team Setup'!$B$4,"Other sprint",IF($C86="","Unassigned",IF(OR(ISNUMBER(SEARCH(",",$C86)),ISNUMBER(SEARCH(";",$C86))),"Multiple assignees",IF(COUNTIF('Team Setup'!$B$10:$B$34,$C86)=1,"Matched","Unmatched")))))</x:f>
      </x:c>
      <x:c r="G86" s="13" t="str">
        <x:f>IF($A86="","",IF($D86&lt;&gt;'Team Setup'!$B$4,"Other sprint",IF($E86="","Unestimated",IF(NOT(ISNUMBER($E86)),"Check estimate in hours",IF($E86&lt;0,"Check estimate in hours",IF($E86=0,"Unestimated","Estimated"))))))</x:f>
      </x:c>
    </x:row>
    <x:row r="87">
      <x:c r="A87" s="12"/>
      <x:c r="B87" s="12"/>
      <x:c r="C87" s="12"/>
      <x:c r="D87" s="12"/>
      <x:c r="E87" s="14"/>
      <x:c r="F87" s="13" t="str">
        <x:f>IF($A87="","",IF($D87&lt;&gt;'Team Setup'!$B$4,"Other sprint",IF($C87="","Unassigned",IF(OR(ISNUMBER(SEARCH(",",$C87)),ISNUMBER(SEARCH(";",$C87))),"Multiple assignees",IF(COUNTIF('Team Setup'!$B$10:$B$34,$C87)=1,"Matched","Unmatched")))))</x:f>
      </x:c>
      <x:c r="G87" s="13" t="str">
        <x:f>IF($A87="","",IF($D87&lt;&gt;'Team Setup'!$B$4,"Other sprint",IF($E87="","Unestimated",IF(NOT(ISNUMBER($E87)),"Check estimate in hours",IF($E87&lt;0,"Check estimate in hours",IF($E87=0,"Unestimated","Estimated"))))))</x:f>
      </x:c>
    </x:row>
    <x:row r="88">
      <x:c r="A88" s="12"/>
      <x:c r="B88" s="12"/>
      <x:c r="C88" s="12"/>
      <x:c r="D88" s="12"/>
      <x:c r="E88" s="14"/>
      <x:c r="F88" s="13" t="str">
        <x:f>IF($A88="","",IF($D88&lt;&gt;'Team Setup'!$B$4,"Other sprint",IF($C88="","Unassigned",IF(OR(ISNUMBER(SEARCH(",",$C88)),ISNUMBER(SEARCH(";",$C88))),"Multiple assignees",IF(COUNTIF('Team Setup'!$B$10:$B$34,$C88)=1,"Matched","Unmatched")))))</x:f>
      </x:c>
      <x:c r="G88" s="13" t="str">
        <x:f>IF($A88="","",IF($D88&lt;&gt;'Team Setup'!$B$4,"Other sprint",IF($E88="","Unestimated",IF(NOT(ISNUMBER($E88)),"Check estimate in hours",IF($E88&lt;0,"Check estimate in hours",IF($E88=0,"Unestimated","Estimated"))))))</x:f>
      </x:c>
    </x:row>
    <x:row r="89">
      <x:c r="A89" s="12"/>
      <x:c r="B89" s="12"/>
      <x:c r="C89" s="12"/>
      <x:c r="D89" s="12"/>
      <x:c r="E89" s="14"/>
      <x:c r="F89" s="13" t="str">
        <x:f>IF($A89="","",IF($D89&lt;&gt;'Team Setup'!$B$4,"Other sprint",IF($C89="","Unassigned",IF(OR(ISNUMBER(SEARCH(",",$C89)),ISNUMBER(SEARCH(";",$C89))),"Multiple assignees",IF(COUNTIF('Team Setup'!$B$10:$B$34,$C89)=1,"Matched","Unmatched")))))</x:f>
      </x:c>
      <x:c r="G89" s="13" t="str">
        <x:f>IF($A89="","",IF($D89&lt;&gt;'Team Setup'!$B$4,"Other sprint",IF($E89="","Unestimated",IF(NOT(ISNUMBER($E89)),"Check estimate in hours",IF($E89&lt;0,"Check estimate in hours",IF($E89=0,"Unestimated","Estimated"))))))</x:f>
      </x:c>
    </x:row>
    <x:row r="90">
      <x:c r="A90" s="12"/>
      <x:c r="B90" s="12"/>
      <x:c r="C90" s="12"/>
      <x:c r="D90" s="12"/>
      <x:c r="E90" s="14"/>
      <x:c r="F90" s="13" t="str">
        <x:f>IF($A90="","",IF($D90&lt;&gt;'Team Setup'!$B$4,"Other sprint",IF($C90="","Unassigned",IF(OR(ISNUMBER(SEARCH(",",$C90)),ISNUMBER(SEARCH(";",$C90))),"Multiple assignees",IF(COUNTIF('Team Setup'!$B$10:$B$34,$C90)=1,"Matched","Unmatched")))))</x:f>
      </x:c>
      <x:c r="G90" s="13" t="str">
        <x:f>IF($A90="","",IF($D90&lt;&gt;'Team Setup'!$B$4,"Other sprint",IF($E90="","Unestimated",IF(NOT(ISNUMBER($E90)),"Check estimate in hours",IF($E90&lt;0,"Check estimate in hours",IF($E90=0,"Unestimated","Estimated"))))))</x:f>
      </x:c>
    </x:row>
    <x:row r="91">
      <x:c r="A91" s="12"/>
      <x:c r="B91" s="12"/>
      <x:c r="C91" s="12"/>
      <x:c r="D91" s="12"/>
      <x:c r="E91" s="14"/>
      <x:c r="F91" s="13" t="str">
        <x:f>IF($A91="","",IF($D91&lt;&gt;'Team Setup'!$B$4,"Other sprint",IF($C91="","Unassigned",IF(OR(ISNUMBER(SEARCH(",",$C91)),ISNUMBER(SEARCH(";",$C91))),"Multiple assignees",IF(COUNTIF('Team Setup'!$B$10:$B$34,$C91)=1,"Matched","Unmatched")))))</x:f>
      </x:c>
      <x:c r="G91" s="13" t="str">
        <x:f>IF($A91="","",IF($D91&lt;&gt;'Team Setup'!$B$4,"Other sprint",IF($E91="","Unestimated",IF(NOT(ISNUMBER($E91)),"Check estimate in hours",IF($E91&lt;0,"Check estimate in hours",IF($E91=0,"Unestimated","Estimated"))))))</x:f>
      </x:c>
    </x:row>
    <x:row r="92">
      <x:c r="A92" s="12"/>
      <x:c r="B92" s="12"/>
      <x:c r="C92" s="12"/>
      <x:c r="D92" s="12"/>
      <x:c r="E92" s="14"/>
      <x:c r="F92" s="13" t="str">
        <x:f>IF($A92="","",IF($D92&lt;&gt;'Team Setup'!$B$4,"Other sprint",IF($C92="","Unassigned",IF(OR(ISNUMBER(SEARCH(",",$C92)),ISNUMBER(SEARCH(";",$C92))),"Multiple assignees",IF(COUNTIF('Team Setup'!$B$10:$B$34,$C92)=1,"Matched","Unmatched")))))</x:f>
      </x:c>
      <x:c r="G92" s="13" t="str">
        <x:f>IF($A92="","",IF($D92&lt;&gt;'Team Setup'!$B$4,"Other sprint",IF($E92="","Unestimated",IF(NOT(ISNUMBER($E92)),"Check estimate in hours",IF($E92&lt;0,"Check estimate in hours",IF($E92=0,"Unestimated","Estimated"))))))</x:f>
      </x:c>
    </x:row>
    <x:row r="93">
      <x:c r="A93" s="12"/>
      <x:c r="B93" s="12"/>
      <x:c r="C93" s="12"/>
      <x:c r="D93" s="12"/>
      <x:c r="E93" s="14"/>
      <x:c r="F93" s="13" t="str">
        <x:f>IF($A93="","",IF($D93&lt;&gt;'Team Setup'!$B$4,"Other sprint",IF($C93="","Unassigned",IF(OR(ISNUMBER(SEARCH(",",$C93)),ISNUMBER(SEARCH(";",$C93))),"Multiple assignees",IF(COUNTIF('Team Setup'!$B$10:$B$34,$C93)=1,"Matched","Unmatched")))))</x:f>
      </x:c>
      <x:c r="G93" s="13" t="str">
        <x:f>IF($A93="","",IF($D93&lt;&gt;'Team Setup'!$B$4,"Other sprint",IF($E93="","Unestimated",IF(NOT(ISNUMBER($E93)),"Check estimate in hours",IF($E93&lt;0,"Check estimate in hours",IF($E93=0,"Unestimated","Estimated"))))))</x:f>
      </x:c>
    </x:row>
    <x:row r="94">
      <x:c r="A94" s="12"/>
      <x:c r="B94" s="12"/>
      <x:c r="C94" s="12"/>
      <x:c r="D94" s="12"/>
      <x:c r="E94" s="14"/>
      <x:c r="F94" s="13" t="str">
        <x:f>IF($A94="","",IF($D94&lt;&gt;'Team Setup'!$B$4,"Other sprint",IF($C94="","Unassigned",IF(OR(ISNUMBER(SEARCH(",",$C94)),ISNUMBER(SEARCH(";",$C94))),"Multiple assignees",IF(COUNTIF('Team Setup'!$B$10:$B$34,$C94)=1,"Matched","Unmatched")))))</x:f>
      </x:c>
      <x:c r="G94" s="13" t="str">
        <x:f>IF($A94="","",IF($D94&lt;&gt;'Team Setup'!$B$4,"Other sprint",IF($E94="","Unestimated",IF(NOT(ISNUMBER($E94)),"Check estimate in hours",IF($E94&lt;0,"Check estimate in hours",IF($E94=0,"Unestimated","Estimated"))))))</x:f>
      </x:c>
    </x:row>
    <x:row r="95">
      <x:c r="A95" s="12"/>
      <x:c r="B95" s="12"/>
      <x:c r="C95" s="12"/>
      <x:c r="D95" s="12"/>
      <x:c r="E95" s="14"/>
      <x:c r="F95" s="13" t="str">
        <x:f>IF($A95="","",IF($D95&lt;&gt;'Team Setup'!$B$4,"Other sprint",IF($C95="","Unassigned",IF(OR(ISNUMBER(SEARCH(",",$C95)),ISNUMBER(SEARCH(";",$C95))),"Multiple assignees",IF(COUNTIF('Team Setup'!$B$10:$B$34,$C95)=1,"Matched","Unmatched")))))</x:f>
      </x:c>
      <x:c r="G95" s="13" t="str">
        <x:f>IF($A95="","",IF($D95&lt;&gt;'Team Setup'!$B$4,"Other sprint",IF($E95="","Unestimated",IF(NOT(ISNUMBER($E95)),"Check estimate in hours",IF($E95&lt;0,"Check estimate in hours",IF($E95=0,"Unestimated","Estimated"))))))</x:f>
      </x:c>
    </x:row>
    <x:row r="96">
      <x:c r="A96" s="12"/>
      <x:c r="B96" s="12"/>
      <x:c r="C96" s="12"/>
      <x:c r="D96" s="12"/>
      <x:c r="E96" s="14"/>
      <x:c r="F96" s="13" t="str">
        <x:f>IF($A96="","",IF($D96&lt;&gt;'Team Setup'!$B$4,"Other sprint",IF($C96="","Unassigned",IF(OR(ISNUMBER(SEARCH(",",$C96)),ISNUMBER(SEARCH(";",$C96))),"Multiple assignees",IF(COUNTIF('Team Setup'!$B$10:$B$34,$C96)=1,"Matched","Unmatched")))))</x:f>
      </x:c>
      <x:c r="G96" s="13" t="str">
        <x:f>IF($A96="","",IF($D96&lt;&gt;'Team Setup'!$B$4,"Other sprint",IF($E96="","Unestimated",IF(NOT(ISNUMBER($E96)),"Check estimate in hours",IF($E96&lt;0,"Check estimate in hours",IF($E96=0,"Unestimated","Estimated"))))))</x:f>
      </x:c>
    </x:row>
    <x:row r="97">
      <x:c r="A97" s="12"/>
      <x:c r="B97" s="12"/>
      <x:c r="C97" s="12"/>
      <x:c r="D97" s="12"/>
      <x:c r="E97" s="14"/>
      <x:c r="F97" s="13" t="str">
        <x:f>IF($A97="","",IF($D97&lt;&gt;'Team Setup'!$B$4,"Other sprint",IF($C97="","Unassigned",IF(OR(ISNUMBER(SEARCH(",",$C97)),ISNUMBER(SEARCH(";",$C97))),"Multiple assignees",IF(COUNTIF('Team Setup'!$B$10:$B$34,$C97)=1,"Matched","Unmatched")))))</x:f>
      </x:c>
      <x:c r="G97" s="13" t="str">
        <x:f>IF($A97="","",IF($D97&lt;&gt;'Team Setup'!$B$4,"Other sprint",IF($E97="","Unestimated",IF(NOT(ISNUMBER($E97)),"Check estimate in hours",IF($E97&lt;0,"Check estimate in hours",IF($E97=0,"Unestimated","Estimated"))))))</x:f>
      </x:c>
    </x:row>
    <x:row r="98">
      <x:c r="A98" s="12"/>
      <x:c r="B98" s="12"/>
      <x:c r="C98" s="12"/>
      <x:c r="D98" s="12"/>
      <x:c r="E98" s="14"/>
      <x:c r="F98" s="13" t="str">
        <x:f>IF($A98="","",IF($D98&lt;&gt;'Team Setup'!$B$4,"Other sprint",IF($C98="","Unassigned",IF(OR(ISNUMBER(SEARCH(",",$C98)),ISNUMBER(SEARCH(";",$C98))),"Multiple assignees",IF(COUNTIF('Team Setup'!$B$10:$B$34,$C98)=1,"Matched","Unmatched")))))</x:f>
      </x:c>
      <x:c r="G98" s="13" t="str">
        <x:f>IF($A98="","",IF($D98&lt;&gt;'Team Setup'!$B$4,"Other sprint",IF($E98="","Unestimated",IF(NOT(ISNUMBER($E98)),"Check estimate in hours",IF($E98&lt;0,"Check estimate in hours",IF($E98=0,"Unestimated","Estimated"))))))</x:f>
      </x:c>
    </x:row>
    <x:row r="99">
      <x:c r="A99" s="12"/>
      <x:c r="B99" s="12"/>
      <x:c r="C99" s="12"/>
      <x:c r="D99" s="12"/>
      <x:c r="E99" s="14"/>
      <x:c r="F99" s="13" t="str">
        <x:f>IF($A99="","",IF($D99&lt;&gt;'Team Setup'!$B$4,"Other sprint",IF($C99="","Unassigned",IF(OR(ISNUMBER(SEARCH(",",$C99)),ISNUMBER(SEARCH(";",$C99))),"Multiple assignees",IF(COUNTIF('Team Setup'!$B$10:$B$34,$C99)=1,"Matched","Unmatched")))))</x:f>
      </x:c>
      <x:c r="G99" s="13" t="str">
        <x:f>IF($A99="","",IF($D99&lt;&gt;'Team Setup'!$B$4,"Other sprint",IF($E99="","Unestimated",IF(NOT(ISNUMBER($E99)),"Check estimate in hours",IF($E99&lt;0,"Check estimate in hours",IF($E99=0,"Unestimated","Estimated"))))))</x:f>
      </x:c>
    </x:row>
    <x:row r="100">
      <x:c r="A100" s="12"/>
      <x:c r="B100" s="12"/>
      <x:c r="C100" s="12"/>
      <x:c r="D100" s="12"/>
      <x:c r="E100" s="14"/>
      <x:c r="F100" s="13" t="str">
        <x:f>IF($A100="","",IF($D100&lt;&gt;'Team Setup'!$B$4,"Other sprint",IF($C100="","Unassigned",IF(OR(ISNUMBER(SEARCH(",",$C100)),ISNUMBER(SEARCH(";",$C100))),"Multiple assignees",IF(COUNTIF('Team Setup'!$B$10:$B$34,$C100)=1,"Matched","Unmatched")))))</x:f>
      </x:c>
      <x:c r="G100" s="13" t="str">
        <x:f>IF($A100="","",IF($D100&lt;&gt;'Team Setup'!$B$4,"Other sprint",IF($E100="","Unestimated",IF(NOT(ISNUMBER($E100)),"Check estimate in hours",IF($E100&lt;0,"Check estimate in hours",IF($E100=0,"Unestimated","Estimated"))))))</x:f>
      </x:c>
    </x:row>
    <x:row r="101">
      <x:c r="A101" s="12"/>
      <x:c r="B101" s="12"/>
      <x:c r="C101" s="12"/>
      <x:c r="D101" s="12"/>
      <x:c r="E101" s="14"/>
      <x:c r="F101" s="13" t="str">
        <x:f>IF($A101="","",IF($D101&lt;&gt;'Team Setup'!$B$4,"Other sprint",IF($C101="","Unassigned",IF(OR(ISNUMBER(SEARCH(",",$C101)),ISNUMBER(SEARCH(";",$C101))),"Multiple assignees",IF(COUNTIF('Team Setup'!$B$10:$B$34,$C101)=1,"Matched","Unmatched")))))</x:f>
      </x:c>
      <x:c r="G101" s="13" t="str">
        <x:f>IF($A101="","",IF($D101&lt;&gt;'Team Setup'!$B$4,"Other sprint",IF($E101="","Unestimated",IF(NOT(ISNUMBER($E101)),"Check estimate in hours",IF($E101&lt;0,"Check estimate in hours",IF($E101=0,"Unestimated","Estimated"))))))</x:f>
      </x:c>
    </x:row>
    <x:row r="102">
      <x:c r="A102" s="12"/>
      <x:c r="B102" s="12"/>
      <x:c r="C102" s="12"/>
      <x:c r="D102" s="12"/>
      <x:c r="E102" s="14"/>
      <x:c r="F102" s="13" t="str">
        <x:f>IF($A102="","",IF($D102&lt;&gt;'Team Setup'!$B$4,"Other sprint",IF($C102="","Unassigned",IF(OR(ISNUMBER(SEARCH(",",$C102)),ISNUMBER(SEARCH(";",$C102))),"Multiple assignees",IF(COUNTIF('Team Setup'!$B$10:$B$34,$C102)=1,"Matched","Unmatched")))))</x:f>
      </x:c>
      <x:c r="G102" s="13" t="str">
        <x:f>IF($A102="","",IF($D102&lt;&gt;'Team Setup'!$B$4,"Other sprint",IF($E102="","Unestimated",IF(NOT(ISNUMBER($E102)),"Check estimate in hours",IF($E102&lt;0,"Check estimate in hours",IF($E102=0,"Unestimated","Estimated"))))))</x:f>
      </x:c>
    </x:row>
    <x:row r="103">
      <x:c r="A103" s="12"/>
      <x:c r="B103" s="12"/>
      <x:c r="C103" s="12"/>
      <x:c r="D103" s="12"/>
      <x:c r="E103" s="14"/>
      <x:c r="F103" s="13" t="str">
        <x:f>IF($A103="","",IF($D103&lt;&gt;'Team Setup'!$B$4,"Other sprint",IF($C103="","Unassigned",IF(OR(ISNUMBER(SEARCH(",",$C103)),ISNUMBER(SEARCH(";",$C103))),"Multiple assignees",IF(COUNTIF('Team Setup'!$B$10:$B$34,$C103)=1,"Matched","Unmatched")))))</x:f>
      </x:c>
      <x:c r="G103" s="13" t="str">
        <x:f>IF($A103="","",IF($D103&lt;&gt;'Team Setup'!$B$4,"Other sprint",IF($E103="","Unestimated",IF(NOT(ISNUMBER($E103)),"Check estimate in hours",IF($E103&lt;0,"Check estimate in hours",IF($E103=0,"Unestimated","Estimated"))))))</x:f>
      </x:c>
    </x:row>
    <x:row r="104">
      <x:c r="A104" s="12"/>
      <x:c r="B104" s="12"/>
      <x:c r="C104" s="12"/>
      <x:c r="D104" s="12"/>
      <x:c r="E104" s="14"/>
      <x:c r="F104" s="13" t="str">
        <x:f>IF($A104="","",IF($D104&lt;&gt;'Team Setup'!$B$4,"Other sprint",IF($C104="","Unassigned",IF(OR(ISNUMBER(SEARCH(",",$C104)),ISNUMBER(SEARCH(";",$C104))),"Multiple assignees",IF(COUNTIF('Team Setup'!$B$10:$B$34,$C104)=1,"Matched","Unmatched")))))</x:f>
      </x:c>
      <x:c r="G104" s="13" t="str">
        <x:f>IF($A104="","",IF($D104&lt;&gt;'Team Setup'!$B$4,"Other sprint",IF($E104="","Unestimated",IF(NOT(ISNUMBER($E104)),"Check estimate in hours",IF($E104&lt;0,"Check estimate in hours",IF($E104=0,"Unestimated","Estimated"))))))</x:f>
      </x:c>
    </x:row>
    <x:row r="105">
      <x:c r="A105" s="12"/>
      <x:c r="B105" s="12"/>
      <x:c r="C105" s="12"/>
      <x:c r="D105" s="12"/>
      <x:c r="E105" s="14"/>
      <x:c r="F105" s="13" t="str">
        <x:f>IF($A105="","",IF($D105&lt;&gt;'Team Setup'!$B$4,"Other sprint",IF($C105="","Unassigned",IF(OR(ISNUMBER(SEARCH(",",$C105)),ISNUMBER(SEARCH(";",$C105))),"Multiple assignees",IF(COUNTIF('Team Setup'!$B$10:$B$34,$C105)=1,"Matched","Unmatched")))))</x:f>
      </x:c>
      <x:c r="G105" s="13" t="str">
        <x:f>IF($A105="","",IF($D105&lt;&gt;'Team Setup'!$B$4,"Other sprint",IF($E105="","Unestimated",IF(NOT(ISNUMBER($E105)),"Check estimate in hours",IF($E105&lt;0,"Check estimate in hours",IF($E105=0,"Unestimated","Estimated"))))))</x:f>
      </x:c>
    </x:row>
    <x:row r="106">
      <x:c r="A106" s="12"/>
      <x:c r="B106" s="12"/>
      <x:c r="C106" s="12"/>
      <x:c r="D106" s="12"/>
      <x:c r="E106" s="14"/>
      <x:c r="F106" s="13" t="str">
        <x:f>IF($A106="","",IF($D106&lt;&gt;'Team Setup'!$B$4,"Other sprint",IF($C106="","Unassigned",IF(OR(ISNUMBER(SEARCH(",",$C106)),ISNUMBER(SEARCH(";",$C106))),"Multiple assignees",IF(COUNTIF('Team Setup'!$B$10:$B$34,$C106)=1,"Matched","Unmatched")))))</x:f>
      </x:c>
      <x:c r="G106" s="13" t="str">
        <x:f>IF($A106="","",IF($D106&lt;&gt;'Team Setup'!$B$4,"Other sprint",IF($E106="","Unestimated",IF(NOT(ISNUMBER($E106)),"Check estimate in hours",IF($E106&lt;0,"Check estimate in hours",IF($E106=0,"Unestimated","Estimated"))))))</x:f>
      </x:c>
    </x:row>
    <x:row r="107">
      <x:c r="A107" s="12"/>
      <x:c r="B107" s="12"/>
      <x:c r="C107" s="12"/>
      <x:c r="D107" s="12"/>
      <x:c r="E107" s="14"/>
      <x:c r="F107" s="13" t="str">
        <x:f>IF($A107="","",IF($D107&lt;&gt;'Team Setup'!$B$4,"Other sprint",IF($C107="","Unassigned",IF(OR(ISNUMBER(SEARCH(",",$C107)),ISNUMBER(SEARCH(";",$C107))),"Multiple assignees",IF(COUNTIF('Team Setup'!$B$10:$B$34,$C107)=1,"Matched","Unmatched")))))</x:f>
      </x:c>
      <x:c r="G107" s="13" t="str">
        <x:f>IF($A107="","",IF($D107&lt;&gt;'Team Setup'!$B$4,"Other sprint",IF($E107="","Unestimated",IF(NOT(ISNUMBER($E107)),"Check estimate in hours",IF($E107&lt;0,"Check estimate in hours",IF($E107=0,"Unestimated","Estimated"))))))</x:f>
      </x:c>
    </x:row>
    <x:row r="108">
      <x:c r="A108" s="12"/>
      <x:c r="B108" s="12"/>
      <x:c r="C108" s="12"/>
      <x:c r="D108" s="12"/>
      <x:c r="E108" s="14"/>
      <x:c r="F108" s="13" t="str">
        <x:f>IF($A108="","",IF($D108&lt;&gt;'Team Setup'!$B$4,"Other sprint",IF($C108="","Unassigned",IF(OR(ISNUMBER(SEARCH(",",$C108)),ISNUMBER(SEARCH(";",$C108))),"Multiple assignees",IF(COUNTIF('Team Setup'!$B$10:$B$34,$C108)=1,"Matched","Unmatched")))))</x:f>
      </x:c>
      <x:c r="G108" s="13" t="str">
        <x:f>IF($A108="","",IF($D108&lt;&gt;'Team Setup'!$B$4,"Other sprint",IF($E108="","Unestimated",IF(NOT(ISNUMBER($E108)),"Check estimate in hours",IF($E108&lt;0,"Check estimate in hours",IF($E108=0,"Unestimated","Estimated"))))))</x:f>
      </x:c>
    </x:row>
    <x:row r="109">
      <x:c r="A109" s="12"/>
      <x:c r="B109" s="12"/>
      <x:c r="C109" s="12"/>
      <x:c r="D109" s="12"/>
      <x:c r="E109" s="14"/>
      <x:c r="F109" s="13" t="str">
        <x:f>IF($A109="","",IF($D109&lt;&gt;'Team Setup'!$B$4,"Other sprint",IF($C109="","Unassigned",IF(OR(ISNUMBER(SEARCH(",",$C109)),ISNUMBER(SEARCH(";",$C109))),"Multiple assignees",IF(COUNTIF('Team Setup'!$B$10:$B$34,$C109)=1,"Matched","Unmatched")))))</x:f>
      </x:c>
      <x:c r="G109" s="13" t="str">
        <x:f>IF($A109="","",IF($D109&lt;&gt;'Team Setup'!$B$4,"Other sprint",IF($E109="","Unestimated",IF(NOT(ISNUMBER($E109)),"Check estimate in hours",IF($E109&lt;0,"Check estimate in hours",IF($E109=0,"Unestimated","Estimated"))))))</x:f>
      </x:c>
    </x:row>
    <x:row r="110">
      <x:c r="A110" s="12"/>
      <x:c r="B110" s="12"/>
      <x:c r="C110" s="12"/>
      <x:c r="D110" s="12"/>
      <x:c r="E110" s="14"/>
      <x:c r="F110" s="13" t="str">
        <x:f>IF($A110="","",IF($D110&lt;&gt;'Team Setup'!$B$4,"Other sprint",IF($C110="","Unassigned",IF(OR(ISNUMBER(SEARCH(",",$C110)),ISNUMBER(SEARCH(";",$C110))),"Multiple assignees",IF(COUNTIF('Team Setup'!$B$10:$B$34,$C110)=1,"Matched","Unmatched")))))</x:f>
      </x:c>
      <x:c r="G110" s="13" t="str">
        <x:f>IF($A110="","",IF($D110&lt;&gt;'Team Setup'!$B$4,"Other sprint",IF($E110="","Unestimated",IF(NOT(ISNUMBER($E110)),"Check estimate in hours",IF($E110&lt;0,"Check estimate in hours",IF($E110=0,"Unestimated","Estimated"))))))</x:f>
      </x:c>
    </x:row>
    <x:row r="111">
      <x:c r="A111" s="12"/>
      <x:c r="B111" s="12"/>
      <x:c r="C111" s="12"/>
      <x:c r="D111" s="12"/>
      <x:c r="E111" s="14"/>
      <x:c r="F111" s="13" t="str">
        <x:f>IF($A111="","",IF($D111&lt;&gt;'Team Setup'!$B$4,"Other sprint",IF($C111="","Unassigned",IF(OR(ISNUMBER(SEARCH(",",$C111)),ISNUMBER(SEARCH(";",$C111))),"Multiple assignees",IF(COUNTIF('Team Setup'!$B$10:$B$34,$C111)=1,"Matched","Unmatched")))))</x:f>
      </x:c>
      <x:c r="G111" s="13" t="str">
        <x:f>IF($A111="","",IF($D111&lt;&gt;'Team Setup'!$B$4,"Other sprint",IF($E111="","Unestimated",IF(NOT(ISNUMBER($E111)),"Check estimate in hours",IF($E111&lt;0,"Check estimate in hours",IF($E111=0,"Unestimated","Estimated"))))))</x:f>
      </x:c>
    </x:row>
    <x:row r="112">
      <x:c r="A112" s="12"/>
      <x:c r="B112" s="12"/>
      <x:c r="C112" s="12"/>
      <x:c r="D112" s="12"/>
      <x:c r="E112" s="14"/>
      <x:c r="F112" s="13" t="str">
        <x:f>IF($A112="","",IF($D112&lt;&gt;'Team Setup'!$B$4,"Other sprint",IF($C112="","Unassigned",IF(OR(ISNUMBER(SEARCH(",",$C112)),ISNUMBER(SEARCH(";",$C112))),"Multiple assignees",IF(COUNTIF('Team Setup'!$B$10:$B$34,$C112)=1,"Matched","Unmatched")))))</x:f>
      </x:c>
      <x:c r="G112" s="13" t="str">
        <x:f>IF($A112="","",IF($D112&lt;&gt;'Team Setup'!$B$4,"Other sprint",IF($E112="","Unestimated",IF(NOT(ISNUMBER($E112)),"Check estimate in hours",IF($E112&lt;0,"Check estimate in hours",IF($E112=0,"Unestimated","Estimated"))))))</x:f>
      </x:c>
    </x:row>
    <x:row r="113">
      <x:c r="A113" s="12"/>
      <x:c r="B113" s="12"/>
      <x:c r="C113" s="12"/>
      <x:c r="D113" s="12"/>
      <x:c r="E113" s="14"/>
      <x:c r="F113" s="13" t="str">
        <x:f>IF($A113="","",IF($D113&lt;&gt;'Team Setup'!$B$4,"Other sprint",IF($C113="","Unassigned",IF(OR(ISNUMBER(SEARCH(",",$C113)),ISNUMBER(SEARCH(";",$C113))),"Multiple assignees",IF(COUNTIF('Team Setup'!$B$10:$B$34,$C113)=1,"Matched","Unmatched")))))</x:f>
      </x:c>
      <x:c r="G113" s="13" t="str">
        <x:f>IF($A113="","",IF($D113&lt;&gt;'Team Setup'!$B$4,"Other sprint",IF($E113="","Unestimated",IF(NOT(ISNUMBER($E113)),"Check estimate in hours",IF($E113&lt;0,"Check estimate in hours",IF($E113=0,"Unestimated","Estimated"))))))</x:f>
      </x:c>
    </x:row>
    <x:row r="114">
      <x:c r="A114" s="12"/>
      <x:c r="B114" s="12"/>
      <x:c r="C114" s="12"/>
      <x:c r="D114" s="12"/>
      <x:c r="E114" s="14"/>
      <x:c r="F114" s="13" t="str">
        <x:f>IF($A114="","",IF($D114&lt;&gt;'Team Setup'!$B$4,"Other sprint",IF($C114="","Unassigned",IF(OR(ISNUMBER(SEARCH(",",$C114)),ISNUMBER(SEARCH(";",$C114))),"Multiple assignees",IF(COUNTIF('Team Setup'!$B$10:$B$34,$C114)=1,"Matched","Unmatched")))))</x:f>
      </x:c>
      <x:c r="G114" s="13" t="str">
        <x:f>IF($A114="","",IF($D114&lt;&gt;'Team Setup'!$B$4,"Other sprint",IF($E114="","Unestimated",IF(NOT(ISNUMBER($E114)),"Check estimate in hours",IF($E114&lt;0,"Check estimate in hours",IF($E114=0,"Unestimated","Estimated"))))))</x:f>
      </x:c>
    </x:row>
    <x:row r="115">
      <x:c r="A115" s="12"/>
      <x:c r="B115" s="12"/>
      <x:c r="C115" s="12"/>
      <x:c r="D115" s="12"/>
      <x:c r="E115" s="14"/>
      <x:c r="F115" s="13" t="str">
        <x:f>IF($A115="","",IF($D115&lt;&gt;'Team Setup'!$B$4,"Other sprint",IF($C115="","Unassigned",IF(OR(ISNUMBER(SEARCH(",",$C115)),ISNUMBER(SEARCH(";",$C115))),"Multiple assignees",IF(COUNTIF('Team Setup'!$B$10:$B$34,$C115)=1,"Matched","Unmatched")))))</x:f>
      </x:c>
      <x:c r="G115" s="13" t="str">
        <x:f>IF($A115="","",IF($D115&lt;&gt;'Team Setup'!$B$4,"Other sprint",IF($E115="","Unestimated",IF(NOT(ISNUMBER($E115)),"Check estimate in hours",IF($E115&lt;0,"Check estimate in hours",IF($E115=0,"Unestimated","Estimated"))))))</x:f>
      </x:c>
    </x:row>
    <x:row r="116">
      <x:c r="A116" s="12"/>
      <x:c r="B116" s="12"/>
      <x:c r="C116" s="12"/>
      <x:c r="D116" s="12"/>
      <x:c r="E116" s="14"/>
      <x:c r="F116" s="13" t="str">
        <x:f>IF($A116="","",IF($D116&lt;&gt;'Team Setup'!$B$4,"Other sprint",IF($C116="","Unassigned",IF(OR(ISNUMBER(SEARCH(",",$C116)),ISNUMBER(SEARCH(";",$C116))),"Multiple assignees",IF(COUNTIF('Team Setup'!$B$10:$B$34,$C116)=1,"Matched","Unmatched")))))</x:f>
      </x:c>
      <x:c r="G116" s="13" t="str">
        <x:f>IF($A116="","",IF($D116&lt;&gt;'Team Setup'!$B$4,"Other sprint",IF($E116="","Unestimated",IF(NOT(ISNUMBER($E116)),"Check estimate in hours",IF($E116&lt;0,"Check estimate in hours",IF($E116=0,"Unestimated","Estimated"))))))</x:f>
      </x:c>
    </x:row>
    <x:row r="117">
      <x:c r="A117" s="12"/>
      <x:c r="B117" s="12"/>
      <x:c r="C117" s="12"/>
      <x:c r="D117" s="12"/>
      <x:c r="E117" s="14"/>
      <x:c r="F117" s="13" t="str">
        <x:f>IF($A117="","",IF($D117&lt;&gt;'Team Setup'!$B$4,"Other sprint",IF($C117="","Unassigned",IF(OR(ISNUMBER(SEARCH(",",$C117)),ISNUMBER(SEARCH(";",$C117))),"Multiple assignees",IF(COUNTIF('Team Setup'!$B$10:$B$34,$C117)=1,"Matched","Unmatched")))))</x:f>
      </x:c>
      <x:c r="G117" s="13" t="str">
        <x:f>IF($A117="","",IF($D117&lt;&gt;'Team Setup'!$B$4,"Other sprint",IF($E117="","Unestimated",IF(NOT(ISNUMBER($E117)),"Check estimate in hours",IF($E117&lt;0,"Check estimate in hours",IF($E117=0,"Unestimated","Estimated"))))))</x:f>
      </x:c>
    </x:row>
    <x:row r="118">
      <x:c r="A118" s="12"/>
      <x:c r="B118" s="12"/>
      <x:c r="C118" s="12"/>
      <x:c r="D118" s="12"/>
      <x:c r="E118" s="14"/>
      <x:c r="F118" s="13" t="str">
        <x:f>IF($A118="","",IF($D118&lt;&gt;'Team Setup'!$B$4,"Other sprint",IF($C118="","Unassigned",IF(OR(ISNUMBER(SEARCH(",",$C118)),ISNUMBER(SEARCH(";",$C118))),"Multiple assignees",IF(COUNTIF('Team Setup'!$B$10:$B$34,$C118)=1,"Matched","Unmatched")))))</x:f>
      </x:c>
      <x:c r="G118" s="13" t="str">
        <x:f>IF($A118="","",IF($D118&lt;&gt;'Team Setup'!$B$4,"Other sprint",IF($E118="","Unestimated",IF(NOT(ISNUMBER($E118)),"Check estimate in hours",IF($E118&lt;0,"Check estimate in hours",IF($E118=0,"Unestimated","Estimated"))))))</x:f>
      </x:c>
    </x:row>
    <x:row r="119">
      <x:c r="A119" s="12"/>
      <x:c r="B119" s="12"/>
      <x:c r="C119" s="12"/>
      <x:c r="D119" s="12"/>
      <x:c r="E119" s="14"/>
      <x:c r="F119" s="13" t="str">
        <x:f>IF($A119="","",IF($D119&lt;&gt;'Team Setup'!$B$4,"Other sprint",IF($C119="","Unassigned",IF(OR(ISNUMBER(SEARCH(",",$C119)),ISNUMBER(SEARCH(";",$C119))),"Multiple assignees",IF(COUNTIF('Team Setup'!$B$10:$B$34,$C119)=1,"Matched","Unmatched")))))</x:f>
      </x:c>
      <x:c r="G119" s="13" t="str">
        <x:f>IF($A119="","",IF($D119&lt;&gt;'Team Setup'!$B$4,"Other sprint",IF($E119="","Unestimated",IF(NOT(ISNUMBER($E119)),"Check estimate in hours",IF($E119&lt;0,"Check estimate in hours",IF($E119=0,"Unestimated","Estimated"))))))</x:f>
      </x:c>
    </x:row>
    <x:row r="120">
      <x:c r="A120" s="12"/>
      <x:c r="B120" s="12"/>
      <x:c r="C120" s="12"/>
      <x:c r="D120" s="12"/>
      <x:c r="E120" s="14"/>
      <x:c r="F120" s="13" t="str">
        <x:f>IF($A120="","",IF($D120&lt;&gt;'Team Setup'!$B$4,"Other sprint",IF($C120="","Unassigned",IF(OR(ISNUMBER(SEARCH(",",$C120)),ISNUMBER(SEARCH(";",$C120))),"Multiple assignees",IF(COUNTIF('Team Setup'!$B$10:$B$34,$C120)=1,"Matched","Unmatched")))))</x:f>
      </x:c>
      <x:c r="G120" s="13" t="str">
        <x:f>IF($A120="","",IF($D120&lt;&gt;'Team Setup'!$B$4,"Other sprint",IF($E120="","Unestimated",IF(NOT(ISNUMBER($E120)),"Check estimate in hours",IF($E120&lt;0,"Check estimate in hours",IF($E120=0,"Unestimated","Estimated"))))))</x:f>
      </x:c>
    </x:row>
    <x:row r="121">
      <x:c r="A121" s="12"/>
      <x:c r="B121" s="12"/>
      <x:c r="C121" s="12"/>
      <x:c r="D121" s="12"/>
      <x:c r="E121" s="14"/>
      <x:c r="F121" s="13" t="str">
        <x:f>IF($A121="","",IF($D121&lt;&gt;'Team Setup'!$B$4,"Other sprint",IF($C121="","Unassigned",IF(OR(ISNUMBER(SEARCH(",",$C121)),ISNUMBER(SEARCH(";",$C121))),"Multiple assignees",IF(COUNTIF('Team Setup'!$B$10:$B$34,$C121)=1,"Matched","Unmatched")))))</x:f>
      </x:c>
      <x:c r="G121" s="13" t="str">
        <x:f>IF($A121="","",IF($D121&lt;&gt;'Team Setup'!$B$4,"Other sprint",IF($E121="","Unestimated",IF(NOT(ISNUMBER($E121)),"Check estimate in hours",IF($E121&lt;0,"Check estimate in hours",IF($E121=0,"Unestimated","Estimated"))))))</x:f>
      </x:c>
    </x:row>
    <x:row r="122">
      <x:c r="A122" s="12"/>
      <x:c r="B122" s="12"/>
      <x:c r="C122" s="12"/>
      <x:c r="D122" s="12"/>
      <x:c r="E122" s="14"/>
      <x:c r="F122" s="13" t="str">
        <x:f>IF($A122="","",IF($D122&lt;&gt;'Team Setup'!$B$4,"Other sprint",IF($C122="","Unassigned",IF(OR(ISNUMBER(SEARCH(",",$C122)),ISNUMBER(SEARCH(";",$C122))),"Multiple assignees",IF(COUNTIF('Team Setup'!$B$10:$B$34,$C122)=1,"Matched","Unmatched")))))</x:f>
      </x:c>
      <x:c r="G122" s="13" t="str">
        <x:f>IF($A122="","",IF($D122&lt;&gt;'Team Setup'!$B$4,"Other sprint",IF($E122="","Unestimated",IF(NOT(ISNUMBER($E122)),"Check estimate in hours",IF($E122&lt;0,"Check estimate in hours",IF($E122=0,"Unestimated","Estimated"))))))</x:f>
      </x:c>
    </x:row>
    <x:row r="123">
      <x:c r="A123" s="12"/>
      <x:c r="B123" s="12"/>
      <x:c r="C123" s="12"/>
      <x:c r="D123" s="12"/>
      <x:c r="E123" s="14"/>
      <x:c r="F123" s="13" t="str">
        <x:f>IF($A123="","",IF($D123&lt;&gt;'Team Setup'!$B$4,"Other sprint",IF($C123="","Unassigned",IF(OR(ISNUMBER(SEARCH(",",$C123)),ISNUMBER(SEARCH(";",$C123))),"Multiple assignees",IF(COUNTIF('Team Setup'!$B$10:$B$34,$C123)=1,"Matched","Unmatched")))))</x:f>
      </x:c>
      <x:c r="G123" s="13" t="str">
        <x:f>IF($A123="","",IF($D123&lt;&gt;'Team Setup'!$B$4,"Other sprint",IF($E123="","Unestimated",IF(NOT(ISNUMBER($E123)),"Check estimate in hours",IF($E123&lt;0,"Check estimate in hours",IF($E123=0,"Unestimated","Estimated"))))))</x:f>
      </x:c>
    </x:row>
    <x:row r="124">
      <x:c r="A124" s="12"/>
      <x:c r="B124" s="12"/>
      <x:c r="C124" s="12"/>
      <x:c r="D124" s="12"/>
      <x:c r="E124" s="14"/>
      <x:c r="F124" s="13" t="str">
        <x:f>IF($A124="","",IF($D124&lt;&gt;'Team Setup'!$B$4,"Other sprint",IF($C124="","Unassigned",IF(OR(ISNUMBER(SEARCH(",",$C124)),ISNUMBER(SEARCH(";",$C124))),"Multiple assignees",IF(COUNTIF('Team Setup'!$B$10:$B$34,$C124)=1,"Matched","Unmatched")))))</x:f>
      </x:c>
      <x:c r="G124" s="13" t="str">
        <x:f>IF($A124="","",IF($D124&lt;&gt;'Team Setup'!$B$4,"Other sprint",IF($E124="","Unestimated",IF(NOT(ISNUMBER($E124)),"Check estimate in hours",IF($E124&lt;0,"Check estimate in hours",IF($E124=0,"Unestimated","Estimated"))))))</x:f>
      </x:c>
    </x:row>
    <x:row r="125">
      <x:c r="A125" s="12"/>
      <x:c r="B125" s="12"/>
      <x:c r="C125" s="12"/>
      <x:c r="D125" s="12"/>
      <x:c r="E125" s="14"/>
      <x:c r="F125" s="13" t="str">
        <x:f>IF($A125="","",IF($D125&lt;&gt;'Team Setup'!$B$4,"Other sprint",IF($C125="","Unassigned",IF(OR(ISNUMBER(SEARCH(",",$C125)),ISNUMBER(SEARCH(";",$C125))),"Multiple assignees",IF(COUNTIF('Team Setup'!$B$10:$B$34,$C125)=1,"Matched","Unmatched")))))</x:f>
      </x:c>
      <x:c r="G125" s="13" t="str">
        <x:f>IF($A125="","",IF($D125&lt;&gt;'Team Setup'!$B$4,"Other sprint",IF($E125="","Unestimated",IF(NOT(ISNUMBER($E125)),"Check estimate in hours",IF($E125&lt;0,"Check estimate in hours",IF($E125=0,"Unestimated","Estimated"))))))</x:f>
      </x:c>
    </x:row>
    <x:row r="126">
      <x:c r="A126" s="12"/>
      <x:c r="B126" s="12"/>
      <x:c r="C126" s="12"/>
      <x:c r="D126" s="12"/>
      <x:c r="E126" s="14"/>
      <x:c r="F126" s="13" t="str">
        <x:f>IF($A126="","",IF($D126&lt;&gt;'Team Setup'!$B$4,"Other sprint",IF($C126="","Unassigned",IF(OR(ISNUMBER(SEARCH(",",$C126)),ISNUMBER(SEARCH(";",$C126))),"Multiple assignees",IF(COUNTIF('Team Setup'!$B$10:$B$34,$C126)=1,"Matched","Unmatched")))))</x:f>
      </x:c>
      <x:c r="G126" s="13" t="str">
        <x:f>IF($A126="","",IF($D126&lt;&gt;'Team Setup'!$B$4,"Other sprint",IF($E126="","Unestimated",IF(NOT(ISNUMBER($E126)),"Check estimate in hours",IF($E126&lt;0,"Check estimate in hours",IF($E126=0,"Unestimated","Estimated"))))))</x:f>
      </x:c>
    </x:row>
    <x:row r="127">
      <x:c r="A127" s="12"/>
      <x:c r="B127" s="12"/>
      <x:c r="C127" s="12"/>
      <x:c r="D127" s="12"/>
      <x:c r="E127" s="14"/>
      <x:c r="F127" s="13" t="str">
        <x:f>IF($A127="","",IF($D127&lt;&gt;'Team Setup'!$B$4,"Other sprint",IF($C127="","Unassigned",IF(OR(ISNUMBER(SEARCH(",",$C127)),ISNUMBER(SEARCH(";",$C127))),"Multiple assignees",IF(COUNTIF('Team Setup'!$B$10:$B$34,$C127)=1,"Matched","Unmatched")))))</x:f>
      </x:c>
      <x:c r="G127" s="13" t="str">
        <x:f>IF($A127="","",IF($D127&lt;&gt;'Team Setup'!$B$4,"Other sprint",IF($E127="","Unestimated",IF(NOT(ISNUMBER($E127)),"Check estimate in hours",IF($E127&lt;0,"Check estimate in hours",IF($E127=0,"Unestimated","Estimated"))))))</x:f>
      </x:c>
    </x:row>
    <x:row r="128">
      <x:c r="A128" s="12"/>
      <x:c r="B128" s="12"/>
      <x:c r="C128" s="12"/>
      <x:c r="D128" s="12"/>
      <x:c r="E128" s="14"/>
      <x:c r="F128" s="13" t="str">
        <x:f>IF($A128="","",IF($D128&lt;&gt;'Team Setup'!$B$4,"Other sprint",IF($C128="","Unassigned",IF(OR(ISNUMBER(SEARCH(",",$C128)),ISNUMBER(SEARCH(";",$C128))),"Multiple assignees",IF(COUNTIF('Team Setup'!$B$10:$B$34,$C128)=1,"Matched","Unmatched")))))</x:f>
      </x:c>
      <x:c r="G128" s="13" t="str">
        <x:f>IF($A128="","",IF($D128&lt;&gt;'Team Setup'!$B$4,"Other sprint",IF($E128="","Unestimated",IF(NOT(ISNUMBER($E128)),"Check estimate in hours",IF($E128&lt;0,"Check estimate in hours",IF($E128=0,"Unestimated","Estimated"))))))</x:f>
      </x:c>
    </x:row>
    <x:row r="129">
      <x:c r="A129" s="12"/>
      <x:c r="B129" s="12"/>
      <x:c r="C129" s="12"/>
      <x:c r="D129" s="12"/>
      <x:c r="E129" s="14"/>
      <x:c r="F129" s="13" t="str">
        <x:f>IF($A129="","",IF($D129&lt;&gt;'Team Setup'!$B$4,"Other sprint",IF($C129="","Unassigned",IF(OR(ISNUMBER(SEARCH(",",$C129)),ISNUMBER(SEARCH(";",$C129))),"Multiple assignees",IF(COUNTIF('Team Setup'!$B$10:$B$34,$C129)=1,"Matched","Unmatched")))))</x:f>
      </x:c>
      <x:c r="G129" s="13" t="str">
        <x:f>IF($A129="","",IF($D129&lt;&gt;'Team Setup'!$B$4,"Other sprint",IF($E129="","Unestimated",IF(NOT(ISNUMBER($E129)),"Check estimate in hours",IF($E129&lt;0,"Check estimate in hours",IF($E129=0,"Unestimated","Estimated"))))))</x:f>
      </x:c>
    </x:row>
    <x:row r="130">
      <x:c r="A130" s="12"/>
      <x:c r="B130" s="12"/>
      <x:c r="C130" s="12"/>
      <x:c r="D130" s="12"/>
      <x:c r="E130" s="14"/>
      <x:c r="F130" s="13" t="str">
        <x:f>IF($A130="","",IF($D130&lt;&gt;'Team Setup'!$B$4,"Other sprint",IF($C130="","Unassigned",IF(OR(ISNUMBER(SEARCH(",",$C130)),ISNUMBER(SEARCH(";",$C130))),"Multiple assignees",IF(COUNTIF('Team Setup'!$B$10:$B$34,$C130)=1,"Matched","Unmatched")))))</x:f>
      </x:c>
      <x:c r="G130" s="13" t="str">
        <x:f>IF($A130="","",IF($D130&lt;&gt;'Team Setup'!$B$4,"Other sprint",IF($E130="","Unestimated",IF(NOT(ISNUMBER($E130)),"Check estimate in hours",IF($E130&lt;0,"Check estimate in hours",IF($E130=0,"Unestimated","Estimated"))))))</x:f>
      </x:c>
    </x:row>
    <x:row r="131">
      <x:c r="A131" s="12"/>
      <x:c r="B131" s="12"/>
      <x:c r="C131" s="12"/>
      <x:c r="D131" s="12"/>
      <x:c r="E131" s="14"/>
      <x:c r="F131" s="13" t="str">
        <x:f>IF($A131="","",IF($D131&lt;&gt;'Team Setup'!$B$4,"Other sprint",IF($C131="","Unassigned",IF(OR(ISNUMBER(SEARCH(",",$C131)),ISNUMBER(SEARCH(";",$C131))),"Multiple assignees",IF(COUNTIF('Team Setup'!$B$10:$B$34,$C131)=1,"Matched","Unmatched")))))</x:f>
      </x:c>
      <x:c r="G131" s="13" t="str">
        <x:f>IF($A131="","",IF($D131&lt;&gt;'Team Setup'!$B$4,"Other sprint",IF($E131="","Unestimated",IF(NOT(ISNUMBER($E131)),"Check estimate in hours",IF($E131&lt;0,"Check estimate in hours",IF($E131=0,"Unestimated","Estimated"))))))</x:f>
      </x:c>
    </x:row>
    <x:row r="132">
      <x:c r="A132" s="12"/>
      <x:c r="B132" s="12"/>
      <x:c r="C132" s="12"/>
      <x:c r="D132" s="12"/>
      <x:c r="E132" s="14"/>
      <x:c r="F132" s="13" t="str">
        <x:f>IF($A132="","",IF($D132&lt;&gt;'Team Setup'!$B$4,"Other sprint",IF($C132="","Unassigned",IF(OR(ISNUMBER(SEARCH(",",$C132)),ISNUMBER(SEARCH(";",$C132))),"Multiple assignees",IF(COUNTIF('Team Setup'!$B$10:$B$34,$C132)=1,"Matched","Unmatched")))))</x:f>
      </x:c>
      <x:c r="G132" s="13" t="str">
        <x:f>IF($A132="","",IF($D132&lt;&gt;'Team Setup'!$B$4,"Other sprint",IF($E132="","Unestimated",IF(NOT(ISNUMBER($E132)),"Check estimate in hours",IF($E132&lt;0,"Check estimate in hours",IF($E132=0,"Unestimated","Estimated"))))))</x:f>
      </x:c>
    </x:row>
    <x:row r="133">
      <x:c r="A133" s="12"/>
      <x:c r="B133" s="12"/>
      <x:c r="C133" s="12"/>
      <x:c r="D133" s="12"/>
      <x:c r="E133" s="14"/>
      <x:c r="F133" s="13" t="str">
        <x:f>IF($A133="","",IF($D133&lt;&gt;'Team Setup'!$B$4,"Other sprint",IF($C133="","Unassigned",IF(OR(ISNUMBER(SEARCH(",",$C133)),ISNUMBER(SEARCH(";",$C133))),"Multiple assignees",IF(COUNTIF('Team Setup'!$B$10:$B$34,$C133)=1,"Matched","Unmatched")))))</x:f>
      </x:c>
      <x:c r="G133" s="13" t="str">
        <x:f>IF($A133="","",IF($D133&lt;&gt;'Team Setup'!$B$4,"Other sprint",IF($E133="","Unestimated",IF(NOT(ISNUMBER($E133)),"Check estimate in hours",IF($E133&lt;0,"Check estimate in hours",IF($E133=0,"Unestimated","Estimated"))))))</x:f>
      </x:c>
    </x:row>
    <x:row r="134">
      <x:c r="A134" s="12"/>
      <x:c r="B134" s="12"/>
      <x:c r="C134" s="12"/>
      <x:c r="D134" s="12"/>
      <x:c r="E134" s="14"/>
      <x:c r="F134" s="13" t="str">
        <x:f>IF($A134="","",IF($D134&lt;&gt;'Team Setup'!$B$4,"Other sprint",IF($C134="","Unassigned",IF(OR(ISNUMBER(SEARCH(",",$C134)),ISNUMBER(SEARCH(";",$C134))),"Multiple assignees",IF(COUNTIF('Team Setup'!$B$10:$B$34,$C134)=1,"Matched","Unmatched")))))</x:f>
      </x:c>
      <x:c r="G134" s="13" t="str">
        <x:f>IF($A134="","",IF($D134&lt;&gt;'Team Setup'!$B$4,"Other sprint",IF($E134="","Unestimated",IF(NOT(ISNUMBER($E134)),"Check estimate in hours",IF($E134&lt;0,"Check estimate in hours",IF($E134=0,"Unestimated","Estimated"))))))</x:f>
      </x:c>
    </x:row>
    <x:row r="135">
      <x:c r="A135" s="12"/>
      <x:c r="B135" s="12"/>
      <x:c r="C135" s="12"/>
      <x:c r="D135" s="12"/>
      <x:c r="E135" s="14"/>
      <x:c r="F135" s="13" t="str">
        <x:f>IF($A135="","",IF($D135&lt;&gt;'Team Setup'!$B$4,"Other sprint",IF($C135="","Unassigned",IF(OR(ISNUMBER(SEARCH(",",$C135)),ISNUMBER(SEARCH(";",$C135))),"Multiple assignees",IF(COUNTIF('Team Setup'!$B$10:$B$34,$C135)=1,"Matched","Unmatched")))))</x:f>
      </x:c>
      <x:c r="G135" s="13" t="str">
        <x:f>IF($A135="","",IF($D135&lt;&gt;'Team Setup'!$B$4,"Other sprint",IF($E135="","Unestimated",IF(NOT(ISNUMBER($E135)),"Check estimate in hours",IF($E135&lt;0,"Check estimate in hours",IF($E135=0,"Unestimated","Estimated"))))))</x:f>
      </x:c>
    </x:row>
    <x:row r="136">
      <x:c r="A136" s="12"/>
      <x:c r="B136" s="12"/>
      <x:c r="C136" s="12"/>
      <x:c r="D136" s="12"/>
      <x:c r="E136" s="14"/>
      <x:c r="F136" s="13" t="str">
        <x:f>IF($A136="","",IF($D136&lt;&gt;'Team Setup'!$B$4,"Other sprint",IF($C136="","Unassigned",IF(OR(ISNUMBER(SEARCH(",",$C136)),ISNUMBER(SEARCH(";",$C136))),"Multiple assignees",IF(COUNTIF('Team Setup'!$B$10:$B$34,$C136)=1,"Matched","Unmatched")))))</x:f>
      </x:c>
      <x:c r="G136" s="13" t="str">
        <x:f>IF($A136="","",IF($D136&lt;&gt;'Team Setup'!$B$4,"Other sprint",IF($E136="","Unestimated",IF(NOT(ISNUMBER($E136)),"Check estimate in hours",IF($E136&lt;0,"Check estimate in hours",IF($E136=0,"Unestimated","Estimated"))))))</x:f>
      </x:c>
    </x:row>
    <x:row r="137">
      <x:c r="A137" s="12"/>
      <x:c r="B137" s="12"/>
      <x:c r="C137" s="12"/>
      <x:c r="D137" s="12"/>
      <x:c r="E137" s="14"/>
      <x:c r="F137" s="13" t="str">
        <x:f>IF($A137="","",IF($D137&lt;&gt;'Team Setup'!$B$4,"Other sprint",IF($C137="","Unassigned",IF(OR(ISNUMBER(SEARCH(",",$C137)),ISNUMBER(SEARCH(";",$C137))),"Multiple assignees",IF(COUNTIF('Team Setup'!$B$10:$B$34,$C137)=1,"Matched","Unmatched")))))</x:f>
      </x:c>
      <x:c r="G137" s="13" t="str">
        <x:f>IF($A137="","",IF($D137&lt;&gt;'Team Setup'!$B$4,"Other sprint",IF($E137="","Unestimated",IF(NOT(ISNUMBER($E137)),"Check estimate in hours",IF($E137&lt;0,"Check estimate in hours",IF($E137=0,"Unestimated","Estimated"))))))</x:f>
      </x:c>
    </x:row>
    <x:row r="138">
      <x:c r="A138" s="12"/>
      <x:c r="B138" s="12"/>
      <x:c r="C138" s="12"/>
      <x:c r="D138" s="12"/>
      <x:c r="E138" s="14"/>
      <x:c r="F138" s="13" t="str">
        <x:f>IF($A138="","",IF($D138&lt;&gt;'Team Setup'!$B$4,"Other sprint",IF($C138="","Unassigned",IF(OR(ISNUMBER(SEARCH(",",$C138)),ISNUMBER(SEARCH(";",$C138))),"Multiple assignees",IF(COUNTIF('Team Setup'!$B$10:$B$34,$C138)=1,"Matched","Unmatched")))))</x:f>
      </x:c>
      <x:c r="G138" s="13" t="str">
        <x:f>IF($A138="","",IF($D138&lt;&gt;'Team Setup'!$B$4,"Other sprint",IF($E138="","Unestimated",IF(NOT(ISNUMBER($E138)),"Check estimate in hours",IF($E138&lt;0,"Check estimate in hours",IF($E138=0,"Unestimated","Estimated"))))))</x:f>
      </x:c>
    </x:row>
    <x:row r="139">
      <x:c r="A139" s="12"/>
      <x:c r="B139" s="12"/>
      <x:c r="C139" s="12"/>
      <x:c r="D139" s="12"/>
      <x:c r="E139" s="14"/>
      <x:c r="F139" s="13" t="str">
        <x:f>IF($A139="","",IF($D139&lt;&gt;'Team Setup'!$B$4,"Other sprint",IF($C139="","Unassigned",IF(OR(ISNUMBER(SEARCH(",",$C139)),ISNUMBER(SEARCH(";",$C139))),"Multiple assignees",IF(COUNTIF('Team Setup'!$B$10:$B$34,$C139)=1,"Matched","Unmatched")))))</x:f>
      </x:c>
      <x:c r="G139" s="13" t="str">
        <x:f>IF($A139="","",IF($D139&lt;&gt;'Team Setup'!$B$4,"Other sprint",IF($E139="","Unestimated",IF(NOT(ISNUMBER($E139)),"Check estimate in hours",IF($E139&lt;0,"Check estimate in hours",IF($E139=0,"Unestimated","Estimated"))))))</x:f>
      </x:c>
    </x:row>
    <x:row r="140">
      <x:c r="A140" s="12"/>
      <x:c r="B140" s="12"/>
      <x:c r="C140" s="12"/>
      <x:c r="D140" s="12"/>
      <x:c r="E140" s="14"/>
      <x:c r="F140" s="13" t="str">
        <x:f>IF($A140="","",IF($D140&lt;&gt;'Team Setup'!$B$4,"Other sprint",IF($C140="","Unassigned",IF(OR(ISNUMBER(SEARCH(",",$C140)),ISNUMBER(SEARCH(";",$C140))),"Multiple assignees",IF(COUNTIF('Team Setup'!$B$10:$B$34,$C140)=1,"Matched","Unmatched")))))</x:f>
      </x:c>
      <x:c r="G140" s="13" t="str">
        <x:f>IF($A140="","",IF($D140&lt;&gt;'Team Setup'!$B$4,"Other sprint",IF($E140="","Unestimated",IF(NOT(ISNUMBER($E140)),"Check estimate in hours",IF($E140&lt;0,"Check estimate in hours",IF($E140=0,"Unestimated","Estimated"))))))</x:f>
      </x:c>
    </x:row>
    <x:row r="141">
      <x:c r="A141" s="12"/>
      <x:c r="B141" s="12"/>
      <x:c r="C141" s="12"/>
      <x:c r="D141" s="12"/>
      <x:c r="E141" s="14"/>
      <x:c r="F141" s="13" t="str">
        <x:f>IF($A141="","",IF($D141&lt;&gt;'Team Setup'!$B$4,"Other sprint",IF($C141="","Unassigned",IF(OR(ISNUMBER(SEARCH(",",$C141)),ISNUMBER(SEARCH(";",$C141))),"Multiple assignees",IF(COUNTIF('Team Setup'!$B$10:$B$34,$C141)=1,"Matched","Unmatched")))))</x:f>
      </x:c>
      <x:c r="G141" s="13" t="str">
        <x:f>IF($A141="","",IF($D141&lt;&gt;'Team Setup'!$B$4,"Other sprint",IF($E141="","Unestimated",IF(NOT(ISNUMBER($E141)),"Check estimate in hours",IF($E141&lt;0,"Check estimate in hours",IF($E141=0,"Unestimated","Estimated"))))))</x:f>
      </x:c>
    </x:row>
    <x:row r="142">
      <x:c r="A142" s="12"/>
      <x:c r="B142" s="12"/>
      <x:c r="C142" s="12"/>
      <x:c r="D142" s="12"/>
      <x:c r="E142" s="14"/>
      <x:c r="F142" s="13" t="str">
        <x:f>IF($A142="","",IF($D142&lt;&gt;'Team Setup'!$B$4,"Other sprint",IF($C142="","Unassigned",IF(OR(ISNUMBER(SEARCH(",",$C142)),ISNUMBER(SEARCH(";",$C142))),"Multiple assignees",IF(COUNTIF('Team Setup'!$B$10:$B$34,$C142)=1,"Matched","Unmatched")))))</x:f>
      </x:c>
      <x:c r="G142" s="13" t="str">
        <x:f>IF($A142="","",IF($D142&lt;&gt;'Team Setup'!$B$4,"Other sprint",IF($E142="","Unestimated",IF(NOT(ISNUMBER($E142)),"Check estimate in hours",IF($E142&lt;0,"Check estimate in hours",IF($E142=0,"Unestimated","Estimated"))))))</x:f>
      </x:c>
    </x:row>
    <x:row r="143">
      <x:c r="A143" s="12"/>
      <x:c r="B143" s="12"/>
      <x:c r="C143" s="12"/>
      <x:c r="D143" s="12"/>
      <x:c r="E143" s="14"/>
      <x:c r="F143" s="13" t="str">
        <x:f>IF($A143="","",IF($D143&lt;&gt;'Team Setup'!$B$4,"Other sprint",IF($C143="","Unassigned",IF(OR(ISNUMBER(SEARCH(",",$C143)),ISNUMBER(SEARCH(";",$C143))),"Multiple assignees",IF(COUNTIF('Team Setup'!$B$10:$B$34,$C143)=1,"Matched","Unmatched")))))</x:f>
      </x:c>
      <x:c r="G143" s="13" t="str">
        <x:f>IF($A143="","",IF($D143&lt;&gt;'Team Setup'!$B$4,"Other sprint",IF($E143="","Unestimated",IF(NOT(ISNUMBER($E143)),"Check estimate in hours",IF($E143&lt;0,"Check estimate in hours",IF($E143=0,"Unestimated","Estimated"))))))</x:f>
      </x:c>
    </x:row>
    <x:row r="144">
      <x:c r="A144" s="12"/>
      <x:c r="B144" s="12"/>
      <x:c r="C144" s="12"/>
      <x:c r="D144" s="12"/>
      <x:c r="E144" s="14"/>
      <x:c r="F144" s="13" t="str">
        <x:f>IF($A144="","",IF($D144&lt;&gt;'Team Setup'!$B$4,"Other sprint",IF($C144="","Unassigned",IF(OR(ISNUMBER(SEARCH(",",$C144)),ISNUMBER(SEARCH(";",$C144))),"Multiple assignees",IF(COUNTIF('Team Setup'!$B$10:$B$34,$C144)=1,"Matched","Unmatched")))))</x:f>
      </x:c>
      <x:c r="G144" s="13" t="str">
        <x:f>IF($A144="","",IF($D144&lt;&gt;'Team Setup'!$B$4,"Other sprint",IF($E144="","Unestimated",IF(NOT(ISNUMBER($E144)),"Check estimate in hours",IF($E144&lt;0,"Check estimate in hours",IF($E144=0,"Unestimated","Estimated"))))))</x:f>
      </x:c>
    </x:row>
    <x:row r="145">
      <x:c r="A145" s="12"/>
      <x:c r="B145" s="12"/>
      <x:c r="C145" s="12"/>
      <x:c r="D145" s="12"/>
      <x:c r="E145" s="14"/>
      <x:c r="F145" s="13" t="str">
        <x:f>IF($A145="","",IF($D145&lt;&gt;'Team Setup'!$B$4,"Other sprint",IF($C145="","Unassigned",IF(OR(ISNUMBER(SEARCH(",",$C145)),ISNUMBER(SEARCH(";",$C145))),"Multiple assignees",IF(COUNTIF('Team Setup'!$B$10:$B$34,$C145)=1,"Matched","Unmatched")))))</x:f>
      </x:c>
      <x:c r="G145" s="13" t="str">
        <x:f>IF($A145="","",IF($D145&lt;&gt;'Team Setup'!$B$4,"Other sprint",IF($E145="","Unestimated",IF(NOT(ISNUMBER($E145)),"Check estimate in hours",IF($E145&lt;0,"Check estimate in hours",IF($E145=0,"Unestimated","Estimated"))))))</x:f>
      </x:c>
    </x:row>
    <x:row r="146">
      <x:c r="A146" s="12"/>
      <x:c r="B146" s="12"/>
      <x:c r="C146" s="12"/>
      <x:c r="D146" s="12"/>
      <x:c r="E146" s="14"/>
      <x:c r="F146" s="13" t="str">
        <x:f>IF($A146="","",IF($D146&lt;&gt;'Team Setup'!$B$4,"Other sprint",IF($C146="","Unassigned",IF(OR(ISNUMBER(SEARCH(",",$C146)),ISNUMBER(SEARCH(";",$C146))),"Multiple assignees",IF(COUNTIF('Team Setup'!$B$10:$B$34,$C146)=1,"Matched","Unmatched")))))</x:f>
      </x:c>
      <x:c r="G146" s="13" t="str">
        <x:f>IF($A146="","",IF($D146&lt;&gt;'Team Setup'!$B$4,"Other sprint",IF($E146="","Unestimated",IF(NOT(ISNUMBER($E146)),"Check estimate in hours",IF($E146&lt;0,"Check estimate in hours",IF($E146=0,"Unestimated","Estimated"))))))</x:f>
      </x:c>
    </x:row>
    <x:row r="147">
      <x:c r="A147" s="12"/>
      <x:c r="B147" s="12"/>
      <x:c r="C147" s="12"/>
      <x:c r="D147" s="12"/>
      <x:c r="E147" s="14"/>
      <x:c r="F147" s="13" t="str">
        <x:f>IF($A147="","",IF($D147&lt;&gt;'Team Setup'!$B$4,"Other sprint",IF($C147="","Unassigned",IF(OR(ISNUMBER(SEARCH(",",$C147)),ISNUMBER(SEARCH(";",$C147))),"Multiple assignees",IF(COUNTIF('Team Setup'!$B$10:$B$34,$C147)=1,"Matched","Unmatched")))))</x:f>
      </x:c>
      <x:c r="G147" s="13" t="str">
        <x:f>IF($A147="","",IF($D147&lt;&gt;'Team Setup'!$B$4,"Other sprint",IF($E147="","Unestimated",IF(NOT(ISNUMBER($E147)),"Check estimate in hours",IF($E147&lt;0,"Check estimate in hours",IF($E147=0,"Unestimated","Estimated"))))))</x:f>
      </x:c>
    </x:row>
    <x:row r="148">
      <x:c r="A148" s="12"/>
      <x:c r="B148" s="12"/>
      <x:c r="C148" s="12"/>
      <x:c r="D148" s="12"/>
      <x:c r="E148" s="14"/>
      <x:c r="F148" s="13" t="str">
        <x:f>IF($A148="","",IF($D148&lt;&gt;'Team Setup'!$B$4,"Other sprint",IF($C148="","Unassigned",IF(OR(ISNUMBER(SEARCH(",",$C148)),ISNUMBER(SEARCH(";",$C148))),"Multiple assignees",IF(COUNTIF('Team Setup'!$B$10:$B$34,$C148)=1,"Matched","Unmatched")))))</x:f>
      </x:c>
      <x:c r="G148" s="13" t="str">
        <x:f>IF($A148="","",IF($D148&lt;&gt;'Team Setup'!$B$4,"Other sprint",IF($E148="","Unestimated",IF(NOT(ISNUMBER($E148)),"Check estimate in hours",IF($E148&lt;0,"Check estimate in hours",IF($E148=0,"Unestimated","Estimated"))))))</x:f>
      </x:c>
    </x:row>
    <x:row r="149">
      <x:c r="A149" s="12"/>
      <x:c r="B149" s="12"/>
      <x:c r="C149" s="12"/>
      <x:c r="D149" s="12"/>
      <x:c r="E149" s="14"/>
      <x:c r="F149" s="13" t="str">
        <x:f>IF($A149="","",IF($D149&lt;&gt;'Team Setup'!$B$4,"Other sprint",IF($C149="","Unassigned",IF(OR(ISNUMBER(SEARCH(",",$C149)),ISNUMBER(SEARCH(";",$C149))),"Multiple assignees",IF(COUNTIF('Team Setup'!$B$10:$B$34,$C149)=1,"Matched","Unmatched")))))</x:f>
      </x:c>
      <x:c r="G149" s="13" t="str">
        <x:f>IF($A149="","",IF($D149&lt;&gt;'Team Setup'!$B$4,"Other sprint",IF($E149="","Unestimated",IF(NOT(ISNUMBER($E149)),"Check estimate in hours",IF($E149&lt;0,"Check estimate in hours",IF($E149=0,"Unestimated","Estimated"))))))</x:f>
      </x:c>
    </x:row>
    <x:row r="150">
      <x:c r="A150" s="12"/>
      <x:c r="B150" s="12"/>
      <x:c r="C150" s="12"/>
      <x:c r="D150" s="12"/>
      <x:c r="E150" s="14"/>
      <x:c r="F150" s="13" t="str">
        <x:f>IF($A150="","",IF($D150&lt;&gt;'Team Setup'!$B$4,"Other sprint",IF($C150="","Unassigned",IF(OR(ISNUMBER(SEARCH(",",$C150)),ISNUMBER(SEARCH(";",$C150))),"Multiple assignees",IF(COUNTIF('Team Setup'!$B$10:$B$34,$C150)=1,"Matched","Unmatched")))))</x:f>
      </x:c>
      <x:c r="G150" s="13" t="str">
        <x:f>IF($A150="","",IF($D150&lt;&gt;'Team Setup'!$B$4,"Other sprint",IF($E150="","Unestimated",IF(NOT(ISNUMBER($E150)),"Check estimate in hours",IF($E150&lt;0,"Check estimate in hours",IF($E150=0,"Unestimated","Estimated"))))))</x:f>
      </x:c>
    </x:row>
    <x:row r="151">
      <x:c r="A151" s="12"/>
      <x:c r="B151" s="12"/>
      <x:c r="C151" s="12"/>
      <x:c r="D151" s="12"/>
      <x:c r="E151" s="14"/>
      <x:c r="F151" s="13" t="str">
        <x:f>IF($A151="","",IF($D151&lt;&gt;'Team Setup'!$B$4,"Other sprint",IF($C151="","Unassigned",IF(OR(ISNUMBER(SEARCH(",",$C151)),ISNUMBER(SEARCH(";",$C151))),"Multiple assignees",IF(COUNTIF('Team Setup'!$B$10:$B$34,$C151)=1,"Matched","Unmatched")))))</x:f>
      </x:c>
      <x:c r="G151" s="13" t="str">
        <x:f>IF($A151="","",IF($D151&lt;&gt;'Team Setup'!$B$4,"Other sprint",IF($E151="","Unestimated",IF(NOT(ISNUMBER($E151)),"Check estimate in hours",IF($E151&lt;0,"Check estimate in hours",IF($E151=0,"Unestimated","Estimated"))))))</x:f>
      </x:c>
    </x:row>
    <x:row r="152">
      <x:c r="A152" s="12"/>
      <x:c r="B152" s="12"/>
      <x:c r="C152" s="12"/>
      <x:c r="D152" s="12"/>
      <x:c r="E152" s="14"/>
      <x:c r="F152" s="13" t="str">
        <x:f>IF($A152="","",IF($D152&lt;&gt;'Team Setup'!$B$4,"Other sprint",IF($C152="","Unassigned",IF(OR(ISNUMBER(SEARCH(",",$C152)),ISNUMBER(SEARCH(";",$C152))),"Multiple assignees",IF(COUNTIF('Team Setup'!$B$10:$B$34,$C152)=1,"Matched","Unmatched")))))</x:f>
      </x:c>
      <x:c r="G152" s="13" t="str">
        <x:f>IF($A152="","",IF($D152&lt;&gt;'Team Setup'!$B$4,"Other sprint",IF($E152="","Unestimated",IF(NOT(ISNUMBER($E152)),"Check estimate in hours",IF($E152&lt;0,"Check estimate in hours",IF($E152=0,"Unestimated","Estimated"))))))</x:f>
      </x:c>
    </x:row>
    <x:row r="153">
      <x:c r="A153" s="12"/>
      <x:c r="B153" s="12"/>
      <x:c r="C153" s="12"/>
      <x:c r="D153" s="12"/>
      <x:c r="E153" s="14"/>
      <x:c r="F153" s="13" t="str">
        <x:f>IF($A153="","",IF($D153&lt;&gt;'Team Setup'!$B$4,"Other sprint",IF($C153="","Unassigned",IF(OR(ISNUMBER(SEARCH(",",$C153)),ISNUMBER(SEARCH(";",$C153))),"Multiple assignees",IF(COUNTIF('Team Setup'!$B$10:$B$34,$C153)=1,"Matched","Unmatched")))))</x:f>
      </x:c>
      <x:c r="G153" s="13" t="str">
        <x:f>IF($A153="","",IF($D153&lt;&gt;'Team Setup'!$B$4,"Other sprint",IF($E153="","Unestimated",IF(NOT(ISNUMBER($E153)),"Check estimate in hours",IF($E153&lt;0,"Check estimate in hours",IF($E153=0,"Unestimated","Estimated"))))))</x:f>
      </x:c>
    </x:row>
    <x:row r="154">
      <x:c r="A154" s="12"/>
      <x:c r="B154" s="12"/>
      <x:c r="C154" s="12"/>
      <x:c r="D154" s="12"/>
      <x:c r="E154" s="14"/>
      <x:c r="F154" s="13" t="str">
        <x:f>IF($A154="","",IF($D154&lt;&gt;'Team Setup'!$B$4,"Other sprint",IF($C154="","Unassigned",IF(OR(ISNUMBER(SEARCH(",",$C154)),ISNUMBER(SEARCH(";",$C154))),"Multiple assignees",IF(COUNTIF('Team Setup'!$B$10:$B$34,$C154)=1,"Matched","Unmatched")))))</x:f>
      </x:c>
      <x:c r="G154" s="13" t="str">
        <x:f>IF($A154="","",IF($D154&lt;&gt;'Team Setup'!$B$4,"Other sprint",IF($E154="","Unestimated",IF(NOT(ISNUMBER($E154)),"Check estimate in hours",IF($E154&lt;0,"Check estimate in hours",IF($E154=0,"Unestimated","Estimated"))))))</x:f>
      </x:c>
    </x:row>
    <x:row r="155">
      <x:c r="A155" s="12"/>
      <x:c r="B155" s="12"/>
      <x:c r="C155" s="12"/>
      <x:c r="D155" s="12"/>
      <x:c r="E155" s="14"/>
      <x:c r="F155" s="13" t="str">
        <x:f>IF($A155="","",IF($D155&lt;&gt;'Team Setup'!$B$4,"Other sprint",IF($C155="","Unassigned",IF(OR(ISNUMBER(SEARCH(",",$C155)),ISNUMBER(SEARCH(";",$C155))),"Multiple assignees",IF(COUNTIF('Team Setup'!$B$10:$B$34,$C155)=1,"Matched","Unmatched")))))</x:f>
      </x:c>
      <x:c r="G155" s="13" t="str">
        <x:f>IF($A155="","",IF($D155&lt;&gt;'Team Setup'!$B$4,"Other sprint",IF($E155="","Unestimated",IF(NOT(ISNUMBER($E155)),"Check estimate in hours",IF($E155&lt;0,"Check estimate in hours",IF($E155=0,"Unestimated","Estimated"))))))</x:f>
      </x:c>
    </x:row>
    <x:row r="156">
      <x:c r="A156" s="12"/>
      <x:c r="B156" s="12"/>
      <x:c r="C156" s="12"/>
      <x:c r="D156" s="12"/>
      <x:c r="E156" s="14"/>
      <x:c r="F156" s="13" t="str">
        <x:f>IF($A156="","",IF($D156&lt;&gt;'Team Setup'!$B$4,"Other sprint",IF($C156="","Unassigned",IF(OR(ISNUMBER(SEARCH(",",$C156)),ISNUMBER(SEARCH(";",$C156))),"Multiple assignees",IF(COUNTIF('Team Setup'!$B$10:$B$34,$C156)=1,"Matched","Unmatched")))))</x:f>
      </x:c>
      <x:c r="G156" s="13" t="str">
        <x:f>IF($A156="","",IF($D156&lt;&gt;'Team Setup'!$B$4,"Other sprint",IF($E156="","Unestimated",IF(NOT(ISNUMBER($E156)),"Check estimate in hours",IF($E156&lt;0,"Check estimate in hours",IF($E156=0,"Unestimated","Estimated"))))))</x:f>
      </x:c>
    </x:row>
    <x:row r="157">
      <x:c r="A157" s="12"/>
      <x:c r="B157" s="12"/>
      <x:c r="C157" s="12"/>
      <x:c r="D157" s="12"/>
      <x:c r="E157" s="14"/>
      <x:c r="F157" s="13" t="str">
        <x:f>IF($A157="","",IF($D157&lt;&gt;'Team Setup'!$B$4,"Other sprint",IF($C157="","Unassigned",IF(OR(ISNUMBER(SEARCH(",",$C157)),ISNUMBER(SEARCH(";",$C157))),"Multiple assignees",IF(COUNTIF('Team Setup'!$B$10:$B$34,$C157)=1,"Matched","Unmatched")))))</x:f>
      </x:c>
      <x:c r="G157" s="13" t="str">
        <x:f>IF($A157="","",IF($D157&lt;&gt;'Team Setup'!$B$4,"Other sprint",IF($E157="","Unestimated",IF(NOT(ISNUMBER($E157)),"Check estimate in hours",IF($E157&lt;0,"Check estimate in hours",IF($E157=0,"Unestimated","Estimated"))))))</x:f>
      </x:c>
    </x:row>
    <x:row r="158">
      <x:c r="A158" s="12"/>
      <x:c r="B158" s="12"/>
      <x:c r="C158" s="12"/>
      <x:c r="D158" s="12"/>
      <x:c r="E158" s="14"/>
      <x:c r="F158" s="13" t="str">
        <x:f>IF($A158="","",IF($D158&lt;&gt;'Team Setup'!$B$4,"Other sprint",IF($C158="","Unassigned",IF(OR(ISNUMBER(SEARCH(",",$C158)),ISNUMBER(SEARCH(";",$C158))),"Multiple assignees",IF(COUNTIF('Team Setup'!$B$10:$B$34,$C158)=1,"Matched","Unmatched")))))</x:f>
      </x:c>
      <x:c r="G158" s="13" t="str">
        <x:f>IF($A158="","",IF($D158&lt;&gt;'Team Setup'!$B$4,"Other sprint",IF($E158="","Unestimated",IF(NOT(ISNUMBER($E158)),"Check estimate in hours",IF($E158&lt;0,"Check estimate in hours",IF($E158=0,"Unestimated","Estimated"))))))</x:f>
      </x:c>
    </x:row>
    <x:row r="159">
      <x:c r="A159" s="12"/>
      <x:c r="B159" s="12"/>
      <x:c r="C159" s="12"/>
      <x:c r="D159" s="12"/>
      <x:c r="E159" s="14"/>
      <x:c r="F159" s="13" t="str">
        <x:f>IF($A159="","",IF($D159&lt;&gt;'Team Setup'!$B$4,"Other sprint",IF($C159="","Unassigned",IF(OR(ISNUMBER(SEARCH(",",$C159)),ISNUMBER(SEARCH(";",$C159))),"Multiple assignees",IF(COUNTIF('Team Setup'!$B$10:$B$34,$C159)=1,"Matched","Unmatched")))))</x:f>
      </x:c>
      <x:c r="G159" s="13" t="str">
        <x:f>IF($A159="","",IF($D159&lt;&gt;'Team Setup'!$B$4,"Other sprint",IF($E159="","Unestimated",IF(NOT(ISNUMBER($E159)),"Check estimate in hours",IF($E159&lt;0,"Check estimate in hours",IF($E159=0,"Unestimated","Estimated"))))))</x:f>
      </x:c>
    </x:row>
    <x:row r="160">
      <x:c r="A160" s="12"/>
      <x:c r="B160" s="12"/>
      <x:c r="C160" s="12"/>
      <x:c r="D160" s="12"/>
      <x:c r="E160" s="14"/>
      <x:c r="F160" s="13" t="str">
        <x:f>IF($A160="","",IF($D160&lt;&gt;'Team Setup'!$B$4,"Other sprint",IF($C160="","Unassigned",IF(OR(ISNUMBER(SEARCH(",",$C160)),ISNUMBER(SEARCH(";",$C160))),"Multiple assignees",IF(COUNTIF('Team Setup'!$B$10:$B$34,$C160)=1,"Matched","Unmatched")))))</x:f>
      </x:c>
      <x:c r="G160" s="13" t="str">
        <x:f>IF($A160="","",IF($D160&lt;&gt;'Team Setup'!$B$4,"Other sprint",IF($E160="","Unestimated",IF(NOT(ISNUMBER($E160)),"Check estimate in hours",IF($E160&lt;0,"Check estimate in hours",IF($E160=0,"Unestimated","Estimated"))))))</x:f>
      </x:c>
    </x:row>
    <x:row r="161">
      <x:c r="A161" s="12"/>
      <x:c r="B161" s="12"/>
      <x:c r="C161" s="12"/>
      <x:c r="D161" s="12"/>
      <x:c r="E161" s="14"/>
      <x:c r="F161" s="13" t="str">
        <x:f>IF($A161="","",IF($D161&lt;&gt;'Team Setup'!$B$4,"Other sprint",IF($C161="","Unassigned",IF(OR(ISNUMBER(SEARCH(",",$C161)),ISNUMBER(SEARCH(";",$C161))),"Multiple assignees",IF(COUNTIF('Team Setup'!$B$10:$B$34,$C161)=1,"Matched","Unmatched")))))</x:f>
      </x:c>
      <x:c r="G161" s="13" t="str">
        <x:f>IF($A161="","",IF($D161&lt;&gt;'Team Setup'!$B$4,"Other sprint",IF($E161="","Unestimated",IF(NOT(ISNUMBER($E161)),"Check estimate in hours",IF($E161&lt;0,"Check estimate in hours",IF($E161=0,"Unestimated","Estimated"))))))</x:f>
      </x:c>
    </x:row>
    <x:row r="162">
      <x:c r="A162" s="12"/>
      <x:c r="B162" s="12"/>
      <x:c r="C162" s="12"/>
      <x:c r="D162" s="12"/>
      <x:c r="E162" s="14"/>
      <x:c r="F162" s="13" t="str">
        <x:f>IF($A162="","",IF($D162&lt;&gt;'Team Setup'!$B$4,"Other sprint",IF($C162="","Unassigned",IF(OR(ISNUMBER(SEARCH(",",$C162)),ISNUMBER(SEARCH(";",$C162))),"Multiple assignees",IF(COUNTIF('Team Setup'!$B$10:$B$34,$C162)=1,"Matched","Unmatched")))))</x:f>
      </x:c>
      <x:c r="G162" s="13" t="str">
        <x:f>IF($A162="","",IF($D162&lt;&gt;'Team Setup'!$B$4,"Other sprint",IF($E162="","Unestimated",IF(NOT(ISNUMBER($E162)),"Check estimate in hours",IF($E162&lt;0,"Check estimate in hours",IF($E162=0,"Unestimated","Estimated"))))))</x:f>
      </x:c>
    </x:row>
    <x:row r="163">
      <x:c r="A163" s="12"/>
      <x:c r="B163" s="12"/>
      <x:c r="C163" s="12"/>
      <x:c r="D163" s="12"/>
      <x:c r="E163" s="14"/>
      <x:c r="F163" s="13" t="str">
        <x:f>IF($A163="","",IF($D163&lt;&gt;'Team Setup'!$B$4,"Other sprint",IF($C163="","Unassigned",IF(OR(ISNUMBER(SEARCH(",",$C163)),ISNUMBER(SEARCH(";",$C163))),"Multiple assignees",IF(COUNTIF('Team Setup'!$B$10:$B$34,$C163)=1,"Matched","Unmatched")))))</x:f>
      </x:c>
      <x:c r="G163" s="13" t="str">
        <x:f>IF($A163="","",IF($D163&lt;&gt;'Team Setup'!$B$4,"Other sprint",IF($E163="","Unestimated",IF(NOT(ISNUMBER($E163)),"Check estimate in hours",IF($E163&lt;0,"Check estimate in hours",IF($E163=0,"Unestimated","Estimated"))))))</x:f>
      </x:c>
    </x:row>
    <x:row r="164">
      <x:c r="A164" s="12"/>
      <x:c r="B164" s="12"/>
      <x:c r="C164" s="12"/>
      <x:c r="D164" s="12"/>
      <x:c r="E164" s="14"/>
      <x:c r="F164" s="13" t="str">
        <x:f>IF($A164="","",IF($D164&lt;&gt;'Team Setup'!$B$4,"Other sprint",IF($C164="","Unassigned",IF(OR(ISNUMBER(SEARCH(",",$C164)),ISNUMBER(SEARCH(";",$C164))),"Multiple assignees",IF(COUNTIF('Team Setup'!$B$10:$B$34,$C164)=1,"Matched","Unmatched")))))</x:f>
      </x:c>
      <x:c r="G164" s="13" t="str">
        <x:f>IF($A164="","",IF($D164&lt;&gt;'Team Setup'!$B$4,"Other sprint",IF($E164="","Unestimated",IF(NOT(ISNUMBER($E164)),"Check estimate in hours",IF($E164&lt;0,"Check estimate in hours",IF($E164=0,"Unestimated","Estimated"))))))</x:f>
      </x:c>
    </x:row>
    <x:row r="165">
      <x:c r="A165" s="12"/>
      <x:c r="B165" s="12"/>
      <x:c r="C165" s="12"/>
      <x:c r="D165" s="12"/>
      <x:c r="E165" s="14"/>
      <x:c r="F165" s="13" t="str">
        <x:f>IF($A165="","",IF($D165&lt;&gt;'Team Setup'!$B$4,"Other sprint",IF($C165="","Unassigned",IF(OR(ISNUMBER(SEARCH(",",$C165)),ISNUMBER(SEARCH(";",$C165))),"Multiple assignees",IF(COUNTIF('Team Setup'!$B$10:$B$34,$C165)=1,"Matched","Unmatched")))))</x:f>
      </x:c>
      <x:c r="G165" s="13" t="str">
        <x:f>IF($A165="","",IF($D165&lt;&gt;'Team Setup'!$B$4,"Other sprint",IF($E165="","Unestimated",IF(NOT(ISNUMBER($E165)),"Check estimate in hours",IF($E165&lt;0,"Check estimate in hours",IF($E165=0,"Unestimated","Estimated"))))))</x:f>
      </x:c>
    </x:row>
    <x:row r="166">
      <x:c r="A166" s="12"/>
      <x:c r="B166" s="12"/>
      <x:c r="C166" s="12"/>
      <x:c r="D166" s="12"/>
      <x:c r="E166" s="14"/>
      <x:c r="F166" s="13" t="str">
        <x:f>IF($A166="","",IF($D166&lt;&gt;'Team Setup'!$B$4,"Other sprint",IF($C166="","Unassigned",IF(OR(ISNUMBER(SEARCH(",",$C166)),ISNUMBER(SEARCH(";",$C166))),"Multiple assignees",IF(COUNTIF('Team Setup'!$B$10:$B$34,$C166)=1,"Matched","Unmatched")))))</x:f>
      </x:c>
      <x:c r="G166" s="13" t="str">
        <x:f>IF($A166="","",IF($D166&lt;&gt;'Team Setup'!$B$4,"Other sprint",IF($E166="","Unestimated",IF(NOT(ISNUMBER($E166)),"Check estimate in hours",IF($E166&lt;0,"Check estimate in hours",IF($E166=0,"Unestimated","Estimated"))))))</x:f>
      </x:c>
    </x:row>
    <x:row r="167">
      <x:c r="A167" s="12"/>
      <x:c r="B167" s="12"/>
      <x:c r="C167" s="12"/>
      <x:c r="D167" s="12"/>
      <x:c r="E167" s="14"/>
      <x:c r="F167" s="13" t="str">
        <x:f>IF($A167="","",IF($D167&lt;&gt;'Team Setup'!$B$4,"Other sprint",IF($C167="","Unassigned",IF(OR(ISNUMBER(SEARCH(",",$C167)),ISNUMBER(SEARCH(";",$C167))),"Multiple assignees",IF(COUNTIF('Team Setup'!$B$10:$B$34,$C167)=1,"Matched","Unmatched")))))</x:f>
      </x:c>
      <x:c r="G167" s="13" t="str">
        <x:f>IF($A167="","",IF($D167&lt;&gt;'Team Setup'!$B$4,"Other sprint",IF($E167="","Unestimated",IF(NOT(ISNUMBER($E167)),"Check estimate in hours",IF($E167&lt;0,"Check estimate in hours",IF($E167=0,"Unestimated","Estimated"))))))</x:f>
      </x:c>
    </x:row>
    <x:row r="168">
      <x:c r="A168" s="12"/>
      <x:c r="B168" s="12"/>
      <x:c r="C168" s="12"/>
      <x:c r="D168" s="12"/>
      <x:c r="E168" s="14"/>
      <x:c r="F168" s="13" t="str">
        <x:f>IF($A168="","",IF($D168&lt;&gt;'Team Setup'!$B$4,"Other sprint",IF($C168="","Unassigned",IF(OR(ISNUMBER(SEARCH(",",$C168)),ISNUMBER(SEARCH(";",$C168))),"Multiple assignees",IF(COUNTIF('Team Setup'!$B$10:$B$34,$C168)=1,"Matched","Unmatched")))))</x:f>
      </x:c>
      <x:c r="G168" s="13" t="str">
        <x:f>IF($A168="","",IF($D168&lt;&gt;'Team Setup'!$B$4,"Other sprint",IF($E168="","Unestimated",IF(NOT(ISNUMBER($E168)),"Check estimate in hours",IF($E168&lt;0,"Check estimate in hours",IF($E168=0,"Unestimated","Estimated"))))))</x:f>
      </x:c>
    </x:row>
    <x:row r="169">
      <x:c r="A169" s="12"/>
      <x:c r="B169" s="12"/>
      <x:c r="C169" s="12"/>
      <x:c r="D169" s="12"/>
      <x:c r="E169" s="14"/>
      <x:c r="F169" s="13" t="str">
        <x:f>IF($A169="","",IF($D169&lt;&gt;'Team Setup'!$B$4,"Other sprint",IF($C169="","Unassigned",IF(OR(ISNUMBER(SEARCH(",",$C169)),ISNUMBER(SEARCH(";",$C169))),"Multiple assignees",IF(COUNTIF('Team Setup'!$B$10:$B$34,$C169)=1,"Matched","Unmatched")))))</x:f>
      </x:c>
      <x:c r="G169" s="13" t="str">
        <x:f>IF($A169="","",IF($D169&lt;&gt;'Team Setup'!$B$4,"Other sprint",IF($E169="","Unestimated",IF(NOT(ISNUMBER($E169)),"Check estimate in hours",IF($E169&lt;0,"Check estimate in hours",IF($E169=0,"Unestimated","Estimated"))))))</x:f>
      </x:c>
    </x:row>
    <x:row r="170">
      <x:c r="A170" s="12"/>
      <x:c r="B170" s="12"/>
      <x:c r="C170" s="12"/>
      <x:c r="D170" s="12"/>
      <x:c r="E170" s="14"/>
      <x:c r="F170" s="13" t="str">
        <x:f>IF($A170="","",IF($D170&lt;&gt;'Team Setup'!$B$4,"Other sprint",IF($C170="","Unassigned",IF(OR(ISNUMBER(SEARCH(",",$C170)),ISNUMBER(SEARCH(";",$C170))),"Multiple assignees",IF(COUNTIF('Team Setup'!$B$10:$B$34,$C170)=1,"Matched","Unmatched")))))</x:f>
      </x:c>
      <x:c r="G170" s="13" t="str">
        <x:f>IF($A170="","",IF($D170&lt;&gt;'Team Setup'!$B$4,"Other sprint",IF($E170="","Unestimated",IF(NOT(ISNUMBER($E170)),"Check estimate in hours",IF($E170&lt;0,"Check estimate in hours",IF($E170=0,"Unestimated","Estimated"))))))</x:f>
      </x:c>
    </x:row>
    <x:row r="171">
      <x:c r="A171" s="12"/>
      <x:c r="B171" s="12"/>
      <x:c r="C171" s="12"/>
      <x:c r="D171" s="12"/>
      <x:c r="E171" s="14"/>
      <x:c r="F171" s="13" t="str">
        <x:f>IF($A171="","",IF($D171&lt;&gt;'Team Setup'!$B$4,"Other sprint",IF($C171="","Unassigned",IF(OR(ISNUMBER(SEARCH(",",$C171)),ISNUMBER(SEARCH(";",$C171))),"Multiple assignees",IF(COUNTIF('Team Setup'!$B$10:$B$34,$C171)=1,"Matched","Unmatched")))))</x:f>
      </x:c>
      <x:c r="G171" s="13" t="str">
        <x:f>IF($A171="","",IF($D171&lt;&gt;'Team Setup'!$B$4,"Other sprint",IF($E171="","Unestimated",IF(NOT(ISNUMBER($E171)),"Check estimate in hours",IF($E171&lt;0,"Check estimate in hours",IF($E171=0,"Unestimated","Estimated"))))))</x:f>
      </x:c>
    </x:row>
    <x:row r="172">
      <x:c r="A172" s="12"/>
      <x:c r="B172" s="12"/>
      <x:c r="C172" s="12"/>
      <x:c r="D172" s="12"/>
      <x:c r="E172" s="14"/>
      <x:c r="F172" s="13" t="str">
        <x:f>IF($A172="","",IF($D172&lt;&gt;'Team Setup'!$B$4,"Other sprint",IF($C172="","Unassigned",IF(OR(ISNUMBER(SEARCH(",",$C172)),ISNUMBER(SEARCH(";",$C172))),"Multiple assignees",IF(COUNTIF('Team Setup'!$B$10:$B$34,$C172)=1,"Matched","Unmatched")))))</x:f>
      </x:c>
      <x:c r="G172" s="13" t="str">
        <x:f>IF($A172="","",IF($D172&lt;&gt;'Team Setup'!$B$4,"Other sprint",IF($E172="","Unestimated",IF(NOT(ISNUMBER($E172)),"Check estimate in hours",IF($E172&lt;0,"Check estimate in hours",IF($E172=0,"Unestimated","Estimated"))))))</x:f>
      </x:c>
    </x:row>
    <x:row r="173">
      <x:c r="A173" s="12"/>
      <x:c r="B173" s="12"/>
      <x:c r="C173" s="12"/>
      <x:c r="D173" s="12"/>
      <x:c r="E173" s="14"/>
      <x:c r="F173" s="13" t="str">
        <x:f>IF($A173="","",IF($D173&lt;&gt;'Team Setup'!$B$4,"Other sprint",IF($C173="","Unassigned",IF(OR(ISNUMBER(SEARCH(",",$C173)),ISNUMBER(SEARCH(";",$C173))),"Multiple assignees",IF(COUNTIF('Team Setup'!$B$10:$B$34,$C173)=1,"Matched","Unmatched")))))</x:f>
      </x:c>
      <x:c r="G173" s="13" t="str">
        <x:f>IF($A173="","",IF($D173&lt;&gt;'Team Setup'!$B$4,"Other sprint",IF($E173="","Unestimated",IF(NOT(ISNUMBER($E173)),"Check estimate in hours",IF($E173&lt;0,"Check estimate in hours",IF($E173=0,"Unestimated","Estimated"))))))</x:f>
      </x:c>
    </x:row>
    <x:row r="174">
      <x:c r="A174" s="12"/>
      <x:c r="B174" s="12"/>
      <x:c r="C174" s="12"/>
      <x:c r="D174" s="12"/>
      <x:c r="E174" s="14"/>
      <x:c r="F174" s="13" t="str">
        <x:f>IF($A174="","",IF($D174&lt;&gt;'Team Setup'!$B$4,"Other sprint",IF($C174="","Unassigned",IF(OR(ISNUMBER(SEARCH(",",$C174)),ISNUMBER(SEARCH(";",$C174))),"Multiple assignees",IF(COUNTIF('Team Setup'!$B$10:$B$34,$C174)=1,"Matched","Unmatched")))))</x:f>
      </x:c>
      <x:c r="G174" s="13" t="str">
        <x:f>IF($A174="","",IF($D174&lt;&gt;'Team Setup'!$B$4,"Other sprint",IF($E174="","Unestimated",IF(NOT(ISNUMBER($E174)),"Check estimate in hours",IF($E174&lt;0,"Check estimate in hours",IF($E174=0,"Unestimated","Estimated"))))))</x:f>
      </x:c>
    </x:row>
    <x:row r="175">
      <x:c r="A175" s="12"/>
      <x:c r="B175" s="12"/>
      <x:c r="C175" s="12"/>
      <x:c r="D175" s="12"/>
      <x:c r="E175" s="14"/>
      <x:c r="F175" s="13" t="str">
        <x:f>IF($A175="","",IF($D175&lt;&gt;'Team Setup'!$B$4,"Other sprint",IF($C175="","Unassigned",IF(OR(ISNUMBER(SEARCH(",",$C175)),ISNUMBER(SEARCH(";",$C175))),"Multiple assignees",IF(COUNTIF('Team Setup'!$B$10:$B$34,$C175)=1,"Matched","Unmatched")))))</x:f>
      </x:c>
      <x:c r="G175" s="13" t="str">
        <x:f>IF($A175="","",IF($D175&lt;&gt;'Team Setup'!$B$4,"Other sprint",IF($E175="","Unestimated",IF(NOT(ISNUMBER($E175)),"Check estimate in hours",IF($E175&lt;0,"Check estimate in hours",IF($E175=0,"Unestimated","Estimated"))))))</x:f>
      </x:c>
    </x:row>
    <x:row r="176">
      <x:c r="A176" s="12"/>
      <x:c r="B176" s="12"/>
      <x:c r="C176" s="12"/>
      <x:c r="D176" s="12"/>
      <x:c r="E176" s="14"/>
      <x:c r="F176" s="13" t="str">
        <x:f>IF($A176="","",IF($D176&lt;&gt;'Team Setup'!$B$4,"Other sprint",IF($C176="","Unassigned",IF(OR(ISNUMBER(SEARCH(",",$C176)),ISNUMBER(SEARCH(";",$C176))),"Multiple assignees",IF(COUNTIF('Team Setup'!$B$10:$B$34,$C176)=1,"Matched","Unmatched")))))</x:f>
      </x:c>
      <x:c r="G176" s="13" t="str">
        <x:f>IF($A176="","",IF($D176&lt;&gt;'Team Setup'!$B$4,"Other sprint",IF($E176="","Unestimated",IF(NOT(ISNUMBER($E176)),"Check estimate in hours",IF($E176&lt;0,"Check estimate in hours",IF($E176=0,"Unestimated","Estimated"))))))</x:f>
      </x:c>
    </x:row>
    <x:row r="177">
      <x:c r="A177" s="12"/>
      <x:c r="B177" s="12"/>
      <x:c r="C177" s="12"/>
      <x:c r="D177" s="12"/>
      <x:c r="E177" s="14"/>
      <x:c r="F177" s="13" t="str">
        <x:f>IF($A177="","",IF($D177&lt;&gt;'Team Setup'!$B$4,"Other sprint",IF($C177="","Unassigned",IF(OR(ISNUMBER(SEARCH(",",$C177)),ISNUMBER(SEARCH(";",$C177))),"Multiple assignees",IF(COUNTIF('Team Setup'!$B$10:$B$34,$C177)=1,"Matched","Unmatched")))))</x:f>
      </x:c>
      <x:c r="G177" s="13" t="str">
        <x:f>IF($A177="","",IF($D177&lt;&gt;'Team Setup'!$B$4,"Other sprint",IF($E177="","Unestimated",IF(NOT(ISNUMBER($E177)),"Check estimate in hours",IF($E177&lt;0,"Check estimate in hours",IF($E177=0,"Unestimated","Estimated"))))))</x:f>
      </x:c>
    </x:row>
    <x:row r="178">
      <x:c r="A178" s="12"/>
      <x:c r="B178" s="12"/>
      <x:c r="C178" s="12"/>
      <x:c r="D178" s="12"/>
      <x:c r="E178" s="14"/>
      <x:c r="F178" s="13" t="str">
        <x:f>IF($A178="","",IF($D178&lt;&gt;'Team Setup'!$B$4,"Other sprint",IF($C178="","Unassigned",IF(OR(ISNUMBER(SEARCH(",",$C178)),ISNUMBER(SEARCH(";",$C178))),"Multiple assignees",IF(COUNTIF('Team Setup'!$B$10:$B$34,$C178)=1,"Matched","Unmatched")))))</x:f>
      </x:c>
      <x:c r="G178" s="13" t="str">
        <x:f>IF($A178="","",IF($D178&lt;&gt;'Team Setup'!$B$4,"Other sprint",IF($E178="","Unestimated",IF(NOT(ISNUMBER($E178)),"Check estimate in hours",IF($E178&lt;0,"Check estimate in hours",IF($E178=0,"Unestimated","Estimated"))))))</x:f>
      </x:c>
    </x:row>
    <x:row r="179">
      <x:c r="A179" s="12"/>
      <x:c r="B179" s="12"/>
      <x:c r="C179" s="12"/>
      <x:c r="D179" s="12"/>
      <x:c r="E179" s="14"/>
      <x:c r="F179" s="13" t="str">
        <x:f>IF($A179="","",IF($D179&lt;&gt;'Team Setup'!$B$4,"Other sprint",IF($C179="","Unassigned",IF(OR(ISNUMBER(SEARCH(",",$C179)),ISNUMBER(SEARCH(";",$C179))),"Multiple assignees",IF(COUNTIF('Team Setup'!$B$10:$B$34,$C179)=1,"Matched","Unmatched")))))</x:f>
      </x:c>
      <x:c r="G179" s="13" t="str">
        <x:f>IF($A179="","",IF($D179&lt;&gt;'Team Setup'!$B$4,"Other sprint",IF($E179="","Unestimated",IF(NOT(ISNUMBER($E179)),"Check estimate in hours",IF($E179&lt;0,"Check estimate in hours",IF($E179=0,"Unestimated","Estimated"))))))</x:f>
      </x:c>
    </x:row>
    <x:row r="180">
      <x:c r="A180" s="12"/>
      <x:c r="B180" s="12"/>
      <x:c r="C180" s="12"/>
      <x:c r="D180" s="12"/>
      <x:c r="E180" s="14"/>
      <x:c r="F180" s="13" t="str">
        <x:f>IF($A180="","",IF($D180&lt;&gt;'Team Setup'!$B$4,"Other sprint",IF($C180="","Unassigned",IF(OR(ISNUMBER(SEARCH(",",$C180)),ISNUMBER(SEARCH(";",$C180))),"Multiple assignees",IF(COUNTIF('Team Setup'!$B$10:$B$34,$C180)=1,"Matched","Unmatched")))))</x:f>
      </x:c>
      <x:c r="G180" s="13" t="str">
        <x:f>IF($A180="","",IF($D180&lt;&gt;'Team Setup'!$B$4,"Other sprint",IF($E180="","Unestimated",IF(NOT(ISNUMBER($E180)),"Check estimate in hours",IF($E180&lt;0,"Check estimate in hours",IF($E180=0,"Unestimated","Estimated"))))))</x:f>
      </x:c>
    </x:row>
    <x:row r="181">
      <x:c r="A181" s="12"/>
      <x:c r="B181" s="12"/>
      <x:c r="C181" s="12"/>
      <x:c r="D181" s="12"/>
      <x:c r="E181" s="14"/>
      <x:c r="F181" s="13" t="str">
        <x:f>IF($A181="","",IF($D181&lt;&gt;'Team Setup'!$B$4,"Other sprint",IF($C181="","Unassigned",IF(OR(ISNUMBER(SEARCH(",",$C181)),ISNUMBER(SEARCH(";",$C181))),"Multiple assignees",IF(COUNTIF('Team Setup'!$B$10:$B$34,$C181)=1,"Matched","Unmatched")))))</x:f>
      </x:c>
      <x:c r="G181" s="13" t="str">
        <x:f>IF($A181="","",IF($D181&lt;&gt;'Team Setup'!$B$4,"Other sprint",IF($E181="","Unestimated",IF(NOT(ISNUMBER($E181)),"Check estimate in hours",IF($E181&lt;0,"Check estimate in hours",IF($E181=0,"Unestimated","Estimated"))))))</x:f>
      </x:c>
    </x:row>
    <x:row r="182">
      <x:c r="A182" s="12"/>
      <x:c r="B182" s="12"/>
      <x:c r="C182" s="12"/>
      <x:c r="D182" s="12"/>
      <x:c r="E182" s="14"/>
      <x:c r="F182" s="13" t="str">
        <x:f>IF($A182="","",IF($D182&lt;&gt;'Team Setup'!$B$4,"Other sprint",IF($C182="","Unassigned",IF(OR(ISNUMBER(SEARCH(",",$C182)),ISNUMBER(SEARCH(";",$C182))),"Multiple assignees",IF(COUNTIF('Team Setup'!$B$10:$B$34,$C182)=1,"Matched","Unmatched")))))</x:f>
      </x:c>
      <x:c r="G182" s="13" t="str">
        <x:f>IF($A182="","",IF($D182&lt;&gt;'Team Setup'!$B$4,"Other sprint",IF($E182="","Unestimated",IF(NOT(ISNUMBER($E182)),"Check estimate in hours",IF($E182&lt;0,"Check estimate in hours",IF($E182=0,"Unestimated","Estimated"))))))</x:f>
      </x:c>
    </x:row>
    <x:row r="183">
      <x:c r="A183" s="12"/>
      <x:c r="B183" s="12"/>
      <x:c r="C183" s="12"/>
      <x:c r="D183" s="12"/>
      <x:c r="E183" s="14"/>
      <x:c r="F183" s="13" t="str">
        <x:f>IF($A183="","",IF($D183&lt;&gt;'Team Setup'!$B$4,"Other sprint",IF($C183="","Unassigned",IF(OR(ISNUMBER(SEARCH(",",$C183)),ISNUMBER(SEARCH(";",$C183))),"Multiple assignees",IF(COUNTIF('Team Setup'!$B$10:$B$34,$C183)=1,"Matched","Unmatched")))))</x:f>
      </x:c>
      <x:c r="G183" s="13" t="str">
        <x:f>IF($A183="","",IF($D183&lt;&gt;'Team Setup'!$B$4,"Other sprint",IF($E183="","Unestimated",IF(NOT(ISNUMBER($E183)),"Check estimate in hours",IF($E183&lt;0,"Check estimate in hours",IF($E183=0,"Unestimated","Estimated"))))))</x:f>
      </x:c>
    </x:row>
    <x:row r="184">
      <x:c r="A184" s="12"/>
      <x:c r="B184" s="12"/>
      <x:c r="C184" s="12"/>
      <x:c r="D184" s="12"/>
      <x:c r="E184" s="14"/>
      <x:c r="F184" s="13" t="str">
        <x:f>IF($A184="","",IF($D184&lt;&gt;'Team Setup'!$B$4,"Other sprint",IF($C184="","Unassigned",IF(OR(ISNUMBER(SEARCH(",",$C184)),ISNUMBER(SEARCH(";",$C184))),"Multiple assignees",IF(COUNTIF('Team Setup'!$B$10:$B$34,$C184)=1,"Matched","Unmatched")))))</x:f>
      </x:c>
      <x:c r="G184" s="13" t="str">
        <x:f>IF($A184="","",IF($D184&lt;&gt;'Team Setup'!$B$4,"Other sprint",IF($E184="","Unestimated",IF(NOT(ISNUMBER($E184)),"Check estimate in hours",IF($E184&lt;0,"Check estimate in hours",IF($E184=0,"Unestimated","Estimated"))))))</x:f>
      </x:c>
    </x:row>
    <x:row r="185">
      <x:c r="A185" s="12"/>
      <x:c r="B185" s="12"/>
      <x:c r="C185" s="12"/>
      <x:c r="D185" s="12"/>
      <x:c r="E185" s="14"/>
      <x:c r="F185" s="13" t="str">
        <x:f>IF($A185="","",IF($D185&lt;&gt;'Team Setup'!$B$4,"Other sprint",IF($C185="","Unassigned",IF(OR(ISNUMBER(SEARCH(",",$C185)),ISNUMBER(SEARCH(";",$C185))),"Multiple assignees",IF(COUNTIF('Team Setup'!$B$10:$B$34,$C185)=1,"Matched","Unmatched")))))</x:f>
      </x:c>
      <x:c r="G185" s="13" t="str">
        <x:f>IF($A185="","",IF($D185&lt;&gt;'Team Setup'!$B$4,"Other sprint",IF($E185="","Unestimated",IF(NOT(ISNUMBER($E185)),"Check estimate in hours",IF($E185&lt;0,"Check estimate in hours",IF($E185=0,"Unestimated","Estimated"))))))</x:f>
      </x:c>
    </x:row>
    <x:row r="186">
      <x:c r="A186" s="12"/>
      <x:c r="B186" s="12"/>
      <x:c r="C186" s="12"/>
      <x:c r="D186" s="12"/>
      <x:c r="E186" s="14"/>
      <x:c r="F186" s="13" t="str">
        <x:f>IF($A186="","",IF($D186&lt;&gt;'Team Setup'!$B$4,"Other sprint",IF($C186="","Unassigned",IF(OR(ISNUMBER(SEARCH(",",$C186)),ISNUMBER(SEARCH(";",$C186))),"Multiple assignees",IF(COUNTIF('Team Setup'!$B$10:$B$34,$C186)=1,"Matched","Unmatched")))))</x:f>
      </x:c>
      <x:c r="G186" s="13" t="str">
        <x:f>IF($A186="","",IF($D186&lt;&gt;'Team Setup'!$B$4,"Other sprint",IF($E186="","Unestimated",IF(NOT(ISNUMBER($E186)),"Check estimate in hours",IF($E186&lt;0,"Check estimate in hours",IF($E186=0,"Unestimated","Estimated"))))))</x:f>
      </x:c>
    </x:row>
    <x:row r="187">
      <x:c r="A187" s="12"/>
      <x:c r="B187" s="12"/>
      <x:c r="C187" s="12"/>
      <x:c r="D187" s="12"/>
      <x:c r="E187" s="14"/>
      <x:c r="F187" s="13" t="str">
        <x:f>IF($A187="","",IF($D187&lt;&gt;'Team Setup'!$B$4,"Other sprint",IF($C187="","Unassigned",IF(OR(ISNUMBER(SEARCH(",",$C187)),ISNUMBER(SEARCH(";",$C187))),"Multiple assignees",IF(COUNTIF('Team Setup'!$B$10:$B$34,$C187)=1,"Matched","Unmatched")))))</x:f>
      </x:c>
      <x:c r="G187" s="13" t="str">
        <x:f>IF($A187="","",IF($D187&lt;&gt;'Team Setup'!$B$4,"Other sprint",IF($E187="","Unestimated",IF(NOT(ISNUMBER($E187)),"Check estimate in hours",IF($E187&lt;0,"Check estimate in hours",IF($E187=0,"Unestimated","Estimated"))))))</x:f>
      </x:c>
    </x:row>
    <x:row r="188">
      <x:c r="A188" s="12"/>
      <x:c r="B188" s="12"/>
      <x:c r="C188" s="12"/>
      <x:c r="D188" s="12"/>
      <x:c r="E188" s="14"/>
      <x:c r="F188" s="13" t="str">
        <x:f>IF($A188="","",IF($D188&lt;&gt;'Team Setup'!$B$4,"Other sprint",IF($C188="","Unassigned",IF(OR(ISNUMBER(SEARCH(",",$C188)),ISNUMBER(SEARCH(";",$C188))),"Multiple assignees",IF(COUNTIF('Team Setup'!$B$10:$B$34,$C188)=1,"Matched","Unmatched")))))</x:f>
      </x:c>
      <x:c r="G188" s="13" t="str">
        <x:f>IF($A188="","",IF($D188&lt;&gt;'Team Setup'!$B$4,"Other sprint",IF($E188="","Unestimated",IF(NOT(ISNUMBER($E188)),"Check estimate in hours",IF($E188&lt;0,"Check estimate in hours",IF($E188=0,"Unestimated","Estimated"))))))</x:f>
      </x:c>
    </x:row>
    <x:row r="189">
      <x:c r="A189" s="12"/>
      <x:c r="B189" s="12"/>
      <x:c r="C189" s="12"/>
      <x:c r="D189" s="12"/>
      <x:c r="E189" s="14"/>
      <x:c r="F189" s="13" t="str">
        <x:f>IF($A189="","",IF($D189&lt;&gt;'Team Setup'!$B$4,"Other sprint",IF($C189="","Unassigned",IF(OR(ISNUMBER(SEARCH(",",$C189)),ISNUMBER(SEARCH(";",$C189))),"Multiple assignees",IF(COUNTIF('Team Setup'!$B$10:$B$34,$C189)=1,"Matched","Unmatched")))))</x:f>
      </x:c>
      <x:c r="G189" s="13" t="str">
        <x:f>IF($A189="","",IF($D189&lt;&gt;'Team Setup'!$B$4,"Other sprint",IF($E189="","Unestimated",IF(NOT(ISNUMBER($E189)),"Check estimate in hours",IF($E189&lt;0,"Check estimate in hours",IF($E189=0,"Unestimated","Estimated"))))))</x:f>
      </x:c>
    </x:row>
    <x:row r="190">
      <x:c r="A190" s="12"/>
      <x:c r="B190" s="12"/>
      <x:c r="C190" s="12"/>
      <x:c r="D190" s="12"/>
      <x:c r="E190" s="14"/>
      <x:c r="F190" s="13" t="str">
        <x:f>IF($A190="","",IF($D190&lt;&gt;'Team Setup'!$B$4,"Other sprint",IF($C190="","Unassigned",IF(OR(ISNUMBER(SEARCH(",",$C190)),ISNUMBER(SEARCH(";",$C190))),"Multiple assignees",IF(COUNTIF('Team Setup'!$B$10:$B$34,$C190)=1,"Matched","Unmatched")))))</x:f>
      </x:c>
      <x:c r="G190" s="13" t="str">
        <x:f>IF($A190="","",IF($D190&lt;&gt;'Team Setup'!$B$4,"Other sprint",IF($E190="","Unestimated",IF(NOT(ISNUMBER($E190)),"Check estimate in hours",IF($E190&lt;0,"Check estimate in hours",IF($E190=0,"Unestimated","Estimated"))))))</x:f>
      </x:c>
    </x:row>
    <x:row r="191">
      <x:c r="A191" s="12"/>
      <x:c r="B191" s="12"/>
      <x:c r="C191" s="12"/>
      <x:c r="D191" s="12"/>
      <x:c r="E191" s="14"/>
      <x:c r="F191" s="13" t="str">
        <x:f>IF($A191="","",IF($D191&lt;&gt;'Team Setup'!$B$4,"Other sprint",IF($C191="","Unassigned",IF(OR(ISNUMBER(SEARCH(",",$C191)),ISNUMBER(SEARCH(";",$C191))),"Multiple assignees",IF(COUNTIF('Team Setup'!$B$10:$B$34,$C191)=1,"Matched","Unmatched")))))</x:f>
      </x:c>
      <x:c r="G191" s="13" t="str">
        <x:f>IF($A191="","",IF($D191&lt;&gt;'Team Setup'!$B$4,"Other sprint",IF($E191="","Unestimated",IF(NOT(ISNUMBER($E191)),"Check estimate in hours",IF($E191&lt;0,"Check estimate in hours",IF($E191=0,"Unestimated","Estimated"))))))</x:f>
      </x:c>
    </x:row>
    <x:row r="192">
      <x:c r="A192" s="12"/>
      <x:c r="B192" s="12"/>
      <x:c r="C192" s="12"/>
      <x:c r="D192" s="12"/>
      <x:c r="E192" s="14"/>
      <x:c r="F192" s="13" t="str">
        <x:f>IF($A192="","",IF($D192&lt;&gt;'Team Setup'!$B$4,"Other sprint",IF($C192="","Unassigned",IF(OR(ISNUMBER(SEARCH(",",$C192)),ISNUMBER(SEARCH(";",$C192))),"Multiple assignees",IF(COUNTIF('Team Setup'!$B$10:$B$34,$C192)=1,"Matched","Unmatched")))))</x:f>
      </x:c>
      <x:c r="G192" s="13" t="str">
        <x:f>IF($A192="","",IF($D192&lt;&gt;'Team Setup'!$B$4,"Other sprint",IF($E192="","Unestimated",IF(NOT(ISNUMBER($E192)),"Check estimate in hours",IF($E192&lt;0,"Check estimate in hours",IF($E192=0,"Unestimated","Estimated"))))))</x:f>
      </x:c>
    </x:row>
    <x:row r="193">
      <x:c r="A193" s="12"/>
      <x:c r="B193" s="12"/>
      <x:c r="C193" s="12"/>
      <x:c r="D193" s="12"/>
      <x:c r="E193" s="14"/>
      <x:c r="F193" s="13" t="str">
        <x:f>IF($A193="","",IF($D193&lt;&gt;'Team Setup'!$B$4,"Other sprint",IF($C193="","Unassigned",IF(OR(ISNUMBER(SEARCH(",",$C193)),ISNUMBER(SEARCH(";",$C193))),"Multiple assignees",IF(COUNTIF('Team Setup'!$B$10:$B$34,$C193)=1,"Matched","Unmatched")))))</x:f>
      </x:c>
      <x:c r="G193" s="13" t="str">
        <x:f>IF($A193="","",IF($D193&lt;&gt;'Team Setup'!$B$4,"Other sprint",IF($E193="","Unestimated",IF(NOT(ISNUMBER($E193)),"Check estimate in hours",IF($E193&lt;0,"Check estimate in hours",IF($E193=0,"Unestimated","Estimated"))))))</x:f>
      </x:c>
    </x:row>
    <x:row r="194">
      <x:c r="A194" s="12"/>
      <x:c r="B194" s="12"/>
      <x:c r="C194" s="12"/>
      <x:c r="D194" s="12"/>
      <x:c r="E194" s="14"/>
      <x:c r="F194" s="13" t="str">
        <x:f>IF($A194="","",IF($D194&lt;&gt;'Team Setup'!$B$4,"Other sprint",IF($C194="","Unassigned",IF(OR(ISNUMBER(SEARCH(",",$C194)),ISNUMBER(SEARCH(";",$C194))),"Multiple assignees",IF(COUNTIF('Team Setup'!$B$10:$B$34,$C194)=1,"Matched","Unmatched")))))</x:f>
      </x:c>
      <x:c r="G194" s="13" t="str">
        <x:f>IF($A194="","",IF($D194&lt;&gt;'Team Setup'!$B$4,"Other sprint",IF($E194="","Unestimated",IF(NOT(ISNUMBER($E194)),"Check estimate in hours",IF($E194&lt;0,"Check estimate in hours",IF($E194=0,"Unestimated","Estimated"))))))</x:f>
      </x:c>
    </x:row>
    <x:row r="195">
      <x:c r="A195" s="12"/>
      <x:c r="B195" s="12"/>
      <x:c r="C195" s="12"/>
      <x:c r="D195" s="12"/>
      <x:c r="E195" s="14"/>
      <x:c r="F195" s="13" t="str">
        <x:f>IF($A195="","",IF($D195&lt;&gt;'Team Setup'!$B$4,"Other sprint",IF($C195="","Unassigned",IF(OR(ISNUMBER(SEARCH(",",$C195)),ISNUMBER(SEARCH(";",$C195))),"Multiple assignees",IF(COUNTIF('Team Setup'!$B$10:$B$34,$C195)=1,"Matched","Unmatched")))))</x:f>
      </x:c>
      <x:c r="G195" s="13" t="str">
        <x:f>IF($A195="","",IF($D195&lt;&gt;'Team Setup'!$B$4,"Other sprint",IF($E195="","Unestimated",IF(NOT(ISNUMBER($E195)),"Check estimate in hours",IF($E195&lt;0,"Check estimate in hours",IF($E195=0,"Unestimated","Estimated"))))))</x:f>
      </x:c>
    </x:row>
    <x:row r="196">
      <x:c r="A196" s="12"/>
      <x:c r="B196" s="12"/>
      <x:c r="C196" s="12"/>
      <x:c r="D196" s="12"/>
      <x:c r="E196" s="14"/>
      <x:c r="F196" s="13" t="str">
        <x:f>IF($A196="","",IF($D196&lt;&gt;'Team Setup'!$B$4,"Other sprint",IF($C196="","Unassigned",IF(OR(ISNUMBER(SEARCH(",",$C196)),ISNUMBER(SEARCH(";",$C196))),"Multiple assignees",IF(COUNTIF('Team Setup'!$B$10:$B$34,$C196)=1,"Matched","Unmatched")))))</x:f>
      </x:c>
      <x:c r="G196" s="13" t="str">
        <x:f>IF($A196="","",IF($D196&lt;&gt;'Team Setup'!$B$4,"Other sprint",IF($E196="","Unestimated",IF(NOT(ISNUMBER($E196)),"Check estimate in hours",IF($E196&lt;0,"Check estimate in hours",IF($E196=0,"Unestimated","Estimated"))))))</x:f>
      </x:c>
    </x:row>
    <x:row r="197">
      <x:c r="A197" s="12"/>
      <x:c r="B197" s="12"/>
      <x:c r="C197" s="12"/>
      <x:c r="D197" s="12"/>
      <x:c r="E197" s="14"/>
      <x:c r="F197" s="13" t="str">
        <x:f>IF($A197="","",IF($D197&lt;&gt;'Team Setup'!$B$4,"Other sprint",IF($C197="","Unassigned",IF(OR(ISNUMBER(SEARCH(",",$C197)),ISNUMBER(SEARCH(";",$C197))),"Multiple assignees",IF(COUNTIF('Team Setup'!$B$10:$B$34,$C197)=1,"Matched","Unmatched")))))</x:f>
      </x:c>
      <x:c r="G197" s="13" t="str">
        <x:f>IF($A197="","",IF($D197&lt;&gt;'Team Setup'!$B$4,"Other sprint",IF($E197="","Unestimated",IF(NOT(ISNUMBER($E197)),"Check estimate in hours",IF($E197&lt;0,"Check estimate in hours",IF($E197=0,"Unestimated","Estimated"))))))</x:f>
      </x:c>
    </x:row>
    <x:row r="198">
      <x:c r="A198" s="12"/>
      <x:c r="B198" s="12"/>
      <x:c r="C198" s="12"/>
      <x:c r="D198" s="12"/>
      <x:c r="E198" s="14"/>
      <x:c r="F198" s="13" t="str">
        <x:f>IF($A198="","",IF($D198&lt;&gt;'Team Setup'!$B$4,"Other sprint",IF($C198="","Unassigned",IF(OR(ISNUMBER(SEARCH(",",$C198)),ISNUMBER(SEARCH(";",$C198))),"Multiple assignees",IF(COUNTIF('Team Setup'!$B$10:$B$34,$C198)=1,"Matched","Unmatched")))))</x:f>
      </x:c>
      <x:c r="G198" s="13" t="str">
        <x:f>IF($A198="","",IF($D198&lt;&gt;'Team Setup'!$B$4,"Other sprint",IF($E198="","Unestimated",IF(NOT(ISNUMBER($E198)),"Check estimate in hours",IF($E198&lt;0,"Check estimate in hours",IF($E198=0,"Unestimated","Estimated"))))))</x:f>
      </x:c>
    </x:row>
    <x:row r="199">
      <x:c r="A199" s="12"/>
      <x:c r="B199" s="12"/>
      <x:c r="C199" s="12"/>
      <x:c r="D199" s="12"/>
      <x:c r="E199" s="14"/>
      <x:c r="F199" s="13" t="str">
        <x:f>IF($A199="","",IF($D199&lt;&gt;'Team Setup'!$B$4,"Other sprint",IF($C199="","Unassigned",IF(OR(ISNUMBER(SEARCH(",",$C199)),ISNUMBER(SEARCH(";",$C199))),"Multiple assignees",IF(COUNTIF('Team Setup'!$B$10:$B$34,$C199)=1,"Matched","Unmatched")))))</x:f>
      </x:c>
      <x:c r="G199" s="13" t="str">
        <x:f>IF($A199="","",IF($D199&lt;&gt;'Team Setup'!$B$4,"Other sprint",IF($E199="","Unestimated",IF(NOT(ISNUMBER($E199)),"Check estimate in hours",IF($E199&lt;0,"Check estimate in hours",IF($E199=0,"Unestimated","Estimated"))))))</x:f>
      </x:c>
    </x:row>
    <x:row r="200">
      <x:c r="A200" s="12"/>
      <x:c r="B200" s="12"/>
      <x:c r="C200" s="12"/>
      <x:c r="D200" s="12"/>
      <x:c r="E200" s="14"/>
      <x:c r="F200" s="13" t="str">
        <x:f>IF($A200="","",IF($D200&lt;&gt;'Team Setup'!$B$4,"Other sprint",IF($C200="","Unassigned",IF(OR(ISNUMBER(SEARCH(",",$C200)),ISNUMBER(SEARCH(";",$C200))),"Multiple assignees",IF(COUNTIF('Team Setup'!$B$10:$B$34,$C200)=1,"Matched","Unmatched")))))</x:f>
      </x:c>
      <x:c r="G200" s="13" t="str">
        <x:f>IF($A200="","",IF($D200&lt;&gt;'Team Setup'!$B$4,"Other sprint",IF($E200="","Unestimated",IF(NOT(ISNUMBER($E200)),"Check estimate in hours",IF($E200&lt;0,"Check estimate in hours",IF($E200=0,"Unestimated","Estimated"))))))</x:f>
      </x:c>
    </x:row>
    <x:row r="201">
      <x:c r="A201" s="12"/>
      <x:c r="B201" s="12"/>
      <x:c r="C201" s="12"/>
      <x:c r="D201" s="12"/>
      <x:c r="E201" s="14"/>
      <x:c r="F201" s="13" t="str">
        <x:f>IF($A201="","",IF($D201&lt;&gt;'Team Setup'!$B$4,"Other sprint",IF($C201="","Unassigned",IF(OR(ISNUMBER(SEARCH(",",$C201)),ISNUMBER(SEARCH(";",$C201))),"Multiple assignees",IF(COUNTIF('Team Setup'!$B$10:$B$34,$C201)=1,"Matched","Unmatched")))))</x:f>
      </x:c>
      <x:c r="G201" s="13" t="str">
        <x:f>IF($A201="","",IF($D201&lt;&gt;'Team Setup'!$B$4,"Other sprint",IF($E201="","Unestimated",IF(NOT(ISNUMBER($E201)),"Check estimate in hours",IF($E201&lt;0,"Check estimate in hours",IF($E201=0,"Unestimated","Estimated"))))))</x:f>
      </x:c>
    </x:row>
    <x:row r="202">
      <x:c r="A202" s="12"/>
      <x:c r="B202" s="12"/>
      <x:c r="C202" s="12"/>
      <x:c r="D202" s="12"/>
      <x:c r="E202" s="14"/>
      <x:c r="F202" s="13" t="str">
        <x:f>IF($A202="","",IF($D202&lt;&gt;'Team Setup'!$B$4,"Other sprint",IF($C202="","Unassigned",IF(OR(ISNUMBER(SEARCH(",",$C202)),ISNUMBER(SEARCH(";",$C202))),"Multiple assignees",IF(COUNTIF('Team Setup'!$B$10:$B$34,$C202)=1,"Matched","Unmatched")))))</x:f>
      </x:c>
      <x:c r="G202" s="13" t="str">
        <x:f>IF($A202="","",IF($D202&lt;&gt;'Team Setup'!$B$4,"Other sprint",IF($E202="","Unestimated",IF(NOT(ISNUMBER($E202)),"Check estimate in hours",IF($E202&lt;0,"Check estimate in hours",IF($E202=0,"Unestimated","Estimated"))))))</x:f>
      </x:c>
    </x:row>
    <x:row r="203">
      <x:c r="A203" s="12"/>
      <x:c r="B203" s="12"/>
      <x:c r="C203" s="12"/>
      <x:c r="D203" s="12"/>
      <x:c r="E203" s="14"/>
      <x:c r="F203" s="13" t="str">
        <x:f>IF($A203="","",IF($D203&lt;&gt;'Team Setup'!$B$4,"Other sprint",IF($C203="","Unassigned",IF(OR(ISNUMBER(SEARCH(",",$C203)),ISNUMBER(SEARCH(";",$C203))),"Multiple assignees",IF(COUNTIF('Team Setup'!$B$10:$B$34,$C203)=1,"Matched","Unmatched")))))</x:f>
      </x:c>
      <x:c r="G203" s="13" t="str">
        <x:f>IF($A203="","",IF($D203&lt;&gt;'Team Setup'!$B$4,"Other sprint",IF($E203="","Unestimated",IF(NOT(ISNUMBER($E203)),"Check estimate in hours",IF($E203&lt;0,"Check estimate in hours",IF($E203=0,"Unestimated","Estimated"))))))</x:f>
      </x:c>
    </x:row>
    <x:row r="204">
      <x:c r="A204" s="12"/>
      <x:c r="B204" s="12"/>
      <x:c r="C204" s="12"/>
      <x:c r="D204" s="12"/>
      <x:c r="E204" s="14"/>
      <x:c r="F204" s="13" t="str">
        <x:f>IF($A204="","",IF($D204&lt;&gt;'Team Setup'!$B$4,"Other sprint",IF($C204="","Unassigned",IF(OR(ISNUMBER(SEARCH(",",$C204)),ISNUMBER(SEARCH(";",$C204))),"Multiple assignees",IF(COUNTIF('Team Setup'!$B$10:$B$34,$C204)=1,"Matched","Unmatched")))))</x:f>
      </x:c>
      <x:c r="G204" s="13" t="str">
        <x:f>IF($A204="","",IF($D204&lt;&gt;'Team Setup'!$B$4,"Other sprint",IF($E204="","Unestimated",IF(NOT(ISNUMBER($E204)),"Check estimate in hours",IF($E204&lt;0,"Check estimate in hours",IF($E204=0,"Unestimated","Estimated"))))))</x:f>
      </x:c>
    </x:row>
    <x:row r="205">
      <x:c r="A205" s="12"/>
      <x:c r="B205" s="12"/>
      <x:c r="C205" s="12"/>
      <x:c r="D205" s="12"/>
      <x:c r="E205" s="14"/>
      <x:c r="F205" s="13" t="str">
        <x:f>IF($A205="","",IF($D205&lt;&gt;'Team Setup'!$B$4,"Other sprint",IF($C205="","Unassigned",IF(OR(ISNUMBER(SEARCH(",",$C205)),ISNUMBER(SEARCH(";",$C205))),"Multiple assignees",IF(COUNTIF('Team Setup'!$B$10:$B$34,$C205)=1,"Matched","Unmatched")))))</x:f>
      </x:c>
      <x:c r="G205" s="13" t="str">
        <x:f>IF($A205="","",IF($D205&lt;&gt;'Team Setup'!$B$4,"Other sprint",IF($E205="","Unestimated",IF(NOT(ISNUMBER($E205)),"Check estimate in hours",IF($E205&lt;0,"Check estimate in hours",IF($E205=0,"Unestimated","Estimated"))))))</x:f>
      </x:c>
    </x:row>
    <x:row r="206">
      <x:c r="A206" s="12"/>
      <x:c r="B206" s="12"/>
      <x:c r="C206" s="12"/>
      <x:c r="D206" s="12"/>
      <x:c r="E206" s="14"/>
      <x:c r="F206" s="13" t="str">
        <x:f>IF($A206="","",IF($D206&lt;&gt;'Team Setup'!$B$4,"Other sprint",IF($C206="","Unassigned",IF(OR(ISNUMBER(SEARCH(",",$C206)),ISNUMBER(SEARCH(";",$C206))),"Multiple assignees",IF(COUNTIF('Team Setup'!$B$10:$B$34,$C206)=1,"Matched","Unmatched")))))</x:f>
      </x:c>
      <x:c r="G206" s="13" t="str">
        <x:f>IF($A206="","",IF($D206&lt;&gt;'Team Setup'!$B$4,"Other sprint",IF($E206="","Unestimated",IF(NOT(ISNUMBER($E206)),"Check estimate in hours",IF($E206&lt;0,"Check estimate in hours",IF($E206=0,"Unestimated","Estimated"))))))</x:f>
      </x:c>
    </x:row>
    <x:row r="207">
      <x:c r="A207" s="12"/>
      <x:c r="B207" s="12"/>
      <x:c r="C207" s="12"/>
      <x:c r="D207" s="12"/>
      <x:c r="E207" s="14"/>
      <x:c r="F207" s="13" t="str">
        <x:f>IF($A207="","",IF($D207&lt;&gt;'Team Setup'!$B$4,"Other sprint",IF($C207="","Unassigned",IF(OR(ISNUMBER(SEARCH(",",$C207)),ISNUMBER(SEARCH(";",$C207))),"Multiple assignees",IF(COUNTIF('Team Setup'!$B$10:$B$34,$C207)=1,"Matched","Unmatched")))))</x:f>
      </x:c>
      <x:c r="G207" s="13" t="str">
        <x:f>IF($A207="","",IF($D207&lt;&gt;'Team Setup'!$B$4,"Other sprint",IF($E207="","Unestimated",IF(NOT(ISNUMBER($E207)),"Check estimate in hours",IF($E207&lt;0,"Check estimate in hours",IF($E207=0,"Unestimated","Estimated"))))))</x:f>
      </x:c>
    </x:row>
    <x:row r="208">
      <x:c r="A208" s="12"/>
      <x:c r="B208" s="12"/>
      <x:c r="C208" s="12"/>
      <x:c r="D208" s="12"/>
      <x:c r="E208" s="14"/>
      <x:c r="F208" s="13" t="str">
        <x:f>IF($A208="","",IF($D208&lt;&gt;'Team Setup'!$B$4,"Other sprint",IF($C208="","Unassigned",IF(OR(ISNUMBER(SEARCH(",",$C208)),ISNUMBER(SEARCH(";",$C208))),"Multiple assignees",IF(COUNTIF('Team Setup'!$B$10:$B$34,$C208)=1,"Matched","Unmatched")))))</x:f>
      </x:c>
      <x:c r="G208" s="13" t="str">
        <x:f>IF($A208="","",IF($D208&lt;&gt;'Team Setup'!$B$4,"Other sprint",IF($E208="","Unestimated",IF(NOT(ISNUMBER($E208)),"Check estimate in hours",IF($E208&lt;0,"Check estimate in hours",IF($E208=0,"Unestimated","Estimated"))))))</x:f>
      </x:c>
    </x:row>
    <x:row r="209">
      <x:c r="A209" s="12"/>
      <x:c r="B209" s="12"/>
      <x:c r="C209" s="12"/>
      <x:c r="D209" s="12"/>
      <x:c r="E209" s="14"/>
      <x:c r="F209" s="13" t="str">
        <x:f>IF($A209="","",IF($D209&lt;&gt;'Team Setup'!$B$4,"Other sprint",IF($C209="","Unassigned",IF(OR(ISNUMBER(SEARCH(",",$C209)),ISNUMBER(SEARCH(";",$C209))),"Multiple assignees",IF(COUNTIF('Team Setup'!$B$10:$B$34,$C209)=1,"Matched","Unmatched")))))</x:f>
      </x:c>
      <x:c r="G209" s="13" t="str">
        <x:f>IF($A209="","",IF($D209&lt;&gt;'Team Setup'!$B$4,"Other sprint",IF($E209="","Unestimated",IF(NOT(ISNUMBER($E209)),"Check estimate in hours",IF($E209&lt;0,"Check estimate in hours",IF($E209=0,"Unestimated","Estimated"))))))</x:f>
      </x:c>
    </x:row>
    <x:row r="210">
      <x:c r="A210" s="12"/>
      <x:c r="B210" s="12"/>
      <x:c r="C210" s="12"/>
      <x:c r="D210" s="12"/>
      <x:c r="E210" s="14"/>
      <x:c r="F210" s="13" t="str">
        <x:f>IF($A210="","",IF($D210&lt;&gt;'Team Setup'!$B$4,"Other sprint",IF($C210="","Unassigned",IF(OR(ISNUMBER(SEARCH(",",$C210)),ISNUMBER(SEARCH(";",$C210))),"Multiple assignees",IF(COUNTIF('Team Setup'!$B$10:$B$34,$C210)=1,"Matched","Unmatched")))))</x:f>
      </x:c>
      <x:c r="G210" s="13" t="str">
        <x:f>IF($A210="","",IF($D210&lt;&gt;'Team Setup'!$B$4,"Other sprint",IF($E210="","Unestimated",IF(NOT(ISNUMBER($E210)),"Check estimate in hours",IF($E210&lt;0,"Check estimate in hours",IF($E210=0,"Unestimated","Estimated"))))))</x:f>
      </x:c>
    </x:row>
    <x:row r="211">
      <x:c r="A211" s="12"/>
      <x:c r="B211" s="12"/>
      <x:c r="C211" s="12"/>
      <x:c r="D211" s="12"/>
      <x:c r="E211" s="14"/>
      <x:c r="F211" s="13" t="str">
        <x:f>IF($A211="","",IF($D211&lt;&gt;'Team Setup'!$B$4,"Other sprint",IF($C211="","Unassigned",IF(OR(ISNUMBER(SEARCH(",",$C211)),ISNUMBER(SEARCH(";",$C211))),"Multiple assignees",IF(COUNTIF('Team Setup'!$B$10:$B$34,$C211)=1,"Matched","Unmatched")))))</x:f>
      </x:c>
      <x:c r="G211" s="13" t="str">
        <x:f>IF($A211="","",IF($D211&lt;&gt;'Team Setup'!$B$4,"Other sprint",IF($E211="","Unestimated",IF(NOT(ISNUMBER($E211)),"Check estimate in hours",IF($E211&lt;0,"Check estimate in hours",IF($E211=0,"Unestimated","Estimated"))))))</x:f>
      </x:c>
    </x:row>
    <x:row r="212">
      <x:c r="A212" s="12"/>
      <x:c r="B212" s="12"/>
      <x:c r="C212" s="12"/>
      <x:c r="D212" s="12"/>
      <x:c r="E212" s="14"/>
      <x:c r="F212" s="13" t="str">
        <x:f>IF($A212="","",IF($D212&lt;&gt;'Team Setup'!$B$4,"Other sprint",IF($C212="","Unassigned",IF(OR(ISNUMBER(SEARCH(",",$C212)),ISNUMBER(SEARCH(";",$C212))),"Multiple assignees",IF(COUNTIF('Team Setup'!$B$10:$B$34,$C212)=1,"Matched","Unmatched")))))</x:f>
      </x:c>
      <x:c r="G212" s="13" t="str">
        <x:f>IF($A212="","",IF($D212&lt;&gt;'Team Setup'!$B$4,"Other sprint",IF($E212="","Unestimated",IF(NOT(ISNUMBER($E212)),"Check estimate in hours",IF($E212&lt;0,"Check estimate in hours",IF($E212=0,"Unestimated","Estimated"))))))</x:f>
      </x:c>
    </x:row>
    <x:row r="213">
      <x:c r="A213" s="12"/>
      <x:c r="B213" s="12"/>
      <x:c r="C213" s="12"/>
      <x:c r="D213" s="12"/>
      <x:c r="E213" s="14"/>
      <x:c r="F213" s="13" t="str">
        <x:f>IF($A213="","",IF($D213&lt;&gt;'Team Setup'!$B$4,"Other sprint",IF($C213="","Unassigned",IF(OR(ISNUMBER(SEARCH(",",$C213)),ISNUMBER(SEARCH(";",$C213))),"Multiple assignees",IF(COUNTIF('Team Setup'!$B$10:$B$34,$C213)=1,"Matched","Unmatched")))))</x:f>
      </x:c>
      <x:c r="G213" s="13" t="str">
        <x:f>IF($A213="","",IF($D213&lt;&gt;'Team Setup'!$B$4,"Other sprint",IF($E213="","Unestimated",IF(NOT(ISNUMBER($E213)),"Check estimate in hours",IF($E213&lt;0,"Check estimate in hours",IF($E213=0,"Unestimated","Estimated"))))))</x:f>
      </x:c>
    </x:row>
    <x:row r="214">
      <x:c r="A214" s="12"/>
      <x:c r="B214" s="12"/>
      <x:c r="C214" s="12"/>
      <x:c r="D214" s="12"/>
      <x:c r="E214" s="14"/>
      <x:c r="F214" s="13" t="str">
        <x:f>IF($A214="","",IF($D214&lt;&gt;'Team Setup'!$B$4,"Other sprint",IF($C214="","Unassigned",IF(OR(ISNUMBER(SEARCH(",",$C214)),ISNUMBER(SEARCH(";",$C214))),"Multiple assignees",IF(COUNTIF('Team Setup'!$B$10:$B$34,$C214)=1,"Matched","Unmatched")))))</x:f>
      </x:c>
      <x:c r="G214" s="13" t="str">
        <x:f>IF($A214="","",IF($D214&lt;&gt;'Team Setup'!$B$4,"Other sprint",IF($E214="","Unestimated",IF(NOT(ISNUMBER($E214)),"Check estimate in hours",IF($E214&lt;0,"Check estimate in hours",IF($E214=0,"Unestimated","Estimated"))))))</x:f>
      </x:c>
    </x:row>
    <x:row r="215">
      <x:c r="A215" s="12"/>
      <x:c r="B215" s="12"/>
      <x:c r="C215" s="12"/>
      <x:c r="D215" s="12"/>
      <x:c r="E215" s="14"/>
      <x:c r="F215" s="13" t="str">
        <x:f>IF($A215="","",IF($D215&lt;&gt;'Team Setup'!$B$4,"Other sprint",IF($C215="","Unassigned",IF(OR(ISNUMBER(SEARCH(",",$C215)),ISNUMBER(SEARCH(";",$C215))),"Multiple assignees",IF(COUNTIF('Team Setup'!$B$10:$B$34,$C215)=1,"Matched","Unmatched")))))</x:f>
      </x:c>
      <x:c r="G215" s="13" t="str">
        <x:f>IF($A215="","",IF($D215&lt;&gt;'Team Setup'!$B$4,"Other sprint",IF($E215="","Unestimated",IF(NOT(ISNUMBER($E215)),"Check estimate in hours",IF($E215&lt;0,"Check estimate in hours",IF($E215=0,"Unestimated","Estimated"))))))</x:f>
      </x:c>
    </x:row>
    <x:row r="216">
      <x:c r="A216" s="12"/>
      <x:c r="B216" s="12"/>
      <x:c r="C216" s="12"/>
      <x:c r="D216" s="12"/>
      <x:c r="E216" s="14"/>
      <x:c r="F216" s="13" t="str">
        <x:f>IF($A216="","",IF($D216&lt;&gt;'Team Setup'!$B$4,"Other sprint",IF($C216="","Unassigned",IF(OR(ISNUMBER(SEARCH(",",$C216)),ISNUMBER(SEARCH(";",$C216))),"Multiple assignees",IF(COUNTIF('Team Setup'!$B$10:$B$34,$C216)=1,"Matched","Unmatched")))))</x:f>
      </x:c>
      <x:c r="G216" s="13" t="str">
        <x:f>IF($A216="","",IF($D216&lt;&gt;'Team Setup'!$B$4,"Other sprint",IF($E216="","Unestimated",IF(NOT(ISNUMBER($E216)),"Check estimate in hours",IF($E216&lt;0,"Check estimate in hours",IF($E216=0,"Unestimated","Estimated"))))))</x:f>
      </x:c>
    </x:row>
    <x:row r="217">
      <x:c r="A217" s="12"/>
      <x:c r="B217" s="12"/>
      <x:c r="C217" s="12"/>
      <x:c r="D217" s="12"/>
      <x:c r="E217" s="14"/>
      <x:c r="F217" s="13" t="str">
        <x:f>IF($A217="","",IF($D217&lt;&gt;'Team Setup'!$B$4,"Other sprint",IF($C217="","Unassigned",IF(OR(ISNUMBER(SEARCH(",",$C217)),ISNUMBER(SEARCH(";",$C217))),"Multiple assignees",IF(COUNTIF('Team Setup'!$B$10:$B$34,$C217)=1,"Matched","Unmatched")))))</x:f>
      </x:c>
      <x:c r="G217" s="13" t="str">
        <x:f>IF($A217="","",IF($D217&lt;&gt;'Team Setup'!$B$4,"Other sprint",IF($E217="","Unestimated",IF(NOT(ISNUMBER($E217)),"Check estimate in hours",IF($E217&lt;0,"Check estimate in hours",IF($E217=0,"Unestimated","Estimated"))))))</x:f>
      </x:c>
    </x:row>
    <x:row r="218">
      <x:c r="A218" s="12"/>
      <x:c r="B218" s="12"/>
      <x:c r="C218" s="12"/>
      <x:c r="D218" s="12"/>
      <x:c r="E218" s="14"/>
      <x:c r="F218" s="13" t="str">
        <x:f>IF($A218="","",IF($D218&lt;&gt;'Team Setup'!$B$4,"Other sprint",IF($C218="","Unassigned",IF(OR(ISNUMBER(SEARCH(",",$C218)),ISNUMBER(SEARCH(";",$C218))),"Multiple assignees",IF(COUNTIF('Team Setup'!$B$10:$B$34,$C218)=1,"Matched","Unmatched")))))</x:f>
      </x:c>
      <x:c r="G218" s="13" t="str">
        <x:f>IF($A218="","",IF($D218&lt;&gt;'Team Setup'!$B$4,"Other sprint",IF($E218="","Unestimated",IF(NOT(ISNUMBER($E218)),"Check estimate in hours",IF($E218&lt;0,"Check estimate in hours",IF($E218=0,"Unestimated","Estimated"))))))</x:f>
      </x:c>
    </x:row>
    <x:row r="219">
      <x:c r="A219" s="12"/>
      <x:c r="B219" s="12"/>
      <x:c r="C219" s="12"/>
      <x:c r="D219" s="12"/>
      <x:c r="E219" s="14"/>
      <x:c r="F219" s="13" t="str">
        <x:f>IF($A219="","",IF($D219&lt;&gt;'Team Setup'!$B$4,"Other sprint",IF($C219="","Unassigned",IF(OR(ISNUMBER(SEARCH(",",$C219)),ISNUMBER(SEARCH(";",$C219))),"Multiple assignees",IF(COUNTIF('Team Setup'!$B$10:$B$34,$C219)=1,"Matched","Unmatched")))))</x:f>
      </x:c>
      <x:c r="G219" s="13" t="str">
        <x:f>IF($A219="","",IF($D219&lt;&gt;'Team Setup'!$B$4,"Other sprint",IF($E219="","Unestimated",IF(NOT(ISNUMBER($E219)),"Check estimate in hours",IF($E219&lt;0,"Check estimate in hours",IF($E219=0,"Unestimated","Estimated"))))))</x:f>
      </x:c>
    </x:row>
    <x:row r="220">
      <x:c r="A220" s="12"/>
      <x:c r="B220" s="12"/>
      <x:c r="C220" s="12"/>
      <x:c r="D220" s="12"/>
      <x:c r="E220" s="14"/>
      <x:c r="F220" s="13" t="str">
        <x:f>IF($A220="","",IF($D220&lt;&gt;'Team Setup'!$B$4,"Other sprint",IF($C220="","Unassigned",IF(OR(ISNUMBER(SEARCH(",",$C220)),ISNUMBER(SEARCH(";",$C220))),"Multiple assignees",IF(COUNTIF('Team Setup'!$B$10:$B$34,$C220)=1,"Matched","Unmatched")))))</x:f>
      </x:c>
      <x:c r="G220" s="13" t="str">
        <x:f>IF($A220="","",IF($D220&lt;&gt;'Team Setup'!$B$4,"Other sprint",IF($E220="","Unestimated",IF(NOT(ISNUMBER($E220)),"Check estimate in hours",IF($E220&lt;0,"Check estimate in hours",IF($E220=0,"Unestimated","Estimated"))))))</x:f>
      </x:c>
    </x:row>
    <x:row r="221">
      <x:c r="A221" s="12"/>
      <x:c r="B221" s="12"/>
      <x:c r="C221" s="12"/>
      <x:c r="D221" s="12"/>
      <x:c r="E221" s="14"/>
      <x:c r="F221" s="13" t="str">
        <x:f>IF($A221="","",IF($D221&lt;&gt;'Team Setup'!$B$4,"Other sprint",IF($C221="","Unassigned",IF(OR(ISNUMBER(SEARCH(",",$C221)),ISNUMBER(SEARCH(";",$C221))),"Multiple assignees",IF(COUNTIF('Team Setup'!$B$10:$B$34,$C221)=1,"Matched","Unmatched")))))</x:f>
      </x:c>
      <x:c r="G221" s="13" t="str">
        <x:f>IF($A221="","",IF($D221&lt;&gt;'Team Setup'!$B$4,"Other sprint",IF($E221="","Unestimated",IF(NOT(ISNUMBER($E221)),"Check estimate in hours",IF($E221&lt;0,"Check estimate in hours",IF($E221=0,"Unestimated","Estimated"))))))</x:f>
      </x:c>
    </x:row>
    <x:row r="222">
      <x:c r="A222" s="12"/>
      <x:c r="B222" s="12"/>
      <x:c r="C222" s="12"/>
      <x:c r="D222" s="12"/>
      <x:c r="E222" s="14"/>
      <x:c r="F222" s="13" t="str">
        <x:f>IF($A222="","",IF($D222&lt;&gt;'Team Setup'!$B$4,"Other sprint",IF($C222="","Unassigned",IF(OR(ISNUMBER(SEARCH(",",$C222)),ISNUMBER(SEARCH(";",$C222))),"Multiple assignees",IF(COUNTIF('Team Setup'!$B$10:$B$34,$C222)=1,"Matched","Unmatched")))))</x:f>
      </x:c>
      <x:c r="G222" s="13" t="str">
        <x:f>IF($A222="","",IF($D222&lt;&gt;'Team Setup'!$B$4,"Other sprint",IF($E222="","Unestimated",IF(NOT(ISNUMBER($E222)),"Check estimate in hours",IF($E222&lt;0,"Check estimate in hours",IF($E222=0,"Unestimated","Estimated"))))))</x:f>
      </x:c>
    </x:row>
    <x:row r="223">
      <x:c r="A223" s="12"/>
      <x:c r="B223" s="12"/>
      <x:c r="C223" s="12"/>
      <x:c r="D223" s="12"/>
      <x:c r="E223" s="14"/>
      <x:c r="F223" s="13" t="str">
        <x:f>IF($A223="","",IF($D223&lt;&gt;'Team Setup'!$B$4,"Other sprint",IF($C223="","Unassigned",IF(OR(ISNUMBER(SEARCH(",",$C223)),ISNUMBER(SEARCH(";",$C223))),"Multiple assignees",IF(COUNTIF('Team Setup'!$B$10:$B$34,$C223)=1,"Matched","Unmatched")))))</x:f>
      </x:c>
      <x:c r="G223" s="13" t="str">
        <x:f>IF($A223="","",IF($D223&lt;&gt;'Team Setup'!$B$4,"Other sprint",IF($E223="","Unestimated",IF(NOT(ISNUMBER($E223)),"Check estimate in hours",IF($E223&lt;0,"Check estimate in hours",IF($E223=0,"Unestimated","Estimated"))))))</x:f>
      </x:c>
    </x:row>
    <x:row r="224">
      <x:c r="A224" s="12"/>
      <x:c r="B224" s="12"/>
      <x:c r="C224" s="12"/>
      <x:c r="D224" s="12"/>
      <x:c r="E224" s="14"/>
      <x:c r="F224" s="13" t="str">
        <x:f>IF($A224="","",IF($D224&lt;&gt;'Team Setup'!$B$4,"Other sprint",IF($C224="","Unassigned",IF(OR(ISNUMBER(SEARCH(",",$C224)),ISNUMBER(SEARCH(";",$C224))),"Multiple assignees",IF(COUNTIF('Team Setup'!$B$10:$B$34,$C224)=1,"Matched","Unmatched")))))</x:f>
      </x:c>
      <x:c r="G224" s="13" t="str">
        <x:f>IF($A224="","",IF($D224&lt;&gt;'Team Setup'!$B$4,"Other sprint",IF($E224="","Unestimated",IF(NOT(ISNUMBER($E224)),"Check estimate in hours",IF($E224&lt;0,"Check estimate in hours",IF($E224=0,"Unestimated","Estimated"))))))</x:f>
      </x:c>
    </x:row>
    <x:row r="225">
      <x:c r="A225" s="12"/>
      <x:c r="B225" s="12"/>
      <x:c r="C225" s="12"/>
      <x:c r="D225" s="12"/>
      <x:c r="E225" s="14"/>
      <x:c r="F225" s="13" t="str">
        <x:f>IF($A225="","",IF($D225&lt;&gt;'Team Setup'!$B$4,"Other sprint",IF($C225="","Unassigned",IF(OR(ISNUMBER(SEARCH(",",$C225)),ISNUMBER(SEARCH(";",$C225))),"Multiple assignees",IF(COUNTIF('Team Setup'!$B$10:$B$34,$C225)=1,"Matched","Unmatched")))))</x:f>
      </x:c>
      <x:c r="G225" s="13" t="str">
        <x:f>IF($A225="","",IF($D225&lt;&gt;'Team Setup'!$B$4,"Other sprint",IF($E225="","Unestimated",IF(NOT(ISNUMBER($E225)),"Check estimate in hours",IF($E225&lt;0,"Check estimate in hours",IF($E225=0,"Unestimated","Estimated"))))))</x:f>
      </x:c>
    </x:row>
    <x:row r="226">
      <x:c r="A226" s="12"/>
      <x:c r="B226" s="12"/>
      <x:c r="C226" s="12"/>
      <x:c r="D226" s="12"/>
      <x:c r="E226" s="14"/>
      <x:c r="F226" s="13" t="str">
        <x:f>IF($A226="","",IF($D226&lt;&gt;'Team Setup'!$B$4,"Other sprint",IF($C226="","Unassigned",IF(OR(ISNUMBER(SEARCH(",",$C226)),ISNUMBER(SEARCH(";",$C226))),"Multiple assignees",IF(COUNTIF('Team Setup'!$B$10:$B$34,$C226)=1,"Matched","Unmatched")))))</x:f>
      </x:c>
      <x:c r="G226" s="13" t="str">
        <x:f>IF($A226="","",IF($D226&lt;&gt;'Team Setup'!$B$4,"Other sprint",IF($E226="","Unestimated",IF(NOT(ISNUMBER($E226)),"Check estimate in hours",IF($E226&lt;0,"Check estimate in hours",IF($E226=0,"Unestimated","Estimated"))))))</x:f>
      </x:c>
    </x:row>
    <x:row r="227">
      <x:c r="A227" s="12"/>
      <x:c r="B227" s="12"/>
      <x:c r="C227" s="12"/>
      <x:c r="D227" s="12"/>
      <x:c r="E227" s="14"/>
      <x:c r="F227" s="13" t="str">
        <x:f>IF($A227="","",IF($D227&lt;&gt;'Team Setup'!$B$4,"Other sprint",IF($C227="","Unassigned",IF(OR(ISNUMBER(SEARCH(",",$C227)),ISNUMBER(SEARCH(";",$C227))),"Multiple assignees",IF(COUNTIF('Team Setup'!$B$10:$B$34,$C227)=1,"Matched","Unmatched")))))</x:f>
      </x:c>
      <x:c r="G227" s="13" t="str">
        <x:f>IF($A227="","",IF($D227&lt;&gt;'Team Setup'!$B$4,"Other sprint",IF($E227="","Unestimated",IF(NOT(ISNUMBER($E227)),"Check estimate in hours",IF($E227&lt;0,"Check estimate in hours",IF($E227=0,"Unestimated","Estimated"))))))</x:f>
      </x:c>
    </x:row>
    <x:row r="228">
      <x:c r="A228" s="12"/>
      <x:c r="B228" s="12"/>
      <x:c r="C228" s="12"/>
      <x:c r="D228" s="12"/>
      <x:c r="E228" s="14"/>
      <x:c r="F228" s="13" t="str">
        <x:f>IF($A228="","",IF($D228&lt;&gt;'Team Setup'!$B$4,"Other sprint",IF($C228="","Unassigned",IF(OR(ISNUMBER(SEARCH(",",$C228)),ISNUMBER(SEARCH(";",$C228))),"Multiple assignees",IF(COUNTIF('Team Setup'!$B$10:$B$34,$C228)=1,"Matched","Unmatched")))))</x:f>
      </x:c>
      <x:c r="G228" s="13" t="str">
        <x:f>IF($A228="","",IF($D228&lt;&gt;'Team Setup'!$B$4,"Other sprint",IF($E228="","Unestimated",IF(NOT(ISNUMBER($E228)),"Check estimate in hours",IF($E228&lt;0,"Check estimate in hours",IF($E228=0,"Unestimated","Estimated"))))))</x:f>
      </x:c>
    </x:row>
    <x:row r="229">
      <x:c r="A229" s="12"/>
      <x:c r="B229" s="12"/>
      <x:c r="C229" s="12"/>
      <x:c r="D229" s="12"/>
      <x:c r="E229" s="14"/>
      <x:c r="F229" s="13" t="str">
        <x:f>IF($A229="","",IF($D229&lt;&gt;'Team Setup'!$B$4,"Other sprint",IF($C229="","Unassigned",IF(OR(ISNUMBER(SEARCH(",",$C229)),ISNUMBER(SEARCH(";",$C229))),"Multiple assignees",IF(COUNTIF('Team Setup'!$B$10:$B$34,$C229)=1,"Matched","Unmatched")))))</x:f>
      </x:c>
      <x:c r="G229" s="13" t="str">
        <x:f>IF($A229="","",IF($D229&lt;&gt;'Team Setup'!$B$4,"Other sprint",IF($E229="","Unestimated",IF(NOT(ISNUMBER($E229)),"Check estimate in hours",IF($E229&lt;0,"Check estimate in hours",IF($E229=0,"Unestimated","Estimated"))))))</x:f>
      </x:c>
    </x:row>
    <x:row r="230">
      <x:c r="A230" s="12"/>
      <x:c r="B230" s="12"/>
      <x:c r="C230" s="12"/>
      <x:c r="D230" s="12"/>
      <x:c r="E230" s="14"/>
      <x:c r="F230" s="13" t="str">
        <x:f>IF($A230="","",IF($D230&lt;&gt;'Team Setup'!$B$4,"Other sprint",IF($C230="","Unassigned",IF(OR(ISNUMBER(SEARCH(",",$C230)),ISNUMBER(SEARCH(";",$C230))),"Multiple assignees",IF(COUNTIF('Team Setup'!$B$10:$B$34,$C230)=1,"Matched","Unmatched")))))</x:f>
      </x:c>
      <x:c r="G230" s="13" t="str">
        <x:f>IF($A230="","",IF($D230&lt;&gt;'Team Setup'!$B$4,"Other sprint",IF($E230="","Unestimated",IF(NOT(ISNUMBER($E230)),"Check estimate in hours",IF($E230&lt;0,"Check estimate in hours",IF($E230=0,"Unestimated","Estimated"))))))</x:f>
      </x:c>
    </x:row>
    <x:row r="231">
      <x:c r="A231" s="12"/>
      <x:c r="B231" s="12"/>
      <x:c r="C231" s="12"/>
      <x:c r="D231" s="12"/>
      <x:c r="E231" s="14"/>
      <x:c r="F231" s="13" t="str">
        <x:f>IF($A231="","",IF($D231&lt;&gt;'Team Setup'!$B$4,"Other sprint",IF($C231="","Unassigned",IF(OR(ISNUMBER(SEARCH(",",$C231)),ISNUMBER(SEARCH(";",$C231))),"Multiple assignees",IF(COUNTIF('Team Setup'!$B$10:$B$34,$C231)=1,"Matched","Unmatched")))))</x:f>
      </x:c>
      <x:c r="G231" s="13" t="str">
        <x:f>IF($A231="","",IF($D231&lt;&gt;'Team Setup'!$B$4,"Other sprint",IF($E231="","Unestimated",IF(NOT(ISNUMBER($E231)),"Check estimate in hours",IF($E231&lt;0,"Check estimate in hours",IF($E231=0,"Unestimated","Estimated"))))))</x:f>
      </x:c>
    </x:row>
    <x:row r="232">
      <x:c r="A232" s="12"/>
      <x:c r="B232" s="12"/>
      <x:c r="C232" s="12"/>
      <x:c r="D232" s="12"/>
      <x:c r="E232" s="14"/>
      <x:c r="F232" s="13" t="str">
        <x:f>IF($A232="","",IF($D232&lt;&gt;'Team Setup'!$B$4,"Other sprint",IF($C232="","Unassigned",IF(OR(ISNUMBER(SEARCH(",",$C232)),ISNUMBER(SEARCH(";",$C232))),"Multiple assignees",IF(COUNTIF('Team Setup'!$B$10:$B$34,$C232)=1,"Matched","Unmatched")))))</x:f>
      </x:c>
      <x:c r="G232" s="13" t="str">
        <x:f>IF($A232="","",IF($D232&lt;&gt;'Team Setup'!$B$4,"Other sprint",IF($E232="","Unestimated",IF(NOT(ISNUMBER($E232)),"Check estimate in hours",IF($E232&lt;0,"Check estimate in hours",IF($E232=0,"Unestimated","Estimated"))))))</x:f>
      </x:c>
    </x:row>
    <x:row r="233">
      <x:c r="A233" s="12"/>
      <x:c r="B233" s="12"/>
      <x:c r="C233" s="12"/>
      <x:c r="D233" s="12"/>
      <x:c r="E233" s="14"/>
      <x:c r="F233" s="13" t="str">
        <x:f>IF($A233="","",IF($D233&lt;&gt;'Team Setup'!$B$4,"Other sprint",IF($C233="","Unassigned",IF(OR(ISNUMBER(SEARCH(",",$C233)),ISNUMBER(SEARCH(";",$C233))),"Multiple assignees",IF(COUNTIF('Team Setup'!$B$10:$B$34,$C233)=1,"Matched","Unmatched")))))</x:f>
      </x:c>
      <x:c r="G233" s="13" t="str">
        <x:f>IF($A233="","",IF($D233&lt;&gt;'Team Setup'!$B$4,"Other sprint",IF($E233="","Unestimated",IF(NOT(ISNUMBER($E233)),"Check estimate in hours",IF($E233&lt;0,"Check estimate in hours",IF($E233=0,"Unestimated","Estimated"))))))</x:f>
      </x:c>
    </x:row>
    <x:row r="234">
      <x:c r="A234" s="12"/>
      <x:c r="B234" s="12"/>
      <x:c r="C234" s="12"/>
      <x:c r="D234" s="12"/>
      <x:c r="E234" s="14"/>
      <x:c r="F234" s="13" t="str">
        <x:f>IF($A234="","",IF($D234&lt;&gt;'Team Setup'!$B$4,"Other sprint",IF($C234="","Unassigned",IF(OR(ISNUMBER(SEARCH(",",$C234)),ISNUMBER(SEARCH(";",$C234))),"Multiple assignees",IF(COUNTIF('Team Setup'!$B$10:$B$34,$C234)=1,"Matched","Unmatched")))))</x:f>
      </x:c>
      <x:c r="G234" s="13" t="str">
        <x:f>IF($A234="","",IF($D234&lt;&gt;'Team Setup'!$B$4,"Other sprint",IF($E234="","Unestimated",IF(NOT(ISNUMBER($E234)),"Check estimate in hours",IF($E234&lt;0,"Check estimate in hours",IF($E234=0,"Unestimated","Estimated"))))))</x:f>
      </x:c>
    </x:row>
    <x:row r="235">
      <x:c r="A235" s="12"/>
      <x:c r="B235" s="12"/>
      <x:c r="C235" s="12"/>
      <x:c r="D235" s="12"/>
      <x:c r="E235" s="14"/>
      <x:c r="F235" s="13" t="str">
        <x:f>IF($A235="","",IF($D235&lt;&gt;'Team Setup'!$B$4,"Other sprint",IF($C235="","Unassigned",IF(OR(ISNUMBER(SEARCH(",",$C235)),ISNUMBER(SEARCH(";",$C235))),"Multiple assignees",IF(COUNTIF('Team Setup'!$B$10:$B$34,$C235)=1,"Matched","Unmatched")))))</x:f>
      </x:c>
      <x:c r="G235" s="13" t="str">
        <x:f>IF($A235="","",IF($D235&lt;&gt;'Team Setup'!$B$4,"Other sprint",IF($E235="","Unestimated",IF(NOT(ISNUMBER($E235)),"Check estimate in hours",IF($E235&lt;0,"Check estimate in hours",IF($E235=0,"Unestimated","Estimated"))))))</x:f>
      </x:c>
    </x:row>
    <x:row r="236">
      <x:c r="A236" s="12"/>
      <x:c r="B236" s="12"/>
      <x:c r="C236" s="12"/>
      <x:c r="D236" s="12"/>
      <x:c r="E236" s="14"/>
      <x:c r="F236" s="13" t="str">
        <x:f>IF($A236="","",IF($D236&lt;&gt;'Team Setup'!$B$4,"Other sprint",IF($C236="","Unassigned",IF(OR(ISNUMBER(SEARCH(",",$C236)),ISNUMBER(SEARCH(";",$C236))),"Multiple assignees",IF(COUNTIF('Team Setup'!$B$10:$B$34,$C236)=1,"Matched","Unmatched")))))</x:f>
      </x:c>
      <x:c r="G236" s="13" t="str">
        <x:f>IF($A236="","",IF($D236&lt;&gt;'Team Setup'!$B$4,"Other sprint",IF($E236="","Unestimated",IF(NOT(ISNUMBER($E236)),"Check estimate in hours",IF($E236&lt;0,"Check estimate in hours",IF($E236=0,"Unestimated","Estimated"))))))</x:f>
      </x:c>
    </x:row>
    <x:row r="237">
      <x:c r="A237" s="12"/>
      <x:c r="B237" s="12"/>
      <x:c r="C237" s="12"/>
      <x:c r="D237" s="12"/>
      <x:c r="E237" s="14"/>
      <x:c r="F237" s="13" t="str">
        <x:f>IF($A237="","",IF($D237&lt;&gt;'Team Setup'!$B$4,"Other sprint",IF($C237="","Unassigned",IF(OR(ISNUMBER(SEARCH(",",$C237)),ISNUMBER(SEARCH(";",$C237))),"Multiple assignees",IF(COUNTIF('Team Setup'!$B$10:$B$34,$C237)=1,"Matched","Unmatched")))))</x:f>
      </x:c>
      <x:c r="G237" s="13" t="str">
        <x:f>IF($A237="","",IF($D237&lt;&gt;'Team Setup'!$B$4,"Other sprint",IF($E237="","Unestimated",IF(NOT(ISNUMBER($E237)),"Check estimate in hours",IF($E237&lt;0,"Check estimate in hours",IF($E237=0,"Unestimated","Estimated"))))))</x:f>
      </x:c>
    </x:row>
    <x:row r="238">
      <x:c r="A238" s="12"/>
      <x:c r="B238" s="12"/>
      <x:c r="C238" s="12"/>
      <x:c r="D238" s="12"/>
      <x:c r="E238" s="14"/>
      <x:c r="F238" s="13" t="str">
        <x:f>IF($A238="","",IF($D238&lt;&gt;'Team Setup'!$B$4,"Other sprint",IF($C238="","Unassigned",IF(OR(ISNUMBER(SEARCH(",",$C238)),ISNUMBER(SEARCH(";",$C238))),"Multiple assignees",IF(COUNTIF('Team Setup'!$B$10:$B$34,$C238)=1,"Matched","Unmatched")))))</x:f>
      </x:c>
      <x:c r="G238" s="13" t="str">
        <x:f>IF($A238="","",IF($D238&lt;&gt;'Team Setup'!$B$4,"Other sprint",IF($E238="","Unestimated",IF(NOT(ISNUMBER($E238)),"Check estimate in hours",IF($E238&lt;0,"Check estimate in hours",IF($E238=0,"Unestimated","Estimated"))))))</x:f>
      </x:c>
    </x:row>
    <x:row r="239">
      <x:c r="A239" s="12"/>
      <x:c r="B239" s="12"/>
      <x:c r="C239" s="12"/>
      <x:c r="D239" s="12"/>
      <x:c r="E239" s="14"/>
      <x:c r="F239" s="13" t="str">
        <x:f>IF($A239="","",IF($D239&lt;&gt;'Team Setup'!$B$4,"Other sprint",IF($C239="","Unassigned",IF(OR(ISNUMBER(SEARCH(",",$C239)),ISNUMBER(SEARCH(";",$C239))),"Multiple assignees",IF(COUNTIF('Team Setup'!$B$10:$B$34,$C239)=1,"Matched","Unmatched")))))</x:f>
      </x:c>
      <x:c r="G239" s="13" t="str">
        <x:f>IF($A239="","",IF($D239&lt;&gt;'Team Setup'!$B$4,"Other sprint",IF($E239="","Unestimated",IF(NOT(ISNUMBER($E239)),"Check estimate in hours",IF($E239&lt;0,"Check estimate in hours",IF($E239=0,"Unestimated","Estimated"))))))</x:f>
      </x:c>
    </x:row>
    <x:row r="240">
      <x:c r="A240" s="12"/>
      <x:c r="B240" s="12"/>
      <x:c r="C240" s="12"/>
      <x:c r="D240" s="12"/>
      <x:c r="E240" s="14"/>
      <x:c r="F240" s="13" t="str">
        <x:f>IF($A240="","",IF($D240&lt;&gt;'Team Setup'!$B$4,"Other sprint",IF($C240="","Unassigned",IF(OR(ISNUMBER(SEARCH(",",$C240)),ISNUMBER(SEARCH(";",$C240))),"Multiple assignees",IF(COUNTIF('Team Setup'!$B$10:$B$34,$C240)=1,"Matched","Unmatched")))))</x:f>
      </x:c>
      <x:c r="G240" s="13" t="str">
        <x:f>IF($A240="","",IF($D240&lt;&gt;'Team Setup'!$B$4,"Other sprint",IF($E240="","Unestimated",IF(NOT(ISNUMBER($E240)),"Check estimate in hours",IF($E240&lt;0,"Check estimate in hours",IF($E240=0,"Unestimated","Estimated"))))))</x:f>
      </x:c>
    </x:row>
    <x:row r="241">
      <x:c r="A241" s="12"/>
      <x:c r="B241" s="12"/>
      <x:c r="C241" s="12"/>
      <x:c r="D241" s="12"/>
      <x:c r="E241" s="14"/>
      <x:c r="F241" s="13" t="str">
        <x:f>IF($A241="","",IF($D241&lt;&gt;'Team Setup'!$B$4,"Other sprint",IF($C241="","Unassigned",IF(OR(ISNUMBER(SEARCH(",",$C241)),ISNUMBER(SEARCH(";",$C241))),"Multiple assignees",IF(COUNTIF('Team Setup'!$B$10:$B$34,$C241)=1,"Matched","Unmatched")))))</x:f>
      </x:c>
      <x:c r="G241" s="13" t="str">
        <x:f>IF($A241="","",IF($D241&lt;&gt;'Team Setup'!$B$4,"Other sprint",IF($E241="","Unestimated",IF(NOT(ISNUMBER($E241)),"Check estimate in hours",IF($E241&lt;0,"Check estimate in hours",IF($E241=0,"Unestimated","Estimated"))))))</x:f>
      </x:c>
    </x:row>
    <x:row r="242">
      <x:c r="A242" s="12"/>
      <x:c r="B242" s="12"/>
      <x:c r="C242" s="12"/>
      <x:c r="D242" s="12"/>
      <x:c r="E242" s="14"/>
      <x:c r="F242" s="13" t="str">
        <x:f>IF($A242="","",IF($D242&lt;&gt;'Team Setup'!$B$4,"Other sprint",IF($C242="","Unassigned",IF(OR(ISNUMBER(SEARCH(",",$C242)),ISNUMBER(SEARCH(";",$C242))),"Multiple assignees",IF(COUNTIF('Team Setup'!$B$10:$B$34,$C242)=1,"Matched","Unmatched")))))</x:f>
      </x:c>
      <x:c r="G242" s="13" t="str">
        <x:f>IF($A242="","",IF($D242&lt;&gt;'Team Setup'!$B$4,"Other sprint",IF($E242="","Unestimated",IF(NOT(ISNUMBER($E242)),"Check estimate in hours",IF($E242&lt;0,"Check estimate in hours",IF($E242=0,"Unestimated","Estimated"))))))</x:f>
      </x:c>
    </x:row>
    <x:row r="243">
      <x:c r="A243" s="12"/>
      <x:c r="B243" s="12"/>
      <x:c r="C243" s="12"/>
      <x:c r="D243" s="12"/>
      <x:c r="E243" s="14"/>
      <x:c r="F243" s="13" t="str">
        <x:f>IF($A243="","",IF($D243&lt;&gt;'Team Setup'!$B$4,"Other sprint",IF($C243="","Unassigned",IF(OR(ISNUMBER(SEARCH(",",$C243)),ISNUMBER(SEARCH(";",$C243))),"Multiple assignees",IF(COUNTIF('Team Setup'!$B$10:$B$34,$C243)=1,"Matched","Unmatched")))))</x:f>
      </x:c>
      <x:c r="G243" s="13" t="str">
        <x:f>IF($A243="","",IF($D243&lt;&gt;'Team Setup'!$B$4,"Other sprint",IF($E243="","Unestimated",IF(NOT(ISNUMBER($E243)),"Check estimate in hours",IF($E243&lt;0,"Check estimate in hours",IF($E243=0,"Unestimated","Estimated"))))))</x:f>
      </x:c>
    </x:row>
    <x:row r="244">
      <x:c r="A244" s="12"/>
      <x:c r="B244" s="12"/>
      <x:c r="C244" s="12"/>
      <x:c r="D244" s="12"/>
      <x:c r="E244" s="14"/>
      <x:c r="F244" s="13" t="str">
        <x:f>IF($A244="","",IF($D244&lt;&gt;'Team Setup'!$B$4,"Other sprint",IF($C244="","Unassigned",IF(OR(ISNUMBER(SEARCH(",",$C244)),ISNUMBER(SEARCH(";",$C244))),"Multiple assignees",IF(COUNTIF('Team Setup'!$B$10:$B$34,$C244)=1,"Matched","Unmatched")))))</x:f>
      </x:c>
      <x:c r="G244" s="13" t="str">
        <x:f>IF($A244="","",IF($D244&lt;&gt;'Team Setup'!$B$4,"Other sprint",IF($E244="","Unestimated",IF(NOT(ISNUMBER($E244)),"Check estimate in hours",IF($E244&lt;0,"Check estimate in hours",IF($E244=0,"Unestimated","Estimated"))))))</x:f>
      </x:c>
    </x:row>
    <x:row r="245">
      <x:c r="A245" s="12"/>
      <x:c r="B245" s="12"/>
      <x:c r="C245" s="12"/>
      <x:c r="D245" s="12"/>
      <x:c r="E245" s="14"/>
      <x:c r="F245" s="13" t="str">
        <x:f>IF($A245="","",IF($D245&lt;&gt;'Team Setup'!$B$4,"Other sprint",IF($C245="","Unassigned",IF(OR(ISNUMBER(SEARCH(",",$C245)),ISNUMBER(SEARCH(";",$C245))),"Multiple assignees",IF(COUNTIF('Team Setup'!$B$10:$B$34,$C245)=1,"Matched","Unmatched")))))</x:f>
      </x:c>
      <x:c r="G245" s="13" t="str">
        <x:f>IF($A245="","",IF($D245&lt;&gt;'Team Setup'!$B$4,"Other sprint",IF($E245="","Unestimated",IF(NOT(ISNUMBER($E245)),"Check estimate in hours",IF($E245&lt;0,"Check estimate in hours",IF($E245=0,"Unestimated","Estimated"))))))</x:f>
      </x:c>
    </x:row>
    <x:row r="246">
      <x:c r="A246" s="12"/>
      <x:c r="B246" s="12"/>
      <x:c r="C246" s="12"/>
      <x:c r="D246" s="12"/>
      <x:c r="E246" s="14"/>
      <x:c r="F246" s="13" t="str">
        <x:f>IF($A246="","",IF($D246&lt;&gt;'Team Setup'!$B$4,"Other sprint",IF($C246="","Unassigned",IF(OR(ISNUMBER(SEARCH(",",$C246)),ISNUMBER(SEARCH(";",$C246))),"Multiple assignees",IF(COUNTIF('Team Setup'!$B$10:$B$34,$C246)=1,"Matched","Unmatched")))))</x:f>
      </x:c>
      <x:c r="G246" s="13" t="str">
        <x:f>IF($A246="","",IF($D246&lt;&gt;'Team Setup'!$B$4,"Other sprint",IF($E246="","Unestimated",IF(NOT(ISNUMBER($E246)),"Check estimate in hours",IF($E246&lt;0,"Check estimate in hours",IF($E246=0,"Unestimated","Estimated"))))))</x:f>
      </x:c>
    </x:row>
    <x:row r="247">
      <x:c r="A247" s="12"/>
      <x:c r="B247" s="12"/>
      <x:c r="C247" s="12"/>
      <x:c r="D247" s="12"/>
      <x:c r="E247" s="14"/>
      <x:c r="F247" s="13" t="str">
        <x:f>IF($A247="","",IF($D247&lt;&gt;'Team Setup'!$B$4,"Other sprint",IF($C247="","Unassigned",IF(OR(ISNUMBER(SEARCH(",",$C247)),ISNUMBER(SEARCH(";",$C247))),"Multiple assignees",IF(COUNTIF('Team Setup'!$B$10:$B$34,$C247)=1,"Matched","Unmatched")))))</x:f>
      </x:c>
      <x:c r="G247" s="13" t="str">
        <x:f>IF($A247="","",IF($D247&lt;&gt;'Team Setup'!$B$4,"Other sprint",IF($E247="","Unestimated",IF(NOT(ISNUMBER($E247)),"Check estimate in hours",IF($E247&lt;0,"Check estimate in hours",IF($E247=0,"Unestimated","Estimated"))))))</x:f>
      </x:c>
    </x:row>
    <x:row r="248">
      <x:c r="A248" s="12"/>
      <x:c r="B248" s="12"/>
      <x:c r="C248" s="12"/>
      <x:c r="D248" s="12"/>
      <x:c r="E248" s="14"/>
      <x:c r="F248" s="13" t="str">
        <x:f>IF($A248="","",IF($D248&lt;&gt;'Team Setup'!$B$4,"Other sprint",IF($C248="","Unassigned",IF(OR(ISNUMBER(SEARCH(",",$C248)),ISNUMBER(SEARCH(";",$C248))),"Multiple assignees",IF(COUNTIF('Team Setup'!$B$10:$B$34,$C248)=1,"Matched","Unmatched")))))</x:f>
      </x:c>
      <x:c r="G248" s="13" t="str">
        <x:f>IF($A248="","",IF($D248&lt;&gt;'Team Setup'!$B$4,"Other sprint",IF($E248="","Unestimated",IF(NOT(ISNUMBER($E248)),"Check estimate in hours",IF($E248&lt;0,"Check estimate in hours",IF($E248=0,"Unestimated","Estimated"))))))</x:f>
      </x:c>
    </x:row>
    <x:row r="249">
      <x:c r="A249" s="12"/>
      <x:c r="B249" s="12"/>
      <x:c r="C249" s="12"/>
      <x:c r="D249" s="12"/>
      <x:c r="E249" s="14"/>
      <x:c r="F249" s="13" t="str">
        <x:f>IF($A249="","",IF($D249&lt;&gt;'Team Setup'!$B$4,"Other sprint",IF($C249="","Unassigned",IF(OR(ISNUMBER(SEARCH(",",$C249)),ISNUMBER(SEARCH(";",$C249))),"Multiple assignees",IF(COUNTIF('Team Setup'!$B$10:$B$34,$C249)=1,"Matched","Unmatched")))))</x:f>
      </x:c>
      <x:c r="G249" s="13" t="str">
        <x:f>IF($A249="","",IF($D249&lt;&gt;'Team Setup'!$B$4,"Other sprint",IF($E249="","Unestimated",IF(NOT(ISNUMBER($E249)),"Check estimate in hours",IF($E249&lt;0,"Check estimate in hours",IF($E249=0,"Unestimated","Estimated"))))))</x:f>
      </x:c>
    </x:row>
    <x:row r="250">
      <x:c r="A250" s="12"/>
      <x:c r="B250" s="12"/>
      <x:c r="C250" s="12"/>
      <x:c r="D250" s="12"/>
      <x:c r="E250" s="14"/>
      <x:c r="F250" s="13" t="str">
        <x:f>IF($A250="","",IF($D250&lt;&gt;'Team Setup'!$B$4,"Other sprint",IF($C250="","Unassigned",IF(OR(ISNUMBER(SEARCH(",",$C250)),ISNUMBER(SEARCH(";",$C250))),"Multiple assignees",IF(COUNTIF('Team Setup'!$B$10:$B$34,$C250)=1,"Matched","Unmatched")))))</x:f>
      </x:c>
      <x:c r="G250" s="13" t="str">
        <x:f>IF($A250="","",IF($D250&lt;&gt;'Team Setup'!$B$4,"Other sprint",IF($E250="","Unestimated",IF(NOT(ISNUMBER($E250)),"Check estimate in hours",IF($E250&lt;0,"Check estimate in hours",IF($E250=0,"Unestimated","Estimated"))))))</x:f>
      </x:c>
    </x:row>
    <x:row r="251">
      <x:c r="A251" s="12"/>
      <x:c r="B251" s="12"/>
      <x:c r="C251" s="12"/>
      <x:c r="D251" s="12"/>
      <x:c r="E251" s="14"/>
      <x:c r="F251" s="13" t="str">
        <x:f>IF($A251="","",IF($D251&lt;&gt;'Team Setup'!$B$4,"Other sprint",IF($C251="","Unassigned",IF(OR(ISNUMBER(SEARCH(",",$C251)),ISNUMBER(SEARCH(";",$C251))),"Multiple assignees",IF(COUNTIF('Team Setup'!$B$10:$B$34,$C251)=1,"Matched","Unmatched")))))</x:f>
      </x:c>
      <x:c r="G251" s="13" t="str">
        <x:f>IF($A251="","",IF($D251&lt;&gt;'Team Setup'!$B$4,"Other sprint",IF($E251="","Unestimated",IF(NOT(ISNUMBER($E251)),"Check estimate in hours",IF($E251&lt;0,"Check estimate in hours",IF($E251=0,"Unestimated","Estimated"))))))</x:f>
      </x:c>
    </x:row>
    <x:row r="252">
      <x:c r="A252" s="12"/>
      <x:c r="B252" s="12"/>
      <x:c r="C252" s="12"/>
      <x:c r="D252" s="12"/>
      <x:c r="E252" s="14"/>
      <x:c r="F252" s="13" t="str">
        <x:f>IF($A252="","",IF($D252&lt;&gt;'Team Setup'!$B$4,"Other sprint",IF($C252="","Unassigned",IF(OR(ISNUMBER(SEARCH(",",$C252)),ISNUMBER(SEARCH(";",$C252))),"Multiple assignees",IF(COUNTIF('Team Setup'!$B$10:$B$34,$C252)=1,"Matched","Unmatched")))))</x:f>
      </x:c>
      <x:c r="G252" s="13" t="str">
        <x:f>IF($A252="","",IF($D252&lt;&gt;'Team Setup'!$B$4,"Other sprint",IF($E252="","Unestimated",IF(NOT(ISNUMBER($E252)),"Check estimate in hours",IF($E252&lt;0,"Check estimate in hours",IF($E252=0,"Unestimated","Estimated"))))))</x:f>
      </x:c>
    </x:row>
    <x:row r="253">
      <x:c r="A253" s="12"/>
      <x:c r="B253" s="12"/>
      <x:c r="C253" s="12"/>
      <x:c r="D253" s="12"/>
      <x:c r="E253" s="14"/>
      <x:c r="F253" s="13" t="str">
        <x:f>IF($A253="","",IF($D253&lt;&gt;'Team Setup'!$B$4,"Other sprint",IF($C253="","Unassigned",IF(OR(ISNUMBER(SEARCH(",",$C253)),ISNUMBER(SEARCH(";",$C253))),"Multiple assignees",IF(COUNTIF('Team Setup'!$B$10:$B$34,$C253)=1,"Matched","Unmatched")))))</x:f>
      </x:c>
      <x:c r="G253" s="13" t="str">
        <x:f>IF($A253="","",IF($D253&lt;&gt;'Team Setup'!$B$4,"Other sprint",IF($E253="","Unestimated",IF(NOT(ISNUMBER($E253)),"Check estimate in hours",IF($E253&lt;0,"Check estimate in hours",IF($E253=0,"Unestimated","Estimated"))))))</x:f>
      </x:c>
    </x:row>
    <x:row r="254">
      <x:c r="A254" s="12"/>
      <x:c r="B254" s="12"/>
      <x:c r="C254" s="12"/>
      <x:c r="D254" s="12"/>
      <x:c r="E254" s="14"/>
      <x:c r="F254" s="13" t="str">
        <x:f>IF($A254="","",IF($D254&lt;&gt;'Team Setup'!$B$4,"Other sprint",IF($C254="","Unassigned",IF(OR(ISNUMBER(SEARCH(",",$C254)),ISNUMBER(SEARCH(";",$C254))),"Multiple assignees",IF(COUNTIF('Team Setup'!$B$10:$B$34,$C254)=1,"Matched","Unmatched")))))</x:f>
      </x:c>
      <x:c r="G254" s="13" t="str">
        <x:f>IF($A254="","",IF($D254&lt;&gt;'Team Setup'!$B$4,"Other sprint",IF($E254="","Unestimated",IF(NOT(ISNUMBER($E254)),"Check estimate in hours",IF($E254&lt;0,"Check estimate in hours",IF($E254=0,"Unestimated","Estimated"))))))</x:f>
      </x:c>
    </x:row>
    <x:row r="255">
      <x:c r="A255" s="12"/>
      <x:c r="B255" s="12"/>
      <x:c r="C255" s="12"/>
      <x:c r="D255" s="12"/>
      <x:c r="E255" s="14"/>
      <x:c r="F255" s="13" t="str">
        <x:f>IF($A255="","",IF($D255&lt;&gt;'Team Setup'!$B$4,"Other sprint",IF($C255="","Unassigned",IF(OR(ISNUMBER(SEARCH(",",$C255)),ISNUMBER(SEARCH(";",$C255))),"Multiple assignees",IF(COUNTIF('Team Setup'!$B$10:$B$34,$C255)=1,"Matched","Unmatched")))))</x:f>
      </x:c>
      <x:c r="G255" s="13" t="str">
        <x:f>IF($A255="","",IF($D255&lt;&gt;'Team Setup'!$B$4,"Other sprint",IF($E255="","Unestimated",IF(NOT(ISNUMBER($E255)),"Check estimate in hours",IF($E255&lt;0,"Check estimate in hours",IF($E255=0,"Unestimated","Estimated"))))))</x:f>
      </x:c>
    </x:row>
    <x:row r="256">
      <x:c r="A256" s="12"/>
      <x:c r="B256" s="12"/>
      <x:c r="C256" s="12"/>
      <x:c r="D256" s="12"/>
      <x:c r="E256" s="14"/>
      <x:c r="F256" s="13" t="str">
        <x:f>IF($A256="","",IF($D256&lt;&gt;'Team Setup'!$B$4,"Other sprint",IF($C256="","Unassigned",IF(OR(ISNUMBER(SEARCH(",",$C256)),ISNUMBER(SEARCH(";",$C256))),"Multiple assignees",IF(COUNTIF('Team Setup'!$B$10:$B$34,$C256)=1,"Matched","Unmatched")))))</x:f>
      </x:c>
      <x:c r="G256" s="13" t="str">
        <x:f>IF($A256="","",IF($D256&lt;&gt;'Team Setup'!$B$4,"Other sprint",IF($E256="","Unestimated",IF(NOT(ISNUMBER($E256)),"Check estimate in hours",IF($E256&lt;0,"Check estimate in hours",IF($E256=0,"Unestimated","Estimated"))))))</x:f>
      </x:c>
    </x:row>
    <x:row r="257">
      <x:c r="A257" s="12"/>
      <x:c r="B257" s="12"/>
      <x:c r="C257" s="12"/>
      <x:c r="D257" s="12"/>
      <x:c r="E257" s="14"/>
      <x:c r="F257" s="13" t="str">
        <x:f>IF($A257="","",IF($D257&lt;&gt;'Team Setup'!$B$4,"Other sprint",IF($C257="","Unassigned",IF(OR(ISNUMBER(SEARCH(",",$C257)),ISNUMBER(SEARCH(";",$C257))),"Multiple assignees",IF(COUNTIF('Team Setup'!$B$10:$B$34,$C257)=1,"Matched","Unmatched")))))</x:f>
      </x:c>
      <x:c r="G257" s="13" t="str">
        <x:f>IF($A257="","",IF($D257&lt;&gt;'Team Setup'!$B$4,"Other sprint",IF($E257="","Unestimated",IF(NOT(ISNUMBER($E257)),"Check estimate in hours",IF($E257&lt;0,"Check estimate in hours",IF($E257=0,"Unestimated","Estimated"))))))</x:f>
      </x:c>
    </x:row>
    <x:row r="258">
      <x:c r="A258" s="12"/>
      <x:c r="B258" s="12"/>
      <x:c r="C258" s="12"/>
      <x:c r="D258" s="12"/>
      <x:c r="E258" s="14"/>
      <x:c r="F258" s="13" t="str">
        <x:f>IF($A258="","",IF($D258&lt;&gt;'Team Setup'!$B$4,"Other sprint",IF($C258="","Unassigned",IF(OR(ISNUMBER(SEARCH(",",$C258)),ISNUMBER(SEARCH(";",$C258))),"Multiple assignees",IF(COUNTIF('Team Setup'!$B$10:$B$34,$C258)=1,"Matched","Unmatched")))))</x:f>
      </x:c>
      <x:c r="G258" s="13" t="str">
        <x:f>IF($A258="","",IF($D258&lt;&gt;'Team Setup'!$B$4,"Other sprint",IF($E258="","Unestimated",IF(NOT(ISNUMBER($E258)),"Check estimate in hours",IF($E258&lt;0,"Check estimate in hours",IF($E258=0,"Unestimated","Estimated"))))))</x:f>
      </x:c>
    </x:row>
    <x:row r="259">
      <x:c r="A259" s="12"/>
      <x:c r="B259" s="12"/>
      <x:c r="C259" s="12"/>
      <x:c r="D259" s="12"/>
      <x:c r="E259" s="14"/>
      <x:c r="F259" s="13" t="str">
        <x:f>IF($A259="","",IF($D259&lt;&gt;'Team Setup'!$B$4,"Other sprint",IF($C259="","Unassigned",IF(OR(ISNUMBER(SEARCH(",",$C259)),ISNUMBER(SEARCH(";",$C259))),"Multiple assignees",IF(COUNTIF('Team Setup'!$B$10:$B$34,$C259)=1,"Matched","Unmatched")))))</x:f>
      </x:c>
      <x:c r="G259" s="13" t="str">
        <x:f>IF($A259="","",IF($D259&lt;&gt;'Team Setup'!$B$4,"Other sprint",IF($E259="","Unestimated",IF(NOT(ISNUMBER($E259)),"Check estimate in hours",IF($E259&lt;0,"Check estimate in hours",IF($E259=0,"Unestimated","Estimated"))))))</x:f>
      </x:c>
    </x:row>
    <x:row r="260">
      <x:c r="A260" s="12"/>
      <x:c r="B260" s="12"/>
      <x:c r="C260" s="12"/>
      <x:c r="D260" s="12"/>
      <x:c r="E260" s="14"/>
      <x:c r="F260" s="13" t="str">
        <x:f>IF($A260="","",IF($D260&lt;&gt;'Team Setup'!$B$4,"Other sprint",IF($C260="","Unassigned",IF(OR(ISNUMBER(SEARCH(",",$C260)),ISNUMBER(SEARCH(";",$C260))),"Multiple assignees",IF(COUNTIF('Team Setup'!$B$10:$B$34,$C260)=1,"Matched","Unmatched")))))</x:f>
      </x:c>
      <x:c r="G260" s="13" t="str">
        <x:f>IF($A260="","",IF($D260&lt;&gt;'Team Setup'!$B$4,"Other sprint",IF($E260="","Unestimated",IF(NOT(ISNUMBER($E260)),"Check estimate in hours",IF($E260&lt;0,"Check estimate in hours",IF($E260=0,"Unestimated","Estimated"))))))</x:f>
      </x:c>
    </x:row>
    <x:row r="261">
      <x:c r="A261" s="12"/>
      <x:c r="B261" s="12"/>
      <x:c r="C261" s="12"/>
      <x:c r="D261" s="12"/>
      <x:c r="E261" s="14"/>
      <x:c r="F261" s="13" t="str">
        <x:f>IF($A261="","",IF($D261&lt;&gt;'Team Setup'!$B$4,"Other sprint",IF($C261="","Unassigned",IF(OR(ISNUMBER(SEARCH(",",$C261)),ISNUMBER(SEARCH(";",$C261))),"Multiple assignees",IF(COUNTIF('Team Setup'!$B$10:$B$34,$C261)=1,"Matched","Unmatched")))))</x:f>
      </x:c>
      <x:c r="G261" s="13" t="str">
        <x:f>IF($A261="","",IF($D261&lt;&gt;'Team Setup'!$B$4,"Other sprint",IF($E261="","Unestimated",IF(NOT(ISNUMBER($E261)),"Check estimate in hours",IF($E261&lt;0,"Check estimate in hours",IF($E261=0,"Unestimated","Estimated"))))))</x:f>
      </x:c>
    </x:row>
    <x:row r="262">
      <x:c r="A262" s="12"/>
      <x:c r="B262" s="12"/>
      <x:c r="C262" s="12"/>
      <x:c r="D262" s="12"/>
      <x:c r="E262" s="14"/>
      <x:c r="F262" s="13" t="str">
        <x:f>IF($A262="","",IF($D262&lt;&gt;'Team Setup'!$B$4,"Other sprint",IF($C262="","Unassigned",IF(OR(ISNUMBER(SEARCH(",",$C262)),ISNUMBER(SEARCH(";",$C262))),"Multiple assignees",IF(COUNTIF('Team Setup'!$B$10:$B$34,$C262)=1,"Matched","Unmatched")))))</x:f>
      </x:c>
      <x:c r="G262" s="13" t="str">
        <x:f>IF($A262="","",IF($D262&lt;&gt;'Team Setup'!$B$4,"Other sprint",IF($E262="","Unestimated",IF(NOT(ISNUMBER($E262)),"Check estimate in hours",IF($E262&lt;0,"Check estimate in hours",IF($E262=0,"Unestimated","Estimated"))))))</x:f>
      </x:c>
    </x:row>
    <x:row r="263">
      <x:c r="A263" s="12"/>
      <x:c r="B263" s="12"/>
      <x:c r="C263" s="12"/>
      <x:c r="D263" s="12"/>
      <x:c r="E263" s="14"/>
      <x:c r="F263" s="13" t="str">
        <x:f>IF($A263="","",IF($D263&lt;&gt;'Team Setup'!$B$4,"Other sprint",IF($C263="","Unassigned",IF(OR(ISNUMBER(SEARCH(",",$C263)),ISNUMBER(SEARCH(";",$C263))),"Multiple assignees",IF(COUNTIF('Team Setup'!$B$10:$B$34,$C263)=1,"Matched","Unmatched")))))</x:f>
      </x:c>
      <x:c r="G263" s="13" t="str">
        <x:f>IF($A263="","",IF($D263&lt;&gt;'Team Setup'!$B$4,"Other sprint",IF($E263="","Unestimated",IF(NOT(ISNUMBER($E263)),"Check estimate in hours",IF($E263&lt;0,"Check estimate in hours",IF($E263=0,"Unestimated","Estimated"))))))</x:f>
      </x:c>
    </x:row>
    <x:row r="264">
      <x:c r="A264" s="12"/>
      <x:c r="B264" s="12"/>
      <x:c r="C264" s="12"/>
      <x:c r="D264" s="12"/>
      <x:c r="E264" s="14"/>
      <x:c r="F264" s="13" t="str">
        <x:f>IF($A264="","",IF($D264&lt;&gt;'Team Setup'!$B$4,"Other sprint",IF($C264="","Unassigned",IF(OR(ISNUMBER(SEARCH(",",$C264)),ISNUMBER(SEARCH(";",$C264))),"Multiple assignees",IF(COUNTIF('Team Setup'!$B$10:$B$34,$C264)=1,"Matched","Unmatched")))))</x:f>
      </x:c>
      <x:c r="G264" s="13" t="str">
        <x:f>IF($A264="","",IF($D264&lt;&gt;'Team Setup'!$B$4,"Other sprint",IF($E264="","Unestimated",IF(NOT(ISNUMBER($E264)),"Check estimate in hours",IF($E264&lt;0,"Check estimate in hours",IF($E264=0,"Unestimated","Estimated"))))))</x:f>
      </x:c>
    </x:row>
    <x:row r="265">
      <x:c r="A265" s="12"/>
      <x:c r="B265" s="12"/>
      <x:c r="C265" s="12"/>
      <x:c r="D265" s="12"/>
      <x:c r="E265" s="14"/>
      <x:c r="F265" s="13" t="str">
        <x:f>IF($A265="","",IF($D265&lt;&gt;'Team Setup'!$B$4,"Other sprint",IF($C265="","Unassigned",IF(OR(ISNUMBER(SEARCH(",",$C265)),ISNUMBER(SEARCH(";",$C265))),"Multiple assignees",IF(COUNTIF('Team Setup'!$B$10:$B$34,$C265)=1,"Matched","Unmatched")))))</x:f>
      </x:c>
      <x:c r="G265" s="13" t="str">
        <x:f>IF($A265="","",IF($D265&lt;&gt;'Team Setup'!$B$4,"Other sprint",IF($E265="","Unestimated",IF(NOT(ISNUMBER($E265)),"Check estimate in hours",IF($E265&lt;0,"Check estimate in hours",IF($E265=0,"Unestimated","Estimated"))))))</x:f>
      </x:c>
    </x:row>
    <x:row r="266">
      <x:c r="A266" s="12"/>
      <x:c r="B266" s="12"/>
      <x:c r="C266" s="12"/>
      <x:c r="D266" s="12"/>
      <x:c r="E266" s="14"/>
      <x:c r="F266" s="13" t="str">
        <x:f>IF($A266="","",IF($D266&lt;&gt;'Team Setup'!$B$4,"Other sprint",IF($C266="","Unassigned",IF(OR(ISNUMBER(SEARCH(",",$C266)),ISNUMBER(SEARCH(";",$C266))),"Multiple assignees",IF(COUNTIF('Team Setup'!$B$10:$B$34,$C266)=1,"Matched","Unmatched")))))</x:f>
      </x:c>
      <x:c r="G266" s="13" t="str">
        <x:f>IF($A266="","",IF($D266&lt;&gt;'Team Setup'!$B$4,"Other sprint",IF($E266="","Unestimated",IF(NOT(ISNUMBER($E266)),"Check estimate in hours",IF($E266&lt;0,"Check estimate in hours",IF($E266=0,"Unestimated","Estimated"))))))</x:f>
      </x:c>
    </x:row>
    <x:row r="267">
      <x:c r="A267" s="12"/>
      <x:c r="B267" s="12"/>
      <x:c r="C267" s="12"/>
      <x:c r="D267" s="12"/>
      <x:c r="E267" s="14"/>
      <x:c r="F267" s="13" t="str">
        <x:f>IF($A267="","",IF($D267&lt;&gt;'Team Setup'!$B$4,"Other sprint",IF($C267="","Unassigned",IF(OR(ISNUMBER(SEARCH(",",$C267)),ISNUMBER(SEARCH(";",$C267))),"Multiple assignees",IF(COUNTIF('Team Setup'!$B$10:$B$34,$C267)=1,"Matched","Unmatched")))))</x:f>
      </x:c>
      <x:c r="G267" s="13" t="str">
        <x:f>IF($A267="","",IF($D267&lt;&gt;'Team Setup'!$B$4,"Other sprint",IF($E267="","Unestimated",IF(NOT(ISNUMBER($E267)),"Check estimate in hours",IF($E267&lt;0,"Check estimate in hours",IF($E267=0,"Unestimated","Estimated"))))))</x:f>
      </x:c>
    </x:row>
    <x:row r="268">
      <x:c r="A268" s="12"/>
      <x:c r="B268" s="12"/>
      <x:c r="C268" s="12"/>
      <x:c r="D268" s="12"/>
      <x:c r="E268" s="14"/>
      <x:c r="F268" s="13" t="str">
        <x:f>IF($A268="","",IF($D268&lt;&gt;'Team Setup'!$B$4,"Other sprint",IF($C268="","Unassigned",IF(OR(ISNUMBER(SEARCH(",",$C268)),ISNUMBER(SEARCH(";",$C268))),"Multiple assignees",IF(COUNTIF('Team Setup'!$B$10:$B$34,$C268)=1,"Matched","Unmatched")))))</x:f>
      </x:c>
      <x:c r="G268" s="13" t="str">
        <x:f>IF($A268="","",IF($D268&lt;&gt;'Team Setup'!$B$4,"Other sprint",IF($E268="","Unestimated",IF(NOT(ISNUMBER($E268)),"Check estimate in hours",IF($E268&lt;0,"Check estimate in hours",IF($E268=0,"Unestimated","Estimated"))))))</x:f>
      </x:c>
    </x:row>
    <x:row r="269">
      <x:c r="A269" s="12"/>
      <x:c r="B269" s="12"/>
      <x:c r="C269" s="12"/>
      <x:c r="D269" s="12"/>
      <x:c r="E269" s="14"/>
      <x:c r="F269" s="13" t="str">
        <x:f>IF($A269="","",IF($D269&lt;&gt;'Team Setup'!$B$4,"Other sprint",IF($C269="","Unassigned",IF(OR(ISNUMBER(SEARCH(",",$C269)),ISNUMBER(SEARCH(";",$C269))),"Multiple assignees",IF(COUNTIF('Team Setup'!$B$10:$B$34,$C269)=1,"Matched","Unmatched")))))</x:f>
      </x:c>
      <x:c r="G269" s="13" t="str">
        <x:f>IF($A269="","",IF($D269&lt;&gt;'Team Setup'!$B$4,"Other sprint",IF($E269="","Unestimated",IF(NOT(ISNUMBER($E269)),"Check estimate in hours",IF($E269&lt;0,"Check estimate in hours",IF($E269=0,"Unestimated","Estimated"))))))</x:f>
      </x:c>
    </x:row>
    <x:row r="270">
      <x:c r="A270" s="12"/>
      <x:c r="B270" s="12"/>
      <x:c r="C270" s="12"/>
      <x:c r="D270" s="12"/>
      <x:c r="E270" s="14"/>
      <x:c r="F270" s="13" t="str">
        <x:f>IF($A270="","",IF($D270&lt;&gt;'Team Setup'!$B$4,"Other sprint",IF($C270="","Unassigned",IF(OR(ISNUMBER(SEARCH(",",$C270)),ISNUMBER(SEARCH(";",$C270))),"Multiple assignees",IF(COUNTIF('Team Setup'!$B$10:$B$34,$C270)=1,"Matched","Unmatched")))))</x:f>
      </x:c>
      <x:c r="G270" s="13" t="str">
        <x:f>IF($A270="","",IF($D270&lt;&gt;'Team Setup'!$B$4,"Other sprint",IF($E270="","Unestimated",IF(NOT(ISNUMBER($E270)),"Check estimate in hours",IF($E270&lt;0,"Check estimate in hours",IF($E270=0,"Unestimated","Estimated"))))))</x:f>
      </x:c>
    </x:row>
    <x:row r="271">
      <x:c r="A271" s="12"/>
      <x:c r="B271" s="12"/>
      <x:c r="C271" s="12"/>
      <x:c r="D271" s="12"/>
      <x:c r="E271" s="14"/>
      <x:c r="F271" s="13" t="str">
        <x:f>IF($A271="","",IF($D271&lt;&gt;'Team Setup'!$B$4,"Other sprint",IF($C271="","Unassigned",IF(OR(ISNUMBER(SEARCH(",",$C271)),ISNUMBER(SEARCH(";",$C271))),"Multiple assignees",IF(COUNTIF('Team Setup'!$B$10:$B$34,$C271)=1,"Matched","Unmatched")))))</x:f>
      </x:c>
      <x:c r="G271" s="13" t="str">
        <x:f>IF($A271="","",IF($D271&lt;&gt;'Team Setup'!$B$4,"Other sprint",IF($E271="","Unestimated",IF(NOT(ISNUMBER($E271)),"Check estimate in hours",IF($E271&lt;0,"Check estimate in hours",IF($E271=0,"Unestimated","Estimated"))))))</x:f>
      </x:c>
    </x:row>
    <x:row r="272">
      <x:c r="A272" s="12"/>
      <x:c r="B272" s="12"/>
      <x:c r="C272" s="12"/>
      <x:c r="D272" s="12"/>
      <x:c r="E272" s="14"/>
      <x:c r="F272" s="13" t="str">
        <x:f>IF($A272="","",IF($D272&lt;&gt;'Team Setup'!$B$4,"Other sprint",IF($C272="","Unassigned",IF(OR(ISNUMBER(SEARCH(",",$C272)),ISNUMBER(SEARCH(";",$C272))),"Multiple assignees",IF(COUNTIF('Team Setup'!$B$10:$B$34,$C272)=1,"Matched","Unmatched")))))</x:f>
      </x:c>
      <x:c r="G272" s="13" t="str">
        <x:f>IF($A272="","",IF($D272&lt;&gt;'Team Setup'!$B$4,"Other sprint",IF($E272="","Unestimated",IF(NOT(ISNUMBER($E272)),"Check estimate in hours",IF($E272&lt;0,"Check estimate in hours",IF($E272=0,"Unestimated","Estimated"))))))</x:f>
      </x:c>
    </x:row>
    <x:row r="273">
      <x:c r="A273" s="12"/>
      <x:c r="B273" s="12"/>
      <x:c r="C273" s="12"/>
      <x:c r="D273" s="12"/>
      <x:c r="E273" s="14"/>
      <x:c r="F273" s="13" t="str">
        <x:f>IF($A273="","",IF($D273&lt;&gt;'Team Setup'!$B$4,"Other sprint",IF($C273="","Unassigned",IF(OR(ISNUMBER(SEARCH(",",$C273)),ISNUMBER(SEARCH(";",$C273))),"Multiple assignees",IF(COUNTIF('Team Setup'!$B$10:$B$34,$C273)=1,"Matched","Unmatched")))))</x:f>
      </x:c>
      <x:c r="G273" s="13" t="str">
        <x:f>IF($A273="","",IF($D273&lt;&gt;'Team Setup'!$B$4,"Other sprint",IF($E273="","Unestimated",IF(NOT(ISNUMBER($E273)),"Check estimate in hours",IF($E273&lt;0,"Check estimate in hours",IF($E273=0,"Unestimated","Estimated"))))))</x:f>
      </x:c>
    </x:row>
    <x:row r="274">
      <x:c r="A274" s="12"/>
      <x:c r="B274" s="12"/>
      <x:c r="C274" s="12"/>
      <x:c r="D274" s="12"/>
      <x:c r="E274" s="14"/>
      <x:c r="F274" s="13" t="str">
        <x:f>IF($A274="","",IF($D274&lt;&gt;'Team Setup'!$B$4,"Other sprint",IF($C274="","Unassigned",IF(OR(ISNUMBER(SEARCH(",",$C274)),ISNUMBER(SEARCH(";",$C274))),"Multiple assignees",IF(COUNTIF('Team Setup'!$B$10:$B$34,$C274)=1,"Matched","Unmatched")))))</x:f>
      </x:c>
      <x:c r="G274" s="13" t="str">
        <x:f>IF($A274="","",IF($D274&lt;&gt;'Team Setup'!$B$4,"Other sprint",IF($E274="","Unestimated",IF(NOT(ISNUMBER($E274)),"Check estimate in hours",IF($E274&lt;0,"Check estimate in hours",IF($E274=0,"Unestimated","Estimated"))))))</x:f>
      </x:c>
    </x:row>
    <x:row r="275">
      <x:c r="A275" s="12"/>
      <x:c r="B275" s="12"/>
      <x:c r="C275" s="12"/>
      <x:c r="D275" s="12"/>
      <x:c r="E275" s="14"/>
      <x:c r="F275" s="13" t="str">
        <x:f>IF($A275="","",IF($D275&lt;&gt;'Team Setup'!$B$4,"Other sprint",IF($C275="","Unassigned",IF(OR(ISNUMBER(SEARCH(",",$C275)),ISNUMBER(SEARCH(";",$C275))),"Multiple assignees",IF(COUNTIF('Team Setup'!$B$10:$B$34,$C275)=1,"Matched","Unmatched")))))</x:f>
      </x:c>
      <x:c r="G275" s="13" t="str">
        <x:f>IF($A275="","",IF($D275&lt;&gt;'Team Setup'!$B$4,"Other sprint",IF($E275="","Unestimated",IF(NOT(ISNUMBER($E275)),"Check estimate in hours",IF($E275&lt;0,"Check estimate in hours",IF($E275=0,"Unestimated","Estimated"))))))</x:f>
      </x:c>
    </x:row>
    <x:row r="276">
      <x:c r="A276" s="12"/>
      <x:c r="B276" s="12"/>
      <x:c r="C276" s="12"/>
      <x:c r="D276" s="12"/>
      <x:c r="E276" s="14"/>
      <x:c r="F276" s="13" t="str">
        <x:f>IF($A276="","",IF($D276&lt;&gt;'Team Setup'!$B$4,"Other sprint",IF($C276="","Unassigned",IF(OR(ISNUMBER(SEARCH(",",$C276)),ISNUMBER(SEARCH(";",$C276))),"Multiple assignees",IF(COUNTIF('Team Setup'!$B$10:$B$34,$C276)=1,"Matched","Unmatched")))))</x:f>
      </x:c>
      <x:c r="G276" s="13" t="str">
        <x:f>IF($A276="","",IF($D276&lt;&gt;'Team Setup'!$B$4,"Other sprint",IF($E276="","Unestimated",IF(NOT(ISNUMBER($E276)),"Check estimate in hours",IF($E276&lt;0,"Check estimate in hours",IF($E276=0,"Unestimated","Estimated"))))))</x:f>
      </x:c>
    </x:row>
    <x:row r="277">
      <x:c r="A277" s="12"/>
      <x:c r="B277" s="12"/>
      <x:c r="C277" s="12"/>
      <x:c r="D277" s="12"/>
      <x:c r="E277" s="14"/>
      <x:c r="F277" s="13" t="str">
        <x:f>IF($A277="","",IF($D277&lt;&gt;'Team Setup'!$B$4,"Other sprint",IF($C277="","Unassigned",IF(OR(ISNUMBER(SEARCH(",",$C277)),ISNUMBER(SEARCH(";",$C277))),"Multiple assignees",IF(COUNTIF('Team Setup'!$B$10:$B$34,$C277)=1,"Matched","Unmatched")))))</x:f>
      </x:c>
      <x:c r="G277" s="13" t="str">
        <x:f>IF($A277="","",IF($D277&lt;&gt;'Team Setup'!$B$4,"Other sprint",IF($E277="","Unestimated",IF(NOT(ISNUMBER($E277)),"Check estimate in hours",IF($E277&lt;0,"Check estimate in hours",IF($E277=0,"Unestimated","Estimated"))))))</x:f>
      </x:c>
    </x:row>
    <x:row r="278">
      <x:c r="A278" s="12"/>
      <x:c r="B278" s="12"/>
      <x:c r="C278" s="12"/>
      <x:c r="D278" s="12"/>
      <x:c r="E278" s="14"/>
      <x:c r="F278" s="13" t="str">
        <x:f>IF($A278="","",IF($D278&lt;&gt;'Team Setup'!$B$4,"Other sprint",IF($C278="","Unassigned",IF(OR(ISNUMBER(SEARCH(",",$C278)),ISNUMBER(SEARCH(";",$C278))),"Multiple assignees",IF(COUNTIF('Team Setup'!$B$10:$B$34,$C278)=1,"Matched","Unmatched")))))</x:f>
      </x:c>
      <x:c r="G278" s="13" t="str">
        <x:f>IF($A278="","",IF($D278&lt;&gt;'Team Setup'!$B$4,"Other sprint",IF($E278="","Unestimated",IF(NOT(ISNUMBER($E278)),"Check estimate in hours",IF($E278&lt;0,"Check estimate in hours",IF($E278=0,"Unestimated","Estimated"))))))</x:f>
      </x:c>
    </x:row>
    <x:row r="279">
      <x:c r="A279" s="12"/>
      <x:c r="B279" s="12"/>
      <x:c r="C279" s="12"/>
      <x:c r="D279" s="12"/>
      <x:c r="E279" s="14"/>
      <x:c r="F279" s="13" t="str">
        <x:f>IF($A279="","",IF($D279&lt;&gt;'Team Setup'!$B$4,"Other sprint",IF($C279="","Unassigned",IF(OR(ISNUMBER(SEARCH(",",$C279)),ISNUMBER(SEARCH(";",$C279))),"Multiple assignees",IF(COUNTIF('Team Setup'!$B$10:$B$34,$C279)=1,"Matched","Unmatched")))))</x:f>
      </x:c>
      <x:c r="G279" s="13" t="str">
        <x:f>IF($A279="","",IF($D279&lt;&gt;'Team Setup'!$B$4,"Other sprint",IF($E279="","Unestimated",IF(NOT(ISNUMBER($E279)),"Check estimate in hours",IF($E279&lt;0,"Check estimate in hours",IF($E279=0,"Unestimated","Estimated"))))))</x:f>
      </x:c>
    </x:row>
    <x:row r="280">
      <x:c r="A280" s="12"/>
      <x:c r="B280" s="12"/>
      <x:c r="C280" s="12"/>
      <x:c r="D280" s="12"/>
      <x:c r="E280" s="14"/>
      <x:c r="F280" s="13" t="str">
        <x:f>IF($A280="","",IF($D280&lt;&gt;'Team Setup'!$B$4,"Other sprint",IF($C280="","Unassigned",IF(OR(ISNUMBER(SEARCH(",",$C280)),ISNUMBER(SEARCH(";",$C280))),"Multiple assignees",IF(COUNTIF('Team Setup'!$B$10:$B$34,$C280)=1,"Matched","Unmatched")))))</x:f>
      </x:c>
      <x:c r="G280" s="13" t="str">
        <x:f>IF($A280="","",IF($D280&lt;&gt;'Team Setup'!$B$4,"Other sprint",IF($E280="","Unestimated",IF(NOT(ISNUMBER($E280)),"Check estimate in hours",IF($E280&lt;0,"Check estimate in hours",IF($E280=0,"Unestimated","Estimated"))))))</x:f>
      </x:c>
    </x:row>
    <x:row r="281">
      <x:c r="A281" s="12"/>
      <x:c r="B281" s="12"/>
      <x:c r="C281" s="12"/>
      <x:c r="D281" s="12"/>
      <x:c r="E281" s="14"/>
      <x:c r="F281" s="13" t="str">
        <x:f>IF($A281="","",IF($D281&lt;&gt;'Team Setup'!$B$4,"Other sprint",IF($C281="","Unassigned",IF(OR(ISNUMBER(SEARCH(",",$C281)),ISNUMBER(SEARCH(";",$C281))),"Multiple assignees",IF(COUNTIF('Team Setup'!$B$10:$B$34,$C281)=1,"Matched","Unmatched")))))</x:f>
      </x:c>
      <x:c r="G281" s="13" t="str">
        <x:f>IF($A281="","",IF($D281&lt;&gt;'Team Setup'!$B$4,"Other sprint",IF($E281="","Unestimated",IF(NOT(ISNUMBER($E281)),"Check estimate in hours",IF($E281&lt;0,"Check estimate in hours",IF($E281=0,"Unestimated","Estimated"))))))</x:f>
      </x:c>
    </x:row>
    <x:row r="282">
      <x:c r="A282" s="12"/>
      <x:c r="B282" s="12"/>
      <x:c r="C282" s="12"/>
      <x:c r="D282" s="12"/>
      <x:c r="E282" s="14"/>
      <x:c r="F282" s="13" t="str">
        <x:f>IF($A282="","",IF($D282&lt;&gt;'Team Setup'!$B$4,"Other sprint",IF($C282="","Unassigned",IF(OR(ISNUMBER(SEARCH(",",$C282)),ISNUMBER(SEARCH(";",$C282))),"Multiple assignees",IF(COUNTIF('Team Setup'!$B$10:$B$34,$C282)=1,"Matched","Unmatched")))))</x:f>
      </x:c>
      <x:c r="G282" s="13" t="str">
        <x:f>IF($A282="","",IF($D282&lt;&gt;'Team Setup'!$B$4,"Other sprint",IF($E282="","Unestimated",IF(NOT(ISNUMBER($E282)),"Check estimate in hours",IF($E282&lt;0,"Check estimate in hours",IF($E282=0,"Unestimated","Estimated"))))))</x:f>
      </x:c>
    </x:row>
    <x:row r="283">
      <x:c r="A283" s="12"/>
      <x:c r="B283" s="12"/>
      <x:c r="C283" s="12"/>
      <x:c r="D283" s="12"/>
      <x:c r="E283" s="14"/>
      <x:c r="F283" s="13" t="str">
        <x:f>IF($A283="","",IF($D283&lt;&gt;'Team Setup'!$B$4,"Other sprint",IF($C283="","Unassigned",IF(OR(ISNUMBER(SEARCH(",",$C283)),ISNUMBER(SEARCH(";",$C283))),"Multiple assignees",IF(COUNTIF('Team Setup'!$B$10:$B$34,$C283)=1,"Matched","Unmatched")))))</x:f>
      </x:c>
      <x:c r="G283" s="13" t="str">
        <x:f>IF($A283="","",IF($D283&lt;&gt;'Team Setup'!$B$4,"Other sprint",IF($E283="","Unestimated",IF(NOT(ISNUMBER($E283)),"Check estimate in hours",IF($E283&lt;0,"Check estimate in hours",IF($E283=0,"Unestimated","Estimated"))))))</x:f>
      </x:c>
    </x:row>
    <x:row r="284">
      <x:c r="A284" s="12"/>
      <x:c r="B284" s="12"/>
      <x:c r="C284" s="12"/>
      <x:c r="D284" s="12"/>
      <x:c r="E284" s="14"/>
      <x:c r="F284" s="13" t="str">
        <x:f>IF($A284="","",IF($D284&lt;&gt;'Team Setup'!$B$4,"Other sprint",IF($C284="","Unassigned",IF(OR(ISNUMBER(SEARCH(",",$C284)),ISNUMBER(SEARCH(";",$C284))),"Multiple assignees",IF(COUNTIF('Team Setup'!$B$10:$B$34,$C284)=1,"Matched","Unmatched")))))</x:f>
      </x:c>
      <x:c r="G284" s="13" t="str">
        <x:f>IF($A284="","",IF($D284&lt;&gt;'Team Setup'!$B$4,"Other sprint",IF($E284="","Unestimated",IF(NOT(ISNUMBER($E284)),"Check estimate in hours",IF($E284&lt;0,"Check estimate in hours",IF($E284=0,"Unestimated","Estimated"))))))</x:f>
      </x:c>
    </x:row>
    <x:row r="285">
      <x:c r="A285" s="12"/>
      <x:c r="B285" s="12"/>
      <x:c r="C285" s="12"/>
      <x:c r="D285" s="12"/>
      <x:c r="E285" s="14"/>
      <x:c r="F285" s="13" t="str">
        <x:f>IF($A285="","",IF($D285&lt;&gt;'Team Setup'!$B$4,"Other sprint",IF($C285="","Unassigned",IF(OR(ISNUMBER(SEARCH(",",$C285)),ISNUMBER(SEARCH(";",$C285))),"Multiple assignees",IF(COUNTIF('Team Setup'!$B$10:$B$34,$C285)=1,"Matched","Unmatched")))))</x:f>
      </x:c>
      <x:c r="G285" s="13" t="str">
        <x:f>IF($A285="","",IF($D285&lt;&gt;'Team Setup'!$B$4,"Other sprint",IF($E285="","Unestimated",IF(NOT(ISNUMBER($E285)),"Check estimate in hours",IF($E285&lt;0,"Check estimate in hours",IF($E285=0,"Unestimated","Estimated"))))))</x:f>
      </x:c>
    </x:row>
    <x:row r="286">
      <x:c r="A286" s="12"/>
      <x:c r="B286" s="12"/>
      <x:c r="C286" s="12"/>
      <x:c r="D286" s="12"/>
      <x:c r="E286" s="14"/>
      <x:c r="F286" s="13" t="str">
        <x:f>IF($A286="","",IF($D286&lt;&gt;'Team Setup'!$B$4,"Other sprint",IF($C286="","Unassigned",IF(OR(ISNUMBER(SEARCH(",",$C286)),ISNUMBER(SEARCH(";",$C286))),"Multiple assignees",IF(COUNTIF('Team Setup'!$B$10:$B$34,$C286)=1,"Matched","Unmatched")))))</x:f>
      </x:c>
      <x:c r="G286" s="13" t="str">
        <x:f>IF($A286="","",IF($D286&lt;&gt;'Team Setup'!$B$4,"Other sprint",IF($E286="","Unestimated",IF(NOT(ISNUMBER($E286)),"Check estimate in hours",IF($E286&lt;0,"Check estimate in hours",IF($E286=0,"Unestimated","Estimated"))))))</x:f>
      </x:c>
    </x:row>
    <x:row r="287">
      <x:c r="A287" s="12"/>
      <x:c r="B287" s="12"/>
      <x:c r="C287" s="12"/>
      <x:c r="D287" s="12"/>
      <x:c r="E287" s="14"/>
      <x:c r="F287" s="13" t="str">
        <x:f>IF($A287="","",IF($D287&lt;&gt;'Team Setup'!$B$4,"Other sprint",IF($C287="","Unassigned",IF(OR(ISNUMBER(SEARCH(",",$C287)),ISNUMBER(SEARCH(";",$C287))),"Multiple assignees",IF(COUNTIF('Team Setup'!$B$10:$B$34,$C287)=1,"Matched","Unmatched")))))</x:f>
      </x:c>
      <x:c r="G287" s="13" t="str">
        <x:f>IF($A287="","",IF($D287&lt;&gt;'Team Setup'!$B$4,"Other sprint",IF($E287="","Unestimated",IF(NOT(ISNUMBER($E287)),"Check estimate in hours",IF($E287&lt;0,"Check estimate in hours",IF($E287=0,"Unestimated","Estimated"))))))</x:f>
      </x:c>
    </x:row>
    <x:row r="288">
      <x:c r="A288" s="12"/>
      <x:c r="B288" s="12"/>
      <x:c r="C288" s="12"/>
      <x:c r="D288" s="12"/>
      <x:c r="E288" s="14"/>
      <x:c r="F288" s="13" t="str">
        <x:f>IF($A288="","",IF($D288&lt;&gt;'Team Setup'!$B$4,"Other sprint",IF($C288="","Unassigned",IF(OR(ISNUMBER(SEARCH(",",$C288)),ISNUMBER(SEARCH(";",$C288))),"Multiple assignees",IF(COUNTIF('Team Setup'!$B$10:$B$34,$C288)=1,"Matched","Unmatched")))))</x:f>
      </x:c>
      <x:c r="G288" s="13" t="str">
        <x:f>IF($A288="","",IF($D288&lt;&gt;'Team Setup'!$B$4,"Other sprint",IF($E288="","Unestimated",IF(NOT(ISNUMBER($E288)),"Check estimate in hours",IF($E288&lt;0,"Check estimate in hours",IF($E288=0,"Unestimated","Estimated"))))))</x:f>
      </x:c>
    </x:row>
    <x:row r="289">
      <x:c r="A289" s="12"/>
      <x:c r="B289" s="12"/>
      <x:c r="C289" s="12"/>
      <x:c r="D289" s="12"/>
      <x:c r="E289" s="14"/>
      <x:c r="F289" s="13" t="str">
        <x:f>IF($A289="","",IF($D289&lt;&gt;'Team Setup'!$B$4,"Other sprint",IF($C289="","Unassigned",IF(OR(ISNUMBER(SEARCH(",",$C289)),ISNUMBER(SEARCH(";",$C289))),"Multiple assignees",IF(COUNTIF('Team Setup'!$B$10:$B$34,$C289)=1,"Matched","Unmatched")))))</x:f>
      </x:c>
      <x:c r="G289" s="13" t="str">
        <x:f>IF($A289="","",IF($D289&lt;&gt;'Team Setup'!$B$4,"Other sprint",IF($E289="","Unestimated",IF(NOT(ISNUMBER($E289)),"Check estimate in hours",IF($E289&lt;0,"Check estimate in hours",IF($E289=0,"Unestimated","Estimated"))))))</x:f>
      </x:c>
    </x:row>
    <x:row r="290">
      <x:c r="A290" s="12"/>
      <x:c r="B290" s="12"/>
      <x:c r="C290" s="12"/>
      <x:c r="D290" s="12"/>
      <x:c r="E290" s="14"/>
      <x:c r="F290" s="13" t="str">
        <x:f>IF($A290="","",IF($D290&lt;&gt;'Team Setup'!$B$4,"Other sprint",IF($C290="","Unassigned",IF(OR(ISNUMBER(SEARCH(",",$C290)),ISNUMBER(SEARCH(";",$C290))),"Multiple assignees",IF(COUNTIF('Team Setup'!$B$10:$B$34,$C290)=1,"Matched","Unmatched")))))</x:f>
      </x:c>
      <x:c r="G290" s="13" t="str">
        <x:f>IF($A290="","",IF($D290&lt;&gt;'Team Setup'!$B$4,"Other sprint",IF($E290="","Unestimated",IF(NOT(ISNUMBER($E290)),"Check estimate in hours",IF($E290&lt;0,"Check estimate in hours",IF($E290=0,"Unestimated","Estimated"))))))</x:f>
      </x:c>
    </x:row>
    <x:row r="291">
      <x:c r="A291" s="12"/>
      <x:c r="B291" s="12"/>
      <x:c r="C291" s="12"/>
      <x:c r="D291" s="12"/>
      <x:c r="E291" s="14"/>
      <x:c r="F291" s="13" t="str">
        <x:f>IF($A291="","",IF($D291&lt;&gt;'Team Setup'!$B$4,"Other sprint",IF($C291="","Unassigned",IF(OR(ISNUMBER(SEARCH(",",$C291)),ISNUMBER(SEARCH(";",$C291))),"Multiple assignees",IF(COUNTIF('Team Setup'!$B$10:$B$34,$C291)=1,"Matched","Unmatched")))))</x:f>
      </x:c>
      <x:c r="G291" s="13" t="str">
        <x:f>IF($A291="","",IF($D291&lt;&gt;'Team Setup'!$B$4,"Other sprint",IF($E291="","Unestimated",IF(NOT(ISNUMBER($E291)),"Check estimate in hours",IF($E291&lt;0,"Check estimate in hours",IF($E291=0,"Unestimated","Estimated"))))))</x:f>
      </x:c>
    </x:row>
    <x:row r="292">
      <x:c r="A292" s="12"/>
      <x:c r="B292" s="12"/>
      <x:c r="C292" s="12"/>
      <x:c r="D292" s="12"/>
      <x:c r="E292" s="14"/>
      <x:c r="F292" s="13" t="str">
        <x:f>IF($A292="","",IF($D292&lt;&gt;'Team Setup'!$B$4,"Other sprint",IF($C292="","Unassigned",IF(OR(ISNUMBER(SEARCH(",",$C292)),ISNUMBER(SEARCH(";",$C292))),"Multiple assignees",IF(COUNTIF('Team Setup'!$B$10:$B$34,$C292)=1,"Matched","Unmatched")))))</x:f>
      </x:c>
      <x:c r="G292" s="13" t="str">
        <x:f>IF($A292="","",IF($D292&lt;&gt;'Team Setup'!$B$4,"Other sprint",IF($E292="","Unestimated",IF(NOT(ISNUMBER($E292)),"Check estimate in hours",IF($E292&lt;0,"Check estimate in hours",IF($E292=0,"Unestimated","Estimated"))))))</x:f>
      </x:c>
    </x:row>
    <x:row r="293">
      <x:c r="A293" s="12"/>
      <x:c r="B293" s="12"/>
      <x:c r="C293" s="12"/>
      <x:c r="D293" s="12"/>
      <x:c r="E293" s="14"/>
      <x:c r="F293" s="13" t="str">
        <x:f>IF($A293="","",IF($D293&lt;&gt;'Team Setup'!$B$4,"Other sprint",IF($C293="","Unassigned",IF(OR(ISNUMBER(SEARCH(",",$C293)),ISNUMBER(SEARCH(";",$C293))),"Multiple assignees",IF(COUNTIF('Team Setup'!$B$10:$B$34,$C293)=1,"Matched","Unmatched")))))</x:f>
      </x:c>
      <x:c r="G293" s="13" t="str">
        <x:f>IF($A293="","",IF($D293&lt;&gt;'Team Setup'!$B$4,"Other sprint",IF($E293="","Unestimated",IF(NOT(ISNUMBER($E293)),"Check estimate in hours",IF($E293&lt;0,"Check estimate in hours",IF($E293=0,"Unestimated","Estimated"))))))</x:f>
      </x:c>
    </x:row>
    <x:row r="294">
      <x:c r="A294" s="12"/>
      <x:c r="B294" s="12"/>
      <x:c r="C294" s="12"/>
      <x:c r="D294" s="12"/>
      <x:c r="E294" s="14"/>
      <x:c r="F294" s="13" t="str">
        <x:f>IF($A294="","",IF($D294&lt;&gt;'Team Setup'!$B$4,"Other sprint",IF($C294="","Unassigned",IF(OR(ISNUMBER(SEARCH(",",$C294)),ISNUMBER(SEARCH(";",$C294))),"Multiple assignees",IF(COUNTIF('Team Setup'!$B$10:$B$34,$C294)=1,"Matched","Unmatched")))))</x:f>
      </x:c>
      <x:c r="G294" s="13" t="str">
        <x:f>IF($A294="","",IF($D294&lt;&gt;'Team Setup'!$B$4,"Other sprint",IF($E294="","Unestimated",IF(NOT(ISNUMBER($E294)),"Check estimate in hours",IF($E294&lt;0,"Check estimate in hours",IF($E294=0,"Unestimated","Estimated"))))))</x:f>
      </x:c>
    </x:row>
    <x:row r="295">
      <x:c r="A295" s="12"/>
      <x:c r="B295" s="12"/>
      <x:c r="C295" s="12"/>
      <x:c r="D295" s="12"/>
      <x:c r="E295" s="14"/>
      <x:c r="F295" s="13" t="str">
        <x:f>IF($A295="","",IF($D295&lt;&gt;'Team Setup'!$B$4,"Other sprint",IF($C295="","Unassigned",IF(OR(ISNUMBER(SEARCH(",",$C295)),ISNUMBER(SEARCH(";",$C295))),"Multiple assignees",IF(COUNTIF('Team Setup'!$B$10:$B$34,$C295)=1,"Matched","Unmatched")))))</x:f>
      </x:c>
      <x:c r="G295" s="13" t="str">
        <x:f>IF($A295="","",IF($D295&lt;&gt;'Team Setup'!$B$4,"Other sprint",IF($E295="","Unestimated",IF(NOT(ISNUMBER($E295)),"Check estimate in hours",IF($E295&lt;0,"Check estimate in hours",IF($E295=0,"Unestimated","Estimated"))))))</x:f>
      </x:c>
    </x:row>
    <x:row r="296">
      <x:c r="A296" s="12"/>
      <x:c r="B296" s="12"/>
      <x:c r="C296" s="12"/>
      <x:c r="D296" s="12"/>
      <x:c r="E296" s="14"/>
      <x:c r="F296" s="13" t="str">
        <x:f>IF($A296="","",IF($D296&lt;&gt;'Team Setup'!$B$4,"Other sprint",IF($C296="","Unassigned",IF(OR(ISNUMBER(SEARCH(",",$C296)),ISNUMBER(SEARCH(";",$C296))),"Multiple assignees",IF(COUNTIF('Team Setup'!$B$10:$B$34,$C296)=1,"Matched","Unmatched")))))</x:f>
      </x:c>
      <x:c r="G296" s="13" t="str">
        <x:f>IF($A296="","",IF($D296&lt;&gt;'Team Setup'!$B$4,"Other sprint",IF($E296="","Unestimated",IF(NOT(ISNUMBER($E296)),"Check estimate in hours",IF($E296&lt;0,"Check estimate in hours",IF($E296=0,"Unestimated","Estimated"))))))</x:f>
      </x:c>
    </x:row>
    <x:row r="297">
      <x:c r="A297" s="12"/>
      <x:c r="B297" s="12"/>
      <x:c r="C297" s="12"/>
      <x:c r="D297" s="12"/>
      <x:c r="E297" s="14"/>
      <x:c r="F297" s="13" t="str">
        <x:f>IF($A297="","",IF($D297&lt;&gt;'Team Setup'!$B$4,"Other sprint",IF($C297="","Unassigned",IF(OR(ISNUMBER(SEARCH(",",$C297)),ISNUMBER(SEARCH(";",$C297))),"Multiple assignees",IF(COUNTIF('Team Setup'!$B$10:$B$34,$C297)=1,"Matched","Unmatched")))))</x:f>
      </x:c>
      <x:c r="G297" s="13" t="str">
        <x:f>IF($A297="","",IF($D297&lt;&gt;'Team Setup'!$B$4,"Other sprint",IF($E297="","Unestimated",IF(NOT(ISNUMBER($E297)),"Check estimate in hours",IF($E297&lt;0,"Check estimate in hours",IF($E297=0,"Unestimated","Estimated"))))))</x:f>
      </x:c>
    </x:row>
    <x:row r="298">
      <x:c r="A298" s="12"/>
      <x:c r="B298" s="12"/>
      <x:c r="C298" s="12"/>
      <x:c r="D298" s="12"/>
      <x:c r="E298" s="14"/>
      <x:c r="F298" s="13" t="str">
        <x:f>IF($A298="","",IF($D298&lt;&gt;'Team Setup'!$B$4,"Other sprint",IF($C298="","Unassigned",IF(OR(ISNUMBER(SEARCH(",",$C298)),ISNUMBER(SEARCH(";",$C298))),"Multiple assignees",IF(COUNTIF('Team Setup'!$B$10:$B$34,$C298)=1,"Matched","Unmatched")))))</x:f>
      </x:c>
      <x:c r="G298" s="13" t="str">
        <x:f>IF($A298="","",IF($D298&lt;&gt;'Team Setup'!$B$4,"Other sprint",IF($E298="","Unestimated",IF(NOT(ISNUMBER($E298)),"Check estimate in hours",IF($E298&lt;0,"Check estimate in hours",IF($E298=0,"Unestimated","Estimated"))))))</x:f>
      </x:c>
    </x:row>
    <x:row r="299">
      <x:c r="A299" s="12"/>
      <x:c r="B299" s="12"/>
      <x:c r="C299" s="12"/>
      <x:c r="D299" s="12"/>
      <x:c r="E299" s="14"/>
      <x:c r="F299" s="13" t="str">
        <x:f>IF($A299="","",IF($D299&lt;&gt;'Team Setup'!$B$4,"Other sprint",IF($C299="","Unassigned",IF(OR(ISNUMBER(SEARCH(",",$C299)),ISNUMBER(SEARCH(";",$C299))),"Multiple assignees",IF(COUNTIF('Team Setup'!$B$10:$B$34,$C299)=1,"Matched","Unmatched")))))</x:f>
      </x:c>
      <x:c r="G299" s="13" t="str">
        <x:f>IF($A299="","",IF($D299&lt;&gt;'Team Setup'!$B$4,"Other sprint",IF($E299="","Unestimated",IF(NOT(ISNUMBER($E299)),"Check estimate in hours",IF($E299&lt;0,"Check estimate in hours",IF($E299=0,"Unestimated","Estimated"))))))</x:f>
      </x:c>
    </x:row>
    <x:row r="300">
      <x:c r="A300" s="12"/>
      <x:c r="B300" s="12"/>
      <x:c r="C300" s="12"/>
      <x:c r="D300" s="12"/>
      <x:c r="E300" s="14"/>
      <x:c r="F300" s="13" t="str">
        <x:f>IF($A300="","",IF($D300&lt;&gt;'Team Setup'!$B$4,"Other sprint",IF($C300="","Unassigned",IF(OR(ISNUMBER(SEARCH(",",$C300)),ISNUMBER(SEARCH(";",$C300))),"Multiple assignees",IF(COUNTIF('Team Setup'!$B$10:$B$34,$C300)=1,"Matched","Unmatched")))))</x:f>
      </x:c>
      <x:c r="G300" s="13" t="str">
        <x:f>IF($A300="","",IF($D300&lt;&gt;'Team Setup'!$B$4,"Other sprint",IF($E300="","Unestimated",IF(NOT(ISNUMBER($E300)),"Check estimate in hours",IF($E300&lt;0,"Check estimate in hours",IF($E300=0,"Unestimated","Estimated"))))))</x:f>
      </x:c>
    </x:row>
    <x:row r="301">
      <x:c r="A301" s="12"/>
      <x:c r="B301" s="12"/>
      <x:c r="C301" s="12"/>
      <x:c r="D301" s="12"/>
      <x:c r="E301" s="14"/>
      <x:c r="F301" s="13" t="str">
        <x:f>IF($A301="","",IF($D301&lt;&gt;'Team Setup'!$B$4,"Other sprint",IF($C301="","Unassigned",IF(OR(ISNUMBER(SEARCH(",",$C301)),ISNUMBER(SEARCH(";",$C301))),"Multiple assignees",IF(COUNTIF('Team Setup'!$B$10:$B$34,$C301)=1,"Matched","Unmatched")))))</x:f>
      </x:c>
      <x:c r="G301" s="13" t="str">
        <x:f>IF($A301="","",IF($D301&lt;&gt;'Team Setup'!$B$4,"Other sprint",IF($E301="","Unestimated",IF(NOT(ISNUMBER($E301)),"Check estimate in hours",IF($E301&lt;0,"Check estimate in hours",IF($E301=0,"Unestimated","Estimated"))))))</x:f>
      </x:c>
    </x:row>
    <x:row r="302">
      <x:c r="A302" s="12"/>
      <x:c r="B302" s="12"/>
      <x:c r="C302" s="12"/>
      <x:c r="D302" s="12"/>
      <x:c r="E302" s="14"/>
      <x:c r="F302" s="13" t="str">
        <x:f>IF($A302="","",IF($D302&lt;&gt;'Team Setup'!$B$4,"Other sprint",IF($C302="","Unassigned",IF(OR(ISNUMBER(SEARCH(",",$C302)),ISNUMBER(SEARCH(";",$C302))),"Multiple assignees",IF(COUNTIF('Team Setup'!$B$10:$B$34,$C302)=1,"Matched","Unmatched")))))</x:f>
      </x:c>
      <x:c r="G302" s="13" t="str">
        <x:f>IF($A302="","",IF($D302&lt;&gt;'Team Setup'!$B$4,"Other sprint",IF($E302="","Unestimated",IF(NOT(ISNUMBER($E302)),"Check estimate in hours",IF($E302&lt;0,"Check estimate in hours",IF($E302=0,"Unestimated","Estimated"))))))</x:f>
      </x:c>
    </x:row>
    <x:row r="303">
      <x:c r="A303" s="12"/>
      <x:c r="B303" s="12"/>
      <x:c r="C303" s="12"/>
      <x:c r="D303" s="12"/>
      <x:c r="E303" s="14"/>
      <x:c r="F303" s="13" t="str">
        <x:f>IF($A303="","",IF($D303&lt;&gt;'Team Setup'!$B$4,"Other sprint",IF($C303="","Unassigned",IF(OR(ISNUMBER(SEARCH(",",$C303)),ISNUMBER(SEARCH(";",$C303))),"Multiple assignees",IF(COUNTIF('Team Setup'!$B$10:$B$34,$C303)=1,"Matched","Unmatched")))))</x:f>
      </x:c>
      <x:c r="G303" s="13" t="str">
        <x:f>IF($A303="","",IF($D303&lt;&gt;'Team Setup'!$B$4,"Other sprint",IF($E303="","Unestimated",IF(NOT(ISNUMBER($E303)),"Check estimate in hours",IF($E303&lt;0,"Check estimate in hours",IF($E303=0,"Unestimated","Estimated"))))))</x:f>
      </x:c>
    </x:row>
    <x:row r="304">
      <x:c r="A304" s="12"/>
      <x:c r="B304" s="12"/>
      <x:c r="C304" s="12"/>
      <x:c r="D304" s="12"/>
      <x:c r="E304" s="14"/>
      <x:c r="F304" s="13" t="str">
        <x:f>IF($A304="","",IF($D304&lt;&gt;'Team Setup'!$B$4,"Other sprint",IF($C304="","Unassigned",IF(OR(ISNUMBER(SEARCH(",",$C304)),ISNUMBER(SEARCH(";",$C304))),"Multiple assignees",IF(COUNTIF('Team Setup'!$B$10:$B$34,$C304)=1,"Matched","Unmatched")))))</x:f>
      </x:c>
      <x:c r="G304" s="13" t="str">
        <x:f>IF($A304="","",IF($D304&lt;&gt;'Team Setup'!$B$4,"Other sprint",IF($E304="","Unestimated",IF(NOT(ISNUMBER($E304)),"Check estimate in hours",IF($E304&lt;0,"Check estimate in hours",IF($E304=0,"Unestimated","Estimated"))))))</x:f>
      </x:c>
    </x:row>
    <x:row r="305">
      <x:c r="A305" s="12"/>
      <x:c r="B305" s="12"/>
      <x:c r="C305" s="12"/>
      <x:c r="D305" s="12"/>
      <x:c r="E305" s="14"/>
      <x:c r="F305" s="13" t="str">
        <x:f>IF($A305="","",IF($D305&lt;&gt;'Team Setup'!$B$4,"Other sprint",IF($C305="","Unassigned",IF(OR(ISNUMBER(SEARCH(",",$C305)),ISNUMBER(SEARCH(";",$C305))),"Multiple assignees",IF(COUNTIF('Team Setup'!$B$10:$B$34,$C305)=1,"Matched","Unmatched")))))</x:f>
      </x:c>
      <x:c r="G305" s="13" t="str">
        <x:f>IF($A305="","",IF($D305&lt;&gt;'Team Setup'!$B$4,"Other sprint",IF($E305="","Unestimated",IF(NOT(ISNUMBER($E305)),"Check estimate in hours",IF($E305&lt;0,"Check estimate in hours",IF($E305=0,"Unestimated","Estimated"))))))</x:f>
      </x:c>
    </x:row>
    <x:row r="306">
      <x:c r="A306" s="12"/>
      <x:c r="B306" s="12"/>
      <x:c r="C306" s="12"/>
      <x:c r="D306" s="12"/>
      <x:c r="E306" s="14"/>
      <x:c r="F306" s="13" t="str">
        <x:f>IF($A306="","",IF($D306&lt;&gt;'Team Setup'!$B$4,"Other sprint",IF($C306="","Unassigned",IF(OR(ISNUMBER(SEARCH(",",$C306)),ISNUMBER(SEARCH(";",$C306))),"Multiple assignees",IF(COUNTIF('Team Setup'!$B$10:$B$34,$C306)=1,"Matched","Unmatched")))))</x:f>
      </x:c>
      <x:c r="G306" s="13" t="str">
        <x:f>IF($A306="","",IF($D306&lt;&gt;'Team Setup'!$B$4,"Other sprint",IF($E306="","Unestimated",IF(NOT(ISNUMBER($E306)),"Check estimate in hours",IF($E306&lt;0,"Check estimate in hours",IF($E306=0,"Unestimated","Estimated"))))))</x:f>
      </x:c>
    </x:row>
    <x:row r="307">
      <x:c r="A307" s="12"/>
      <x:c r="B307" s="12"/>
      <x:c r="C307" s="12"/>
      <x:c r="D307" s="12"/>
      <x:c r="E307" s="14"/>
      <x:c r="F307" s="13" t="str">
        <x:f>IF($A307="","",IF($D307&lt;&gt;'Team Setup'!$B$4,"Other sprint",IF($C307="","Unassigned",IF(OR(ISNUMBER(SEARCH(",",$C307)),ISNUMBER(SEARCH(";",$C307))),"Multiple assignees",IF(COUNTIF('Team Setup'!$B$10:$B$34,$C307)=1,"Matched","Unmatched")))))</x:f>
      </x:c>
      <x:c r="G307" s="13" t="str">
        <x:f>IF($A307="","",IF($D307&lt;&gt;'Team Setup'!$B$4,"Other sprint",IF($E307="","Unestimated",IF(NOT(ISNUMBER($E307)),"Check estimate in hours",IF($E307&lt;0,"Check estimate in hours",IF($E307=0,"Unestimated","Estimated"))))))</x:f>
      </x:c>
    </x:row>
    <x:row r="308">
      <x:c r="A308" s="12"/>
      <x:c r="B308" s="12"/>
      <x:c r="C308" s="12"/>
      <x:c r="D308" s="12"/>
      <x:c r="E308" s="14"/>
      <x:c r="F308" s="13" t="str">
        <x:f>IF($A308="","",IF($D308&lt;&gt;'Team Setup'!$B$4,"Other sprint",IF($C308="","Unassigned",IF(OR(ISNUMBER(SEARCH(",",$C308)),ISNUMBER(SEARCH(";",$C308))),"Multiple assignees",IF(COUNTIF('Team Setup'!$B$10:$B$34,$C308)=1,"Matched","Unmatched")))))</x:f>
      </x:c>
      <x:c r="G308" s="13" t="str">
        <x:f>IF($A308="","",IF($D308&lt;&gt;'Team Setup'!$B$4,"Other sprint",IF($E308="","Unestimated",IF(NOT(ISNUMBER($E308)),"Check estimate in hours",IF($E308&lt;0,"Check estimate in hours",IF($E308=0,"Unestimated","Estimated"))))))</x:f>
      </x:c>
    </x:row>
    <x:row r="309">
      <x:c r="A309" s="12"/>
      <x:c r="B309" s="12"/>
      <x:c r="C309" s="12"/>
      <x:c r="D309" s="12"/>
      <x:c r="E309" s="14"/>
      <x:c r="F309" s="13" t="str">
        <x:f>IF($A309="","",IF($D309&lt;&gt;'Team Setup'!$B$4,"Other sprint",IF($C309="","Unassigned",IF(OR(ISNUMBER(SEARCH(",",$C309)),ISNUMBER(SEARCH(";",$C309))),"Multiple assignees",IF(COUNTIF('Team Setup'!$B$10:$B$34,$C309)=1,"Matched","Unmatched")))))</x:f>
      </x:c>
      <x:c r="G309" s="13" t="str">
        <x:f>IF($A309="","",IF($D309&lt;&gt;'Team Setup'!$B$4,"Other sprint",IF($E309="","Unestimated",IF(NOT(ISNUMBER($E309)),"Check estimate in hours",IF($E309&lt;0,"Check estimate in hours",IF($E309=0,"Unestimated","Estimated"))))))</x:f>
      </x:c>
    </x:row>
    <x:row r="310">
      <x:c r="A310" s="12"/>
      <x:c r="B310" s="12"/>
      <x:c r="C310" s="12"/>
      <x:c r="D310" s="12"/>
      <x:c r="E310" s="14"/>
      <x:c r="F310" s="13" t="str">
        <x:f>IF($A310="","",IF($D310&lt;&gt;'Team Setup'!$B$4,"Other sprint",IF($C310="","Unassigned",IF(OR(ISNUMBER(SEARCH(",",$C310)),ISNUMBER(SEARCH(";",$C310))),"Multiple assignees",IF(COUNTIF('Team Setup'!$B$10:$B$34,$C310)=1,"Matched","Unmatched")))))</x:f>
      </x:c>
      <x:c r="G310" s="13" t="str">
        <x:f>IF($A310="","",IF($D310&lt;&gt;'Team Setup'!$B$4,"Other sprint",IF($E310="","Unestimated",IF(NOT(ISNUMBER($E310)),"Check estimate in hours",IF($E310&lt;0,"Check estimate in hours",IF($E310=0,"Unestimated","Estimated"))))))</x:f>
      </x:c>
    </x:row>
    <x:row r="311">
      <x:c r="A311" s="12"/>
      <x:c r="B311" s="12"/>
      <x:c r="C311" s="12"/>
      <x:c r="D311" s="12"/>
      <x:c r="E311" s="14"/>
      <x:c r="F311" s="13" t="str">
        <x:f>IF($A311="","",IF($D311&lt;&gt;'Team Setup'!$B$4,"Other sprint",IF($C311="","Unassigned",IF(OR(ISNUMBER(SEARCH(",",$C311)),ISNUMBER(SEARCH(";",$C311))),"Multiple assignees",IF(COUNTIF('Team Setup'!$B$10:$B$34,$C311)=1,"Matched","Unmatched")))))</x:f>
      </x:c>
      <x:c r="G311" s="13" t="str">
        <x:f>IF($A311="","",IF($D311&lt;&gt;'Team Setup'!$B$4,"Other sprint",IF($E311="","Unestimated",IF(NOT(ISNUMBER($E311)),"Check estimate in hours",IF($E311&lt;0,"Check estimate in hours",IF($E311=0,"Unestimated","Estimated"))))))</x:f>
      </x:c>
    </x:row>
    <x:row r="312">
      <x:c r="A312" s="12"/>
      <x:c r="B312" s="12"/>
      <x:c r="C312" s="12"/>
      <x:c r="D312" s="12"/>
      <x:c r="E312" s="14"/>
      <x:c r="F312" s="13" t="str">
        <x:f>IF($A312="","",IF($D312&lt;&gt;'Team Setup'!$B$4,"Other sprint",IF($C312="","Unassigned",IF(OR(ISNUMBER(SEARCH(",",$C312)),ISNUMBER(SEARCH(";",$C312))),"Multiple assignees",IF(COUNTIF('Team Setup'!$B$10:$B$34,$C312)=1,"Matched","Unmatched")))))</x:f>
      </x:c>
      <x:c r="G312" s="13" t="str">
        <x:f>IF($A312="","",IF($D312&lt;&gt;'Team Setup'!$B$4,"Other sprint",IF($E312="","Unestimated",IF(NOT(ISNUMBER($E312)),"Check estimate in hours",IF($E312&lt;0,"Check estimate in hours",IF($E312=0,"Unestimated","Estimated"))))))</x:f>
      </x:c>
    </x:row>
    <x:row r="313">
      <x:c r="A313" s="12"/>
      <x:c r="B313" s="12"/>
      <x:c r="C313" s="12"/>
      <x:c r="D313" s="12"/>
      <x:c r="E313" s="14"/>
      <x:c r="F313" s="13" t="str">
        <x:f>IF($A313="","",IF($D313&lt;&gt;'Team Setup'!$B$4,"Other sprint",IF($C313="","Unassigned",IF(OR(ISNUMBER(SEARCH(",",$C313)),ISNUMBER(SEARCH(";",$C313))),"Multiple assignees",IF(COUNTIF('Team Setup'!$B$10:$B$34,$C313)=1,"Matched","Unmatched")))))</x:f>
      </x:c>
      <x:c r="G313" s="13" t="str">
        <x:f>IF($A313="","",IF($D313&lt;&gt;'Team Setup'!$B$4,"Other sprint",IF($E313="","Unestimated",IF(NOT(ISNUMBER($E313)),"Check estimate in hours",IF($E313&lt;0,"Check estimate in hours",IF($E313=0,"Unestimated","Estimated"))))))</x:f>
      </x:c>
    </x:row>
    <x:row r="314">
      <x:c r="A314" s="12"/>
      <x:c r="B314" s="12"/>
      <x:c r="C314" s="12"/>
      <x:c r="D314" s="12"/>
      <x:c r="E314" s="14"/>
      <x:c r="F314" s="13" t="str">
        <x:f>IF($A314="","",IF($D314&lt;&gt;'Team Setup'!$B$4,"Other sprint",IF($C314="","Unassigned",IF(OR(ISNUMBER(SEARCH(",",$C314)),ISNUMBER(SEARCH(";",$C314))),"Multiple assignees",IF(COUNTIF('Team Setup'!$B$10:$B$34,$C314)=1,"Matched","Unmatched")))))</x:f>
      </x:c>
      <x:c r="G314" s="13" t="str">
        <x:f>IF($A314="","",IF($D314&lt;&gt;'Team Setup'!$B$4,"Other sprint",IF($E314="","Unestimated",IF(NOT(ISNUMBER($E314)),"Check estimate in hours",IF($E314&lt;0,"Check estimate in hours",IF($E314=0,"Unestimated","Estimated"))))))</x:f>
      </x:c>
    </x:row>
    <x:row r="315">
      <x:c r="A315" s="12"/>
      <x:c r="B315" s="12"/>
      <x:c r="C315" s="12"/>
      <x:c r="D315" s="12"/>
      <x:c r="E315" s="14"/>
      <x:c r="F315" s="13" t="str">
        <x:f>IF($A315="","",IF($D315&lt;&gt;'Team Setup'!$B$4,"Other sprint",IF($C315="","Unassigned",IF(OR(ISNUMBER(SEARCH(",",$C315)),ISNUMBER(SEARCH(";",$C315))),"Multiple assignees",IF(COUNTIF('Team Setup'!$B$10:$B$34,$C315)=1,"Matched","Unmatched")))))</x:f>
      </x:c>
      <x:c r="G315" s="13" t="str">
        <x:f>IF($A315="","",IF($D315&lt;&gt;'Team Setup'!$B$4,"Other sprint",IF($E315="","Unestimated",IF(NOT(ISNUMBER($E315)),"Check estimate in hours",IF($E315&lt;0,"Check estimate in hours",IF($E315=0,"Unestimated","Estimated"))))))</x:f>
      </x:c>
    </x:row>
    <x:row r="316">
      <x:c r="A316" s="12"/>
      <x:c r="B316" s="12"/>
      <x:c r="C316" s="12"/>
      <x:c r="D316" s="12"/>
      <x:c r="E316" s="14"/>
      <x:c r="F316" s="13" t="str">
        <x:f>IF($A316="","",IF($D316&lt;&gt;'Team Setup'!$B$4,"Other sprint",IF($C316="","Unassigned",IF(OR(ISNUMBER(SEARCH(",",$C316)),ISNUMBER(SEARCH(";",$C316))),"Multiple assignees",IF(COUNTIF('Team Setup'!$B$10:$B$34,$C316)=1,"Matched","Unmatched")))))</x:f>
      </x:c>
      <x:c r="G316" s="13" t="str">
        <x:f>IF($A316="","",IF($D316&lt;&gt;'Team Setup'!$B$4,"Other sprint",IF($E316="","Unestimated",IF(NOT(ISNUMBER($E316)),"Check estimate in hours",IF($E316&lt;0,"Check estimate in hours",IF($E316=0,"Unestimated","Estimated"))))))</x:f>
      </x:c>
    </x:row>
    <x:row r="317">
      <x:c r="A317" s="12"/>
      <x:c r="B317" s="12"/>
      <x:c r="C317" s="12"/>
      <x:c r="D317" s="12"/>
      <x:c r="E317" s="14"/>
      <x:c r="F317" s="13" t="str">
        <x:f>IF($A317="","",IF($D317&lt;&gt;'Team Setup'!$B$4,"Other sprint",IF($C317="","Unassigned",IF(OR(ISNUMBER(SEARCH(",",$C317)),ISNUMBER(SEARCH(";",$C317))),"Multiple assignees",IF(COUNTIF('Team Setup'!$B$10:$B$34,$C317)=1,"Matched","Unmatched")))))</x:f>
      </x:c>
      <x:c r="G317" s="13" t="str">
        <x:f>IF($A317="","",IF($D317&lt;&gt;'Team Setup'!$B$4,"Other sprint",IF($E317="","Unestimated",IF(NOT(ISNUMBER($E317)),"Check estimate in hours",IF($E317&lt;0,"Check estimate in hours",IF($E317=0,"Unestimated","Estimated"))))))</x:f>
      </x:c>
    </x:row>
    <x:row r="318">
      <x:c r="A318" s="12"/>
      <x:c r="B318" s="12"/>
      <x:c r="C318" s="12"/>
      <x:c r="D318" s="12"/>
      <x:c r="E318" s="14"/>
      <x:c r="F318" s="13" t="str">
        <x:f>IF($A318="","",IF($D318&lt;&gt;'Team Setup'!$B$4,"Other sprint",IF($C318="","Unassigned",IF(OR(ISNUMBER(SEARCH(",",$C318)),ISNUMBER(SEARCH(";",$C318))),"Multiple assignees",IF(COUNTIF('Team Setup'!$B$10:$B$34,$C318)=1,"Matched","Unmatched")))))</x:f>
      </x:c>
      <x:c r="G318" s="13" t="str">
        <x:f>IF($A318="","",IF($D318&lt;&gt;'Team Setup'!$B$4,"Other sprint",IF($E318="","Unestimated",IF(NOT(ISNUMBER($E318)),"Check estimate in hours",IF($E318&lt;0,"Check estimate in hours",IF($E318=0,"Unestimated","Estimated"))))))</x:f>
      </x:c>
    </x:row>
    <x:row r="319">
      <x:c r="A319" s="12"/>
      <x:c r="B319" s="12"/>
      <x:c r="C319" s="12"/>
      <x:c r="D319" s="12"/>
      <x:c r="E319" s="14"/>
      <x:c r="F319" s="13" t="str">
        <x:f>IF($A319="","",IF($D319&lt;&gt;'Team Setup'!$B$4,"Other sprint",IF($C319="","Unassigned",IF(OR(ISNUMBER(SEARCH(",",$C319)),ISNUMBER(SEARCH(";",$C319))),"Multiple assignees",IF(COUNTIF('Team Setup'!$B$10:$B$34,$C319)=1,"Matched","Unmatched")))))</x:f>
      </x:c>
      <x:c r="G319" s="13" t="str">
        <x:f>IF($A319="","",IF($D319&lt;&gt;'Team Setup'!$B$4,"Other sprint",IF($E319="","Unestimated",IF(NOT(ISNUMBER($E319)),"Check estimate in hours",IF($E319&lt;0,"Check estimate in hours",IF($E319=0,"Unestimated","Estimated"))))))</x:f>
      </x:c>
    </x:row>
    <x:row r="320">
      <x:c r="A320" s="12"/>
      <x:c r="B320" s="12"/>
      <x:c r="C320" s="12"/>
      <x:c r="D320" s="12"/>
      <x:c r="E320" s="14"/>
      <x:c r="F320" s="13" t="str">
        <x:f>IF($A320="","",IF($D320&lt;&gt;'Team Setup'!$B$4,"Other sprint",IF($C320="","Unassigned",IF(OR(ISNUMBER(SEARCH(",",$C320)),ISNUMBER(SEARCH(";",$C320))),"Multiple assignees",IF(COUNTIF('Team Setup'!$B$10:$B$34,$C320)=1,"Matched","Unmatched")))))</x:f>
      </x:c>
      <x:c r="G320" s="13" t="str">
        <x:f>IF($A320="","",IF($D320&lt;&gt;'Team Setup'!$B$4,"Other sprint",IF($E320="","Unestimated",IF(NOT(ISNUMBER($E320)),"Check estimate in hours",IF($E320&lt;0,"Check estimate in hours",IF($E320=0,"Unestimated","Estimated"))))))</x:f>
      </x:c>
    </x:row>
    <x:row r="321">
      <x:c r="A321" s="12"/>
      <x:c r="B321" s="12"/>
      <x:c r="C321" s="12"/>
      <x:c r="D321" s="12"/>
      <x:c r="E321" s="14"/>
      <x:c r="F321" s="13" t="str">
        <x:f>IF($A321="","",IF($D321&lt;&gt;'Team Setup'!$B$4,"Other sprint",IF($C321="","Unassigned",IF(OR(ISNUMBER(SEARCH(",",$C321)),ISNUMBER(SEARCH(";",$C321))),"Multiple assignees",IF(COUNTIF('Team Setup'!$B$10:$B$34,$C321)=1,"Matched","Unmatched")))))</x:f>
      </x:c>
      <x:c r="G321" s="13" t="str">
        <x:f>IF($A321="","",IF($D321&lt;&gt;'Team Setup'!$B$4,"Other sprint",IF($E321="","Unestimated",IF(NOT(ISNUMBER($E321)),"Check estimate in hours",IF($E321&lt;0,"Check estimate in hours",IF($E321=0,"Unestimated","Estimated"))))))</x:f>
      </x:c>
    </x:row>
    <x:row r="322">
      <x:c r="A322" s="12"/>
      <x:c r="B322" s="12"/>
      <x:c r="C322" s="12"/>
      <x:c r="D322" s="12"/>
      <x:c r="E322" s="14"/>
      <x:c r="F322" s="13" t="str">
        <x:f>IF($A322="","",IF($D322&lt;&gt;'Team Setup'!$B$4,"Other sprint",IF($C322="","Unassigned",IF(OR(ISNUMBER(SEARCH(",",$C322)),ISNUMBER(SEARCH(";",$C322))),"Multiple assignees",IF(COUNTIF('Team Setup'!$B$10:$B$34,$C322)=1,"Matched","Unmatched")))))</x:f>
      </x:c>
      <x:c r="G322" s="13" t="str">
        <x:f>IF($A322="","",IF($D322&lt;&gt;'Team Setup'!$B$4,"Other sprint",IF($E322="","Unestimated",IF(NOT(ISNUMBER($E322)),"Check estimate in hours",IF($E322&lt;0,"Check estimate in hours",IF($E322=0,"Unestimated","Estimated"))))))</x:f>
      </x:c>
    </x:row>
    <x:row r="323">
      <x:c r="A323" s="12"/>
      <x:c r="B323" s="12"/>
      <x:c r="C323" s="12"/>
      <x:c r="D323" s="12"/>
      <x:c r="E323" s="14"/>
      <x:c r="F323" s="13" t="str">
        <x:f>IF($A323="","",IF($D323&lt;&gt;'Team Setup'!$B$4,"Other sprint",IF($C323="","Unassigned",IF(OR(ISNUMBER(SEARCH(",",$C323)),ISNUMBER(SEARCH(";",$C323))),"Multiple assignees",IF(COUNTIF('Team Setup'!$B$10:$B$34,$C323)=1,"Matched","Unmatched")))))</x:f>
      </x:c>
      <x:c r="G323" s="13" t="str">
        <x:f>IF($A323="","",IF($D323&lt;&gt;'Team Setup'!$B$4,"Other sprint",IF($E323="","Unestimated",IF(NOT(ISNUMBER($E323)),"Check estimate in hours",IF($E323&lt;0,"Check estimate in hours",IF($E323=0,"Unestimated","Estimated"))))))</x:f>
      </x:c>
    </x:row>
    <x:row r="324">
      <x:c r="A324" s="12"/>
      <x:c r="B324" s="12"/>
      <x:c r="C324" s="12"/>
      <x:c r="D324" s="12"/>
      <x:c r="E324" s="14"/>
      <x:c r="F324" s="13" t="str">
        <x:f>IF($A324="","",IF($D324&lt;&gt;'Team Setup'!$B$4,"Other sprint",IF($C324="","Unassigned",IF(OR(ISNUMBER(SEARCH(",",$C324)),ISNUMBER(SEARCH(";",$C324))),"Multiple assignees",IF(COUNTIF('Team Setup'!$B$10:$B$34,$C324)=1,"Matched","Unmatched")))))</x:f>
      </x:c>
      <x:c r="G324" s="13" t="str">
        <x:f>IF($A324="","",IF($D324&lt;&gt;'Team Setup'!$B$4,"Other sprint",IF($E324="","Unestimated",IF(NOT(ISNUMBER($E324)),"Check estimate in hours",IF($E324&lt;0,"Check estimate in hours",IF($E324=0,"Unestimated","Estimated"))))))</x:f>
      </x:c>
    </x:row>
    <x:row r="325">
      <x:c r="A325" s="12"/>
      <x:c r="B325" s="12"/>
      <x:c r="C325" s="12"/>
      <x:c r="D325" s="12"/>
      <x:c r="E325" s="14"/>
      <x:c r="F325" s="13" t="str">
        <x:f>IF($A325="","",IF($D325&lt;&gt;'Team Setup'!$B$4,"Other sprint",IF($C325="","Unassigned",IF(OR(ISNUMBER(SEARCH(",",$C325)),ISNUMBER(SEARCH(";",$C325))),"Multiple assignees",IF(COUNTIF('Team Setup'!$B$10:$B$34,$C325)=1,"Matched","Unmatched")))))</x:f>
      </x:c>
      <x:c r="G325" s="13" t="str">
        <x:f>IF($A325="","",IF($D325&lt;&gt;'Team Setup'!$B$4,"Other sprint",IF($E325="","Unestimated",IF(NOT(ISNUMBER($E325)),"Check estimate in hours",IF($E325&lt;0,"Check estimate in hours",IF($E325=0,"Unestimated","Estimated"))))))</x:f>
      </x:c>
    </x:row>
    <x:row r="326">
      <x:c r="A326" s="12"/>
      <x:c r="B326" s="12"/>
      <x:c r="C326" s="12"/>
      <x:c r="D326" s="12"/>
      <x:c r="E326" s="14"/>
      <x:c r="F326" s="13" t="str">
        <x:f>IF($A326="","",IF($D326&lt;&gt;'Team Setup'!$B$4,"Other sprint",IF($C326="","Unassigned",IF(OR(ISNUMBER(SEARCH(",",$C326)),ISNUMBER(SEARCH(";",$C326))),"Multiple assignees",IF(COUNTIF('Team Setup'!$B$10:$B$34,$C326)=1,"Matched","Unmatched")))))</x:f>
      </x:c>
      <x:c r="G326" s="13" t="str">
        <x:f>IF($A326="","",IF($D326&lt;&gt;'Team Setup'!$B$4,"Other sprint",IF($E326="","Unestimated",IF(NOT(ISNUMBER($E326)),"Check estimate in hours",IF($E326&lt;0,"Check estimate in hours",IF($E326=0,"Unestimated","Estimated"))))))</x:f>
      </x:c>
    </x:row>
    <x:row r="327">
      <x:c r="A327" s="12"/>
      <x:c r="B327" s="12"/>
      <x:c r="C327" s="12"/>
      <x:c r="D327" s="12"/>
      <x:c r="E327" s="14"/>
      <x:c r="F327" s="13" t="str">
        <x:f>IF($A327="","",IF($D327&lt;&gt;'Team Setup'!$B$4,"Other sprint",IF($C327="","Unassigned",IF(OR(ISNUMBER(SEARCH(",",$C327)),ISNUMBER(SEARCH(";",$C327))),"Multiple assignees",IF(COUNTIF('Team Setup'!$B$10:$B$34,$C327)=1,"Matched","Unmatched")))))</x:f>
      </x:c>
      <x:c r="G327" s="13" t="str">
        <x:f>IF($A327="","",IF($D327&lt;&gt;'Team Setup'!$B$4,"Other sprint",IF($E327="","Unestimated",IF(NOT(ISNUMBER($E327)),"Check estimate in hours",IF($E327&lt;0,"Check estimate in hours",IF($E327=0,"Unestimated","Estimated"))))))</x:f>
      </x:c>
    </x:row>
    <x:row r="328">
      <x:c r="A328" s="12"/>
      <x:c r="B328" s="12"/>
      <x:c r="C328" s="12"/>
      <x:c r="D328" s="12"/>
      <x:c r="E328" s="14"/>
      <x:c r="F328" s="13" t="str">
        <x:f>IF($A328="","",IF($D328&lt;&gt;'Team Setup'!$B$4,"Other sprint",IF($C328="","Unassigned",IF(OR(ISNUMBER(SEARCH(",",$C328)),ISNUMBER(SEARCH(";",$C328))),"Multiple assignees",IF(COUNTIF('Team Setup'!$B$10:$B$34,$C328)=1,"Matched","Unmatched")))))</x:f>
      </x:c>
      <x:c r="G328" s="13" t="str">
        <x:f>IF($A328="","",IF($D328&lt;&gt;'Team Setup'!$B$4,"Other sprint",IF($E328="","Unestimated",IF(NOT(ISNUMBER($E328)),"Check estimate in hours",IF($E328&lt;0,"Check estimate in hours",IF($E328=0,"Unestimated","Estimated"))))))</x:f>
      </x:c>
    </x:row>
    <x:row r="329">
      <x:c r="A329" s="12"/>
      <x:c r="B329" s="12"/>
      <x:c r="C329" s="12"/>
      <x:c r="D329" s="12"/>
      <x:c r="E329" s="14"/>
      <x:c r="F329" s="13" t="str">
        <x:f>IF($A329="","",IF($D329&lt;&gt;'Team Setup'!$B$4,"Other sprint",IF($C329="","Unassigned",IF(OR(ISNUMBER(SEARCH(",",$C329)),ISNUMBER(SEARCH(";",$C329))),"Multiple assignees",IF(COUNTIF('Team Setup'!$B$10:$B$34,$C329)=1,"Matched","Unmatched")))))</x:f>
      </x:c>
      <x:c r="G329" s="13" t="str">
        <x:f>IF($A329="","",IF($D329&lt;&gt;'Team Setup'!$B$4,"Other sprint",IF($E329="","Unestimated",IF(NOT(ISNUMBER($E329)),"Check estimate in hours",IF($E329&lt;0,"Check estimate in hours",IF($E329=0,"Unestimated","Estimated"))))))</x:f>
      </x:c>
    </x:row>
    <x:row r="330">
      <x:c r="A330" s="12"/>
      <x:c r="B330" s="12"/>
      <x:c r="C330" s="12"/>
      <x:c r="D330" s="12"/>
      <x:c r="E330" s="14"/>
      <x:c r="F330" s="13" t="str">
        <x:f>IF($A330="","",IF($D330&lt;&gt;'Team Setup'!$B$4,"Other sprint",IF($C330="","Unassigned",IF(OR(ISNUMBER(SEARCH(",",$C330)),ISNUMBER(SEARCH(";",$C330))),"Multiple assignees",IF(COUNTIF('Team Setup'!$B$10:$B$34,$C330)=1,"Matched","Unmatched")))))</x:f>
      </x:c>
      <x:c r="G330" s="13" t="str">
        <x:f>IF($A330="","",IF($D330&lt;&gt;'Team Setup'!$B$4,"Other sprint",IF($E330="","Unestimated",IF(NOT(ISNUMBER($E330)),"Check estimate in hours",IF($E330&lt;0,"Check estimate in hours",IF($E330=0,"Unestimated","Estimated"))))))</x:f>
      </x:c>
    </x:row>
    <x:row r="331">
      <x:c r="A331" s="12"/>
      <x:c r="B331" s="12"/>
      <x:c r="C331" s="12"/>
      <x:c r="D331" s="12"/>
      <x:c r="E331" s="14"/>
      <x:c r="F331" s="13" t="str">
        <x:f>IF($A331="","",IF($D331&lt;&gt;'Team Setup'!$B$4,"Other sprint",IF($C331="","Unassigned",IF(OR(ISNUMBER(SEARCH(",",$C331)),ISNUMBER(SEARCH(";",$C331))),"Multiple assignees",IF(COUNTIF('Team Setup'!$B$10:$B$34,$C331)=1,"Matched","Unmatched")))))</x:f>
      </x:c>
      <x:c r="G331" s="13" t="str">
        <x:f>IF($A331="","",IF($D331&lt;&gt;'Team Setup'!$B$4,"Other sprint",IF($E331="","Unestimated",IF(NOT(ISNUMBER($E331)),"Check estimate in hours",IF($E331&lt;0,"Check estimate in hours",IF($E331=0,"Unestimated","Estimated"))))))</x:f>
      </x:c>
    </x:row>
    <x:row r="332">
      <x:c r="A332" s="12"/>
      <x:c r="B332" s="12"/>
      <x:c r="C332" s="12"/>
      <x:c r="D332" s="12"/>
      <x:c r="E332" s="14"/>
      <x:c r="F332" s="13" t="str">
        <x:f>IF($A332="","",IF($D332&lt;&gt;'Team Setup'!$B$4,"Other sprint",IF($C332="","Unassigned",IF(OR(ISNUMBER(SEARCH(",",$C332)),ISNUMBER(SEARCH(";",$C332))),"Multiple assignees",IF(COUNTIF('Team Setup'!$B$10:$B$34,$C332)=1,"Matched","Unmatched")))))</x:f>
      </x:c>
      <x:c r="G332" s="13" t="str">
        <x:f>IF($A332="","",IF($D332&lt;&gt;'Team Setup'!$B$4,"Other sprint",IF($E332="","Unestimated",IF(NOT(ISNUMBER($E332)),"Check estimate in hours",IF($E332&lt;0,"Check estimate in hours",IF($E332=0,"Unestimated","Estimated"))))))</x:f>
      </x:c>
    </x:row>
    <x:row r="333">
      <x:c r="A333" s="12"/>
      <x:c r="B333" s="12"/>
      <x:c r="C333" s="12"/>
      <x:c r="D333" s="12"/>
      <x:c r="E333" s="14"/>
      <x:c r="F333" s="13" t="str">
        <x:f>IF($A333="","",IF($D333&lt;&gt;'Team Setup'!$B$4,"Other sprint",IF($C333="","Unassigned",IF(OR(ISNUMBER(SEARCH(",",$C333)),ISNUMBER(SEARCH(";",$C333))),"Multiple assignees",IF(COUNTIF('Team Setup'!$B$10:$B$34,$C333)=1,"Matched","Unmatched")))))</x:f>
      </x:c>
      <x:c r="G333" s="13" t="str">
        <x:f>IF($A333="","",IF($D333&lt;&gt;'Team Setup'!$B$4,"Other sprint",IF($E333="","Unestimated",IF(NOT(ISNUMBER($E333)),"Check estimate in hours",IF($E333&lt;0,"Check estimate in hours",IF($E333=0,"Unestimated","Estimated"))))))</x:f>
      </x:c>
    </x:row>
    <x:row r="334">
      <x:c r="A334" s="12"/>
      <x:c r="B334" s="12"/>
      <x:c r="C334" s="12"/>
      <x:c r="D334" s="12"/>
      <x:c r="E334" s="14"/>
      <x:c r="F334" s="13" t="str">
        <x:f>IF($A334="","",IF($D334&lt;&gt;'Team Setup'!$B$4,"Other sprint",IF($C334="","Unassigned",IF(OR(ISNUMBER(SEARCH(",",$C334)),ISNUMBER(SEARCH(";",$C334))),"Multiple assignees",IF(COUNTIF('Team Setup'!$B$10:$B$34,$C334)=1,"Matched","Unmatched")))))</x:f>
      </x:c>
      <x:c r="G334" s="13" t="str">
        <x:f>IF($A334="","",IF($D334&lt;&gt;'Team Setup'!$B$4,"Other sprint",IF($E334="","Unestimated",IF(NOT(ISNUMBER($E334)),"Check estimate in hours",IF($E334&lt;0,"Check estimate in hours",IF($E334=0,"Unestimated","Estimated"))))))</x:f>
      </x:c>
    </x:row>
    <x:row r="335">
      <x:c r="A335" s="12"/>
      <x:c r="B335" s="12"/>
      <x:c r="C335" s="12"/>
      <x:c r="D335" s="12"/>
      <x:c r="E335" s="14"/>
      <x:c r="F335" s="13" t="str">
        <x:f>IF($A335="","",IF($D335&lt;&gt;'Team Setup'!$B$4,"Other sprint",IF($C335="","Unassigned",IF(OR(ISNUMBER(SEARCH(",",$C335)),ISNUMBER(SEARCH(";",$C335))),"Multiple assignees",IF(COUNTIF('Team Setup'!$B$10:$B$34,$C335)=1,"Matched","Unmatched")))))</x:f>
      </x:c>
      <x:c r="G335" s="13" t="str">
        <x:f>IF($A335="","",IF($D335&lt;&gt;'Team Setup'!$B$4,"Other sprint",IF($E335="","Unestimated",IF(NOT(ISNUMBER($E335)),"Check estimate in hours",IF($E335&lt;0,"Check estimate in hours",IF($E335=0,"Unestimated","Estimated"))))))</x:f>
      </x:c>
    </x:row>
    <x:row r="336">
      <x:c r="A336" s="12"/>
      <x:c r="B336" s="12"/>
      <x:c r="C336" s="12"/>
      <x:c r="D336" s="12"/>
      <x:c r="E336" s="14"/>
      <x:c r="F336" s="13" t="str">
        <x:f>IF($A336="","",IF($D336&lt;&gt;'Team Setup'!$B$4,"Other sprint",IF($C336="","Unassigned",IF(OR(ISNUMBER(SEARCH(",",$C336)),ISNUMBER(SEARCH(";",$C336))),"Multiple assignees",IF(COUNTIF('Team Setup'!$B$10:$B$34,$C336)=1,"Matched","Unmatched")))))</x:f>
      </x:c>
      <x:c r="G336" s="13" t="str">
        <x:f>IF($A336="","",IF($D336&lt;&gt;'Team Setup'!$B$4,"Other sprint",IF($E336="","Unestimated",IF(NOT(ISNUMBER($E336)),"Check estimate in hours",IF($E336&lt;0,"Check estimate in hours",IF($E336=0,"Unestimated","Estimated"))))))</x:f>
      </x:c>
    </x:row>
    <x:row r="337">
      <x:c r="A337" s="12"/>
      <x:c r="B337" s="12"/>
      <x:c r="C337" s="12"/>
      <x:c r="D337" s="12"/>
      <x:c r="E337" s="14"/>
      <x:c r="F337" s="13" t="str">
        <x:f>IF($A337="","",IF($D337&lt;&gt;'Team Setup'!$B$4,"Other sprint",IF($C337="","Unassigned",IF(OR(ISNUMBER(SEARCH(",",$C337)),ISNUMBER(SEARCH(";",$C337))),"Multiple assignees",IF(COUNTIF('Team Setup'!$B$10:$B$34,$C337)=1,"Matched","Unmatched")))))</x:f>
      </x:c>
      <x:c r="G337" s="13" t="str">
        <x:f>IF($A337="","",IF($D337&lt;&gt;'Team Setup'!$B$4,"Other sprint",IF($E337="","Unestimated",IF(NOT(ISNUMBER($E337)),"Check estimate in hours",IF($E337&lt;0,"Check estimate in hours",IF($E337=0,"Unestimated","Estimated"))))))</x:f>
      </x:c>
    </x:row>
    <x:row r="338">
      <x:c r="A338" s="12"/>
      <x:c r="B338" s="12"/>
      <x:c r="C338" s="12"/>
      <x:c r="D338" s="12"/>
      <x:c r="E338" s="14"/>
      <x:c r="F338" s="13" t="str">
        <x:f>IF($A338="","",IF($D338&lt;&gt;'Team Setup'!$B$4,"Other sprint",IF($C338="","Unassigned",IF(OR(ISNUMBER(SEARCH(",",$C338)),ISNUMBER(SEARCH(";",$C338))),"Multiple assignees",IF(COUNTIF('Team Setup'!$B$10:$B$34,$C338)=1,"Matched","Unmatched")))))</x:f>
      </x:c>
      <x:c r="G338" s="13" t="str">
        <x:f>IF($A338="","",IF($D338&lt;&gt;'Team Setup'!$B$4,"Other sprint",IF($E338="","Unestimated",IF(NOT(ISNUMBER($E338)),"Check estimate in hours",IF($E338&lt;0,"Check estimate in hours",IF($E338=0,"Unestimated","Estimated"))))))</x:f>
      </x:c>
    </x:row>
    <x:row r="339">
      <x:c r="A339" s="12"/>
      <x:c r="B339" s="12"/>
      <x:c r="C339" s="12"/>
      <x:c r="D339" s="12"/>
      <x:c r="E339" s="14"/>
      <x:c r="F339" s="13" t="str">
        <x:f>IF($A339="","",IF($D339&lt;&gt;'Team Setup'!$B$4,"Other sprint",IF($C339="","Unassigned",IF(OR(ISNUMBER(SEARCH(",",$C339)),ISNUMBER(SEARCH(";",$C339))),"Multiple assignees",IF(COUNTIF('Team Setup'!$B$10:$B$34,$C339)=1,"Matched","Unmatched")))))</x:f>
      </x:c>
      <x:c r="G339" s="13" t="str">
        <x:f>IF($A339="","",IF($D339&lt;&gt;'Team Setup'!$B$4,"Other sprint",IF($E339="","Unestimated",IF(NOT(ISNUMBER($E339)),"Check estimate in hours",IF($E339&lt;0,"Check estimate in hours",IF($E339=0,"Unestimated","Estimated"))))))</x:f>
      </x:c>
    </x:row>
    <x:row r="340">
      <x:c r="A340" s="12"/>
      <x:c r="B340" s="12"/>
      <x:c r="C340" s="12"/>
      <x:c r="D340" s="12"/>
      <x:c r="E340" s="14"/>
      <x:c r="F340" s="13" t="str">
        <x:f>IF($A340="","",IF($D340&lt;&gt;'Team Setup'!$B$4,"Other sprint",IF($C340="","Unassigned",IF(OR(ISNUMBER(SEARCH(",",$C340)),ISNUMBER(SEARCH(";",$C340))),"Multiple assignees",IF(COUNTIF('Team Setup'!$B$10:$B$34,$C340)=1,"Matched","Unmatched")))))</x:f>
      </x:c>
      <x:c r="G340" s="13" t="str">
        <x:f>IF($A340="","",IF($D340&lt;&gt;'Team Setup'!$B$4,"Other sprint",IF($E340="","Unestimated",IF(NOT(ISNUMBER($E340)),"Check estimate in hours",IF($E340&lt;0,"Check estimate in hours",IF($E340=0,"Unestimated","Estimated"))))))</x:f>
      </x:c>
    </x:row>
    <x:row r="341">
      <x:c r="A341" s="12"/>
      <x:c r="B341" s="12"/>
      <x:c r="C341" s="12"/>
      <x:c r="D341" s="12"/>
      <x:c r="E341" s="14"/>
      <x:c r="F341" s="13" t="str">
        <x:f>IF($A341="","",IF($D341&lt;&gt;'Team Setup'!$B$4,"Other sprint",IF($C341="","Unassigned",IF(OR(ISNUMBER(SEARCH(",",$C341)),ISNUMBER(SEARCH(";",$C341))),"Multiple assignees",IF(COUNTIF('Team Setup'!$B$10:$B$34,$C341)=1,"Matched","Unmatched")))))</x:f>
      </x:c>
      <x:c r="G341" s="13" t="str">
        <x:f>IF($A341="","",IF($D341&lt;&gt;'Team Setup'!$B$4,"Other sprint",IF($E341="","Unestimated",IF(NOT(ISNUMBER($E341)),"Check estimate in hours",IF($E341&lt;0,"Check estimate in hours",IF($E341=0,"Unestimated","Estimated"))))))</x:f>
      </x:c>
    </x:row>
    <x:row r="342">
      <x:c r="A342" s="12"/>
      <x:c r="B342" s="12"/>
      <x:c r="C342" s="12"/>
      <x:c r="D342" s="12"/>
      <x:c r="E342" s="14"/>
      <x:c r="F342" s="13" t="str">
        <x:f>IF($A342="","",IF($D342&lt;&gt;'Team Setup'!$B$4,"Other sprint",IF($C342="","Unassigned",IF(OR(ISNUMBER(SEARCH(",",$C342)),ISNUMBER(SEARCH(";",$C342))),"Multiple assignees",IF(COUNTIF('Team Setup'!$B$10:$B$34,$C342)=1,"Matched","Unmatched")))))</x:f>
      </x:c>
      <x:c r="G342" s="13" t="str">
        <x:f>IF($A342="","",IF($D342&lt;&gt;'Team Setup'!$B$4,"Other sprint",IF($E342="","Unestimated",IF(NOT(ISNUMBER($E342)),"Check estimate in hours",IF($E342&lt;0,"Check estimate in hours",IF($E342=0,"Unestimated","Estimated"))))))</x:f>
      </x:c>
    </x:row>
    <x:row r="343">
      <x:c r="A343" s="12"/>
      <x:c r="B343" s="12"/>
      <x:c r="C343" s="12"/>
      <x:c r="D343" s="12"/>
      <x:c r="E343" s="14"/>
      <x:c r="F343" s="13" t="str">
        <x:f>IF($A343="","",IF($D343&lt;&gt;'Team Setup'!$B$4,"Other sprint",IF($C343="","Unassigned",IF(OR(ISNUMBER(SEARCH(",",$C343)),ISNUMBER(SEARCH(";",$C343))),"Multiple assignees",IF(COUNTIF('Team Setup'!$B$10:$B$34,$C343)=1,"Matched","Unmatched")))))</x:f>
      </x:c>
      <x:c r="G343" s="13" t="str">
        <x:f>IF($A343="","",IF($D343&lt;&gt;'Team Setup'!$B$4,"Other sprint",IF($E343="","Unestimated",IF(NOT(ISNUMBER($E343)),"Check estimate in hours",IF($E343&lt;0,"Check estimate in hours",IF($E343=0,"Unestimated","Estimated"))))))</x:f>
      </x:c>
    </x:row>
    <x:row r="344">
      <x:c r="A344" s="12"/>
      <x:c r="B344" s="12"/>
      <x:c r="C344" s="12"/>
      <x:c r="D344" s="12"/>
      <x:c r="E344" s="14"/>
      <x:c r="F344" s="13" t="str">
        <x:f>IF($A344="","",IF($D344&lt;&gt;'Team Setup'!$B$4,"Other sprint",IF($C344="","Unassigned",IF(OR(ISNUMBER(SEARCH(",",$C344)),ISNUMBER(SEARCH(";",$C344))),"Multiple assignees",IF(COUNTIF('Team Setup'!$B$10:$B$34,$C344)=1,"Matched","Unmatched")))))</x:f>
      </x:c>
      <x:c r="G344" s="13" t="str">
        <x:f>IF($A344="","",IF($D344&lt;&gt;'Team Setup'!$B$4,"Other sprint",IF($E344="","Unestimated",IF(NOT(ISNUMBER($E344)),"Check estimate in hours",IF($E344&lt;0,"Check estimate in hours",IF($E344=0,"Unestimated","Estimated"))))))</x:f>
      </x:c>
    </x:row>
    <x:row r="345">
      <x:c r="A345" s="12"/>
      <x:c r="B345" s="12"/>
      <x:c r="C345" s="12"/>
      <x:c r="D345" s="12"/>
      <x:c r="E345" s="14"/>
      <x:c r="F345" s="13" t="str">
        <x:f>IF($A345="","",IF($D345&lt;&gt;'Team Setup'!$B$4,"Other sprint",IF($C345="","Unassigned",IF(OR(ISNUMBER(SEARCH(",",$C345)),ISNUMBER(SEARCH(";",$C345))),"Multiple assignees",IF(COUNTIF('Team Setup'!$B$10:$B$34,$C345)=1,"Matched","Unmatched")))))</x:f>
      </x:c>
      <x:c r="G345" s="13" t="str">
        <x:f>IF($A345="","",IF($D345&lt;&gt;'Team Setup'!$B$4,"Other sprint",IF($E345="","Unestimated",IF(NOT(ISNUMBER($E345)),"Check estimate in hours",IF($E345&lt;0,"Check estimate in hours",IF($E345=0,"Unestimated","Estimated"))))))</x:f>
      </x:c>
    </x:row>
    <x:row r="346">
      <x:c r="A346" s="12"/>
      <x:c r="B346" s="12"/>
      <x:c r="C346" s="12"/>
      <x:c r="D346" s="12"/>
      <x:c r="E346" s="14"/>
      <x:c r="F346" s="13" t="str">
        <x:f>IF($A346="","",IF($D346&lt;&gt;'Team Setup'!$B$4,"Other sprint",IF($C346="","Unassigned",IF(OR(ISNUMBER(SEARCH(",",$C346)),ISNUMBER(SEARCH(";",$C346))),"Multiple assignees",IF(COUNTIF('Team Setup'!$B$10:$B$34,$C346)=1,"Matched","Unmatched")))))</x:f>
      </x:c>
      <x:c r="G346" s="13" t="str">
        <x:f>IF($A346="","",IF($D346&lt;&gt;'Team Setup'!$B$4,"Other sprint",IF($E346="","Unestimated",IF(NOT(ISNUMBER($E346)),"Check estimate in hours",IF($E346&lt;0,"Check estimate in hours",IF($E346=0,"Unestimated","Estimated"))))))</x:f>
      </x:c>
    </x:row>
    <x:row r="347">
      <x:c r="A347" s="12"/>
      <x:c r="B347" s="12"/>
      <x:c r="C347" s="12"/>
      <x:c r="D347" s="12"/>
      <x:c r="E347" s="14"/>
      <x:c r="F347" s="13" t="str">
        <x:f>IF($A347="","",IF($D347&lt;&gt;'Team Setup'!$B$4,"Other sprint",IF($C347="","Unassigned",IF(OR(ISNUMBER(SEARCH(",",$C347)),ISNUMBER(SEARCH(";",$C347))),"Multiple assignees",IF(COUNTIF('Team Setup'!$B$10:$B$34,$C347)=1,"Matched","Unmatched")))))</x:f>
      </x:c>
      <x:c r="G347" s="13" t="str">
        <x:f>IF($A347="","",IF($D347&lt;&gt;'Team Setup'!$B$4,"Other sprint",IF($E347="","Unestimated",IF(NOT(ISNUMBER($E347)),"Check estimate in hours",IF($E347&lt;0,"Check estimate in hours",IF($E347=0,"Unestimated","Estimated"))))))</x:f>
      </x:c>
    </x:row>
    <x:row r="348">
      <x:c r="A348" s="12"/>
      <x:c r="B348" s="12"/>
      <x:c r="C348" s="12"/>
      <x:c r="D348" s="12"/>
      <x:c r="E348" s="14"/>
      <x:c r="F348" s="13" t="str">
        <x:f>IF($A348="","",IF($D348&lt;&gt;'Team Setup'!$B$4,"Other sprint",IF($C348="","Unassigned",IF(OR(ISNUMBER(SEARCH(",",$C348)),ISNUMBER(SEARCH(";",$C348))),"Multiple assignees",IF(COUNTIF('Team Setup'!$B$10:$B$34,$C348)=1,"Matched","Unmatched")))))</x:f>
      </x:c>
      <x:c r="G348" s="13" t="str">
        <x:f>IF($A348="","",IF($D348&lt;&gt;'Team Setup'!$B$4,"Other sprint",IF($E348="","Unestimated",IF(NOT(ISNUMBER($E348)),"Check estimate in hours",IF($E348&lt;0,"Check estimate in hours",IF($E348=0,"Unestimated","Estimated"))))))</x:f>
      </x:c>
    </x:row>
    <x:row r="349">
      <x:c r="A349" s="12"/>
      <x:c r="B349" s="12"/>
      <x:c r="C349" s="12"/>
      <x:c r="D349" s="12"/>
      <x:c r="E349" s="14"/>
      <x:c r="F349" s="13" t="str">
        <x:f>IF($A349="","",IF($D349&lt;&gt;'Team Setup'!$B$4,"Other sprint",IF($C349="","Unassigned",IF(OR(ISNUMBER(SEARCH(",",$C349)),ISNUMBER(SEARCH(";",$C349))),"Multiple assignees",IF(COUNTIF('Team Setup'!$B$10:$B$34,$C349)=1,"Matched","Unmatched")))))</x:f>
      </x:c>
      <x:c r="G349" s="13" t="str">
        <x:f>IF($A349="","",IF($D349&lt;&gt;'Team Setup'!$B$4,"Other sprint",IF($E349="","Unestimated",IF(NOT(ISNUMBER($E349)),"Check estimate in hours",IF($E349&lt;0,"Check estimate in hours",IF($E349=0,"Unestimated","Estimated"))))))</x:f>
      </x:c>
    </x:row>
    <x:row r="350">
      <x:c r="A350" s="12"/>
      <x:c r="B350" s="12"/>
      <x:c r="C350" s="12"/>
      <x:c r="D350" s="12"/>
      <x:c r="E350" s="14"/>
      <x:c r="F350" s="13" t="str">
        <x:f>IF($A350="","",IF($D350&lt;&gt;'Team Setup'!$B$4,"Other sprint",IF($C350="","Unassigned",IF(OR(ISNUMBER(SEARCH(",",$C350)),ISNUMBER(SEARCH(";",$C350))),"Multiple assignees",IF(COUNTIF('Team Setup'!$B$10:$B$34,$C350)=1,"Matched","Unmatched")))))</x:f>
      </x:c>
      <x:c r="G350" s="13" t="str">
        <x:f>IF($A350="","",IF($D350&lt;&gt;'Team Setup'!$B$4,"Other sprint",IF($E350="","Unestimated",IF(NOT(ISNUMBER($E350)),"Check estimate in hours",IF($E350&lt;0,"Check estimate in hours",IF($E350=0,"Unestimated","Estimated"))))))</x:f>
      </x:c>
    </x:row>
    <x:row r="351">
      <x:c r="A351" s="12"/>
      <x:c r="B351" s="12"/>
      <x:c r="C351" s="12"/>
      <x:c r="D351" s="12"/>
      <x:c r="E351" s="14"/>
      <x:c r="F351" s="13" t="str">
        <x:f>IF($A351="","",IF($D351&lt;&gt;'Team Setup'!$B$4,"Other sprint",IF($C351="","Unassigned",IF(OR(ISNUMBER(SEARCH(",",$C351)),ISNUMBER(SEARCH(";",$C351))),"Multiple assignees",IF(COUNTIF('Team Setup'!$B$10:$B$34,$C351)=1,"Matched","Unmatched")))))</x:f>
      </x:c>
      <x:c r="G351" s="13" t="str">
        <x:f>IF($A351="","",IF($D351&lt;&gt;'Team Setup'!$B$4,"Other sprint",IF($E351="","Unestimated",IF(NOT(ISNUMBER($E351)),"Check estimate in hours",IF($E351&lt;0,"Check estimate in hours",IF($E351=0,"Unestimated","Estimated"))))))</x:f>
      </x:c>
    </x:row>
    <x:row r="352">
      <x:c r="A352" s="12"/>
      <x:c r="B352" s="12"/>
      <x:c r="C352" s="12"/>
      <x:c r="D352" s="12"/>
      <x:c r="E352" s="14"/>
      <x:c r="F352" s="13" t="str">
        <x:f>IF($A352="","",IF($D352&lt;&gt;'Team Setup'!$B$4,"Other sprint",IF($C352="","Unassigned",IF(OR(ISNUMBER(SEARCH(",",$C352)),ISNUMBER(SEARCH(";",$C352))),"Multiple assignees",IF(COUNTIF('Team Setup'!$B$10:$B$34,$C352)=1,"Matched","Unmatched")))))</x:f>
      </x:c>
      <x:c r="G352" s="13" t="str">
        <x:f>IF($A352="","",IF($D352&lt;&gt;'Team Setup'!$B$4,"Other sprint",IF($E352="","Unestimated",IF(NOT(ISNUMBER($E352)),"Check estimate in hours",IF($E352&lt;0,"Check estimate in hours",IF($E352=0,"Unestimated","Estimated"))))))</x:f>
      </x:c>
    </x:row>
    <x:row r="353">
      <x:c r="A353" s="12"/>
      <x:c r="B353" s="12"/>
      <x:c r="C353" s="12"/>
      <x:c r="D353" s="12"/>
      <x:c r="E353" s="14"/>
      <x:c r="F353" s="13" t="str">
        <x:f>IF($A353="","",IF($D353&lt;&gt;'Team Setup'!$B$4,"Other sprint",IF($C353="","Unassigned",IF(OR(ISNUMBER(SEARCH(",",$C353)),ISNUMBER(SEARCH(";",$C353))),"Multiple assignees",IF(COUNTIF('Team Setup'!$B$10:$B$34,$C353)=1,"Matched","Unmatched")))))</x:f>
      </x:c>
      <x:c r="G353" s="13" t="str">
        <x:f>IF($A353="","",IF($D353&lt;&gt;'Team Setup'!$B$4,"Other sprint",IF($E353="","Unestimated",IF(NOT(ISNUMBER($E353)),"Check estimate in hours",IF($E353&lt;0,"Check estimate in hours",IF($E353=0,"Unestimated","Estimated"))))))</x:f>
      </x:c>
    </x:row>
    <x:row r="354">
      <x:c r="A354" s="12"/>
      <x:c r="B354" s="12"/>
      <x:c r="C354" s="12"/>
      <x:c r="D354" s="12"/>
      <x:c r="E354" s="14"/>
      <x:c r="F354" s="13" t="str">
        <x:f>IF($A354="","",IF($D354&lt;&gt;'Team Setup'!$B$4,"Other sprint",IF($C354="","Unassigned",IF(OR(ISNUMBER(SEARCH(",",$C354)),ISNUMBER(SEARCH(";",$C354))),"Multiple assignees",IF(COUNTIF('Team Setup'!$B$10:$B$34,$C354)=1,"Matched","Unmatched")))))</x:f>
      </x:c>
      <x:c r="G354" s="13" t="str">
        <x:f>IF($A354="","",IF($D354&lt;&gt;'Team Setup'!$B$4,"Other sprint",IF($E354="","Unestimated",IF(NOT(ISNUMBER($E354)),"Check estimate in hours",IF($E354&lt;0,"Check estimate in hours",IF($E354=0,"Unestimated","Estimated"))))))</x:f>
      </x:c>
    </x:row>
    <x:row r="355">
      <x:c r="A355" s="12"/>
      <x:c r="B355" s="12"/>
      <x:c r="C355" s="12"/>
      <x:c r="D355" s="12"/>
      <x:c r="E355" s="14"/>
      <x:c r="F355" s="13" t="str">
        <x:f>IF($A355="","",IF($D355&lt;&gt;'Team Setup'!$B$4,"Other sprint",IF($C355="","Unassigned",IF(OR(ISNUMBER(SEARCH(",",$C355)),ISNUMBER(SEARCH(";",$C355))),"Multiple assignees",IF(COUNTIF('Team Setup'!$B$10:$B$34,$C355)=1,"Matched","Unmatched")))))</x:f>
      </x:c>
      <x:c r="G355" s="13" t="str">
        <x:f>IF($A355="","",IF($D355&lt;&gt;'Team Setup'!$B$4,"Other sprint",IF($E355="","Unestimated",IF(NOT(ISNUMBER($E355)),"Check estimate in hours",IF($E355&lt;0,"Check estimate in hours",IF($E355=0,"Unestimated","Estimated"))))))</x:f>
      </x:c>
    </x:row>
    <x:row r="356">
      <x:c r="A356" s="12"/>
      <x:c r="B356" s="12"/>
      <x:c r="C356" s="12"/>
      <x:c r="D356" s="12"/>
      <x:c r="E356" s="14"/>
      <x:c r="F356" s="13" t="str">
        <x:f>IF($A356="","",IF($D356&lt;&gt;'Team Setup'!$B$4,"Other sprint",IF($C356="","Unassigned",IF(OR(ISNUMBER(SEARCH(",",$C356)),ISNUMBER(SEARCH(";",$C356))),"Multiple assignees",IF(COUNTIF('Team Setup'!$B$10:$B$34,$C356)=1,"Matched","Unmatched")))))</x:f>
      </x:c>
      <x:c r="G356" s="13" t="str">
        <x:f>IF($A356="","",IF($D356&lt;&gt;'Team Setup'!$B$4,"Other sprint",IF($E356="","Unestimated",IF(NOT(ISNUMBER($E356)),"Check estimate in hours",IF($E356&lt;0,"Check estimate in hours",IF($E356=0,"Unestimated","Estimated"))))))</x:f>
      </x:c>
    </x:row>
    <x:row r="357">
      <x:c r="A357" s="12"/>
      <x:c r="B357" s="12"/>
      <x:c r="C357" s="12"/>
      <x:c r="D357" s="12"/>
      <x:c r="E357" s="14"/>
      <x:c r="F357" s="13" t="str">
        <x:f>IF($A357="","",IF($D357&lt;&gt;'Team Setup'!$B$4,"Other sprint",IF($C357="","Unassigned",IF(OR(ISNUMBER(SEARCH(",",$C357)),ISNUMBER(SEARCH(";",$C357))),"Multiple assignees",IF(COUNTIF('Team Setup'!$B$10:$B$34,$C357)=1,"Matched","Unmatched")))))</x:f>
      </x:c>
      <x:c r="G357" s="13" t="str">
        <x:f>IF($A357="","",IF($D357&lt;&gt;'Team Setup'!$B$4,"Other sprint",IF($E357="","Unestimated",IF(NOT(ISNUMBER($E357)),"Check estimate in hours",IF($E357&lt;0,"Check estimate in hours",IF($E357=0,"Unestimated","Estimated"))))))</x:f>
      </x:c>
    </x:row>
    <x:row r="358">
      <x:c r="A358" s="12"/>
      <x:c r="B358" s="12"/>
      <x:c r="C358" s="12"/>
      <x:c r="D358" s="12"/>
      <x:c r="E358" s="14"/>
      <x:c r="F358" s="13" t="str">
        <x:f>IF($A358="","",IF($D358&lt;&gt;'Team Setup'!$B$4,"Other sprint",IF($C358="","Unassigned",IF(OR(ISNUMBER(SEARCH(",",$C358)),ISNUMBER(SEARCH(";",$C358))),"Multiple assignees",IF(COUNTIF('Team Setup'!$B$10:$B$34,$C358)=1,"Matched","Unmatched")))))</x:f>
      </x:c>
      <x:c r="G358" s="13" t="str">
        <x:f>IF($A358="","",IF($D358&lt;&gt;'Team Setup'!$B$4,"Other sprint",IF($E358="","Unestimated",IF(NOT(ISNUMBER($E358)),"Check estimate in hours",IF($E358&lt;0,"Check estimate in hours",IF($E358=0,"Unestimated","Estimated"))))))</x:f>
      </x:c>
    </x:row>
    <x:row r="359">
      <x:c r="A359" s="12"/>
      <x:c r="B359" s="12"/>
      <x:c r="C359" s="12"/>
      <x:c r="D359" s="12"/>
      <x:c r="E359" s="14"/>
      <x:c r="F359" s="13" t="str">
        <x:f>IF($A359="","",IF($D359&lt;&gt;'Team Setup'!$B$4,"Other sprint",IF($C359="","Unassigned",IF(OR(ISNUMBER(SEARCH(",",$C359)),ISNUMBER(SEARCH(";",$C359))),"Multiple assignees",IF(COUNTIF('Team Setup'!$B$10:$B$34,$C359)=1,"Matched","Unmatched")))))</x:f>
      </x:c>
      <x:c r="G359" s="13" t="str">
        <x:f>IF($A359="","",IF($D359&lt;&gt;'Team Setup'!$B$4,"Other sprint",IF($E359="","Unestimated",IF(NOT(ISNUMBER($E359)),"Check estimate in hours",IF($E359&lt;0,"Check estimate in hours",IF($E359=0,"Unestimated","Estimated"))))))</x:f>
      </x:c>
    </x:row>
    <x:row r="360">
      <x:c r="A360" s="12"/>
      <x:c r="B360" s="12"/>
      <x:c r="C360" s="12"/>
      <x:c r="D360" s="12"/>
      <x:c r="E360" s="14"/>
      <x:c r="F360" s="13" t="str">
        <x:f>IF($A360="","",IF($D360&lt;&gt;'Team Setup'!$B$4,"Other sprint",IF($C360="","Unassigned",IF(OR(ISNUMBER(SEARCH(",",$C360)),ISNUMBER(SEARCH(";",$C360))),"Multiple assignees",IF(COUNTIF('Team Setup'!$B$10:$B$34,$C360)=1,"Matched","Unmatched")))))</x:f>
      </x:c>
      <x:c r="G360" s="13" t="str">
        <x:f>IF($A360="","",IF($D360&lt;&gt;'Team Setup'!$B$4,"Other sprint",IF($E360="","Unestimated",IF(NOT(ISNUMBER($E360)),"Check estimate in hours",IF($E360&lt;0,"Check estimate in hours",IF($E360=0,"Unestimated","Estimated"))))))</x:f>
      </x:c>
    </x:row>
    <x:row r="361">
      <x:c r="A361" s="12"/>
      <x:c r="B361" s="12"/>
      <x:c r="C361" s="12"/>
      <x:c r="D361" s="12"/>
      <x:c r="E361" s="14"/>
      <x:c r="F361" s="13" t="str">
        <x:f>IF($A361="","",IF($D361&lt;&gt;'Team Setup'!$B$4,"Other sprint",IF($C361="","Unassigned",IF(OR(ISNUMBER(SEARCH(",",$C361)),ISNUMBER(SEARCH(";",$C361))),"Multiple assignees",IF(COUNTIF('Team Setup'!$B$10:$B$34,$C361)=1,"Matched","Unmatched")))))</x:f>
      </x:c>
      <x:c r="G361" s="13" t="str">
        <x:f>IF($A361="","",IF($D361&lt;&gt;'Team Setup'!$B$4,"Other sprint",IF($E361="","Unestimated",IF(NOT(ISNUMBER($E361)),"Check estimate in hours",IF($E361&lt;0,"Check estimate in hours",IF($E361=0,"Unestimated","Estimated"))))))</x:f>
      </x:c>
    </x:row>
    <x:row r="362">
      <x:c r="A362" s="12"/>
      <x:c r="B362" s="12"/>
      <x:c r="C362" s="12"/>
      <x:c r="D362" s="12"/>
      <x:c r="E362" s="14"/>
      <x:c r="F362" s="13" t="str">
        <x:f>IF($A362="","",IF($D362&lt;&gt;'Team Setup'!$B$4,"Other sprint",IF($C362="","Unassigned",IF(OR(ISNUMBER(SEARCH(",",$C362)),ISNUMBER(SEARCH(";",$C362))),"Multiple assignees",IF(COUNTIF('Team Setup'!$B$10:$B$34,$C362)=1,"Matched","Unmatched")))))</x:f>
      </x:c>
      <x:c r="G362" s="13" t="str">
        <x:f>IF($A362="","",IF($D362&lt;&gt;'Team Setup'!$B$4,"Other sprint",IF($E362="","Unestimated",IF(NOT(ISNUMBER($E362)),"Check estimate in hours",IF($E362&lt;0,"Check estimate in hours",IF($E362=0,"Unestimated","Estimated"))))))</x:f>
      </x:c>
    </x:row>
    <x:row r="363">
      <x:c r="A363" s="12"/>
      <x:c r="B363" s="12"/>
      <x:c r="C363" s="12"/>
      <x:c r="D363" s="12"/>
      <x:c r="E363" s="14"/>
      <x:c r="F363" s="13" t="str">
        <x:f>IF($A363="","",IF($D363&lt;&gt;'Team Setup'!$B$4,"Other sprint",IF($C363="","Unassigned",IF(OR(ISNUMBER(SEARCH(",",$C363)),ISNUMBER(SEARCH(";",$C363))),"Multiple assignees",IF(COUNTIF('Team Setup'!$B$10:$B$34,$C363)=1,"Matched","Unmatched")))))</x:f>
      </x:c>
      <x:c r="G363" s="13" t="str">
        <x:f>IF($A363="","",IF($D363&lt;&gt;'Team Setup'!$B$4,"Other sprint",IF($E363="","Unestimated",IF(NOT(ISNUMBER($E363)),"Check estimate in hours",IF($E363&lt;0,"Check estimate in hours",IF($E363=0,"Unestimated","Estimated"))))))</x:f>
      </x:c>
    </x:row>
    <x:row r="364">
      <x:c r="A364" s="12"/>
      <x:c r="B364" s="12"/>
      <x:c r="C364" s="12"/>
      <x:c r="D364" s="12"/>
      <x:c r="E364" s="14"/>
      <x:c r="F364" s="13" t="str">
        <x:f>IF($A364="","",IF($D364&lt;&gt;'Team Setup'!$B$4,"Other sprint",IF($C364="","Unassigned",IF(OR(ISNUMBER(SEARCH(",",$C364)),ISNUMBER(SEARCH(";",$C364))),"Multiple assignees",IF(COUNTIF('Team Setup'!$B$10:$B$34,$C364)=1,"Matched","Unmatched")))))</x:f>
      </x:c>
      <x:c r="G364" s="13" t="str">
        <x:f>IF($A364="","",IF($D364&lt;&gt;'Team Setup'!$B$4,"Other sprint",IF($E364="","Unestimated",IF(NOT(ISNUMBER($E364)),"Check estimate in hours",IF($E364&lt;0,"Check estimate in hours",IF($E364=0,"Unestimated","Estimated"))))))</x:f>
      </x:c>
    </x:row>
    <x:row r="365">
      <x:c r="A365" s="12"/>
      <x:c r="B365" s="12"/>
      <x:c r="C365" s="12"/>
      <x:c r="D365" s="12"/>
      <x:c r="E365" s="14"/>
      <x:c r="F365" s="13" t="str">
        <x:f>IF($A365="","",IF($D365&lt;&gt;'Team Setup'!$B$4,"Other sprint",IF($C365="","Unassigned",IF(OR(ISNUMBER(SEARCH(",",$C365)),ISNUMBER(SEARCH(";",$C365))),"Multiple assignees",IF(COUNTIF('Team Setup'!$B$10:$B$34,$C365)=1,"Matched","Unmatched")))))</x:f>
      </x:c>
      <x:c r="G365" s="13" t="str">
        <x:f>IF($A365="","",IF($D365&lt;&gt;'Team Setup'!$B$4,"Other sprint",IF($E365="","Unestimated",IF(NOT(ISNUMBER($E365)),"Check estimate in hours",IF($E365&lt;0,"Check estimate in hours",IF($E365=0,"Unestimated","Estimated"))))))</x:f>
      </x:c>
    </x:row>
    <x:row r="366">
      <x:c r="A366" s="12"/>
      <x:c r="B366" s="12"/>
      <x:c r="C366" s="12"/>
      <x:c r="D366" s="12"/>
      <x:c r="E366" s="14"/>
      <x:c r="F366" s="13" t="str">
        <x:f>IF($A366="","",IF($D366&lt;&gt;'Team Setup'!$B$4,"Other sprint",IF($C366="","Unassigned",IF(OR(ISNUMBER(SEARCH(",",$C366)),ISNUMBER(SEARCH(";",$C366))),"Multiple assignees",IF(COUNTIF('Team Setup'!$B$10:$B$34,$C366)=1,"Matched","Unmatched")))))</x:f>
      </x:c>
      <x:c r="G366" s="13" t="str">
        <x:f>IF($A366="","",IF($D366&lt;&gt;'Team Setup'!$B$4,"Other sprint",IF($E366="","Unestimated",IF(NOT(ISNUMBER($E366)),"Check estimate in hours",IF($E366&lt;0,"Check estimate in hours",IF($E366=0,"Unestimated","Estimated"))))))</x:f>
      </x:c>
    </x:row>
    <x:row r="367">
      <x:c r="A367" s="12"/>
      <x:c r="B367" s="12"/>
      <x:c r="C367" s="12"/>
      <x:c r="D367" s="12"/>
      <x:c r="E367" s="14"/>
      <x:c r="F367" s="13" t="str">
        <x:f>IF($A367="","",IF($D367&lt;&gt;'Team Setup'!$B$4,"Other sprint",IF($C367="","Unassigned",IF(OR(ISNUMBER(SEARCH(",",$C367)),ISNUMBER(SEARCH(";",$C367))),"Multiple assignees",IF(COUNTIF('Team Setup'!$B$10:$B$34,$C367)=1,"Matched","Unmatched")))))</x:f>
      </x:c>
      <x:c r="G367" s="13" t="str">
        <x:f>IF($A367="","",IF($D367&lt;&gt;'Team Setup'!$B$4,"Other sprint",IF($E367="","Unestimated",IF(NOT(ISNUMBER($E367)),"Check estimate in hours",IF($E367&lt;0,"Check estimate in hours",IF($E367=0,"Unestimated","Estimated"))))))</x:f>
      </x:c>
    </x:row>
    <x:row r="368">
      <x:c r="A368" s="12"/>
      <x:c r="B368" s="12"/>
      <x:c r="C368" s="12"/>
      <x:c r="D368" s="12"/>
      <x:c r="E368" s="14"/>
      <x:c r="F368" s="13" t="str">
        <x:f>IF($A368="","",IF($D368&lt;&gt;'Team Setup'!$B$4,"Other sprint",IF($C368="","Unassigned",IF(OR(ISNUMBER(SEARCH(",",$C368)),ISNUMBER(SEARCH(";",$C368))),"Multiple assignees",IF(COUNTIF('Team Setup'!$B$10:$B$34,$C368)=1,"Matched","Unmatched")))))</x:f>
      </x:c>
      <x:c r="G368" s="13" t="str">
        <x:f>IF($A368="","",IF($D368&lt;&gt;'Team Setup'!$B$4,"Other sprint",IF($E368="","Unestimated",IF(NOT(ISNUMBER($E368)),"Check estimate in hours",IF($E368&lt;0,"Check estimate in hours",IF($E368=0,"Unestimated","Estimated"))))))</x:f>
      </x:c>
    </x:row>
    <x:row r="369">
      <x:c r="A369" s="12"/>
      <x:c r="B369" s="12"/>
      <x:c r="C369" s="12"/>
      <x:c r="D369" s="12"/>
      <x:c r="E369" s="14"/>
      <x:c r="F369" s="13" t="str">
        <x:f>IF($A369="","",IF($D369&lt;&gt;'Team Setup'!$B$4,"Other sprint",IF($C369="","Unassigned",IF(OR(ISNUMBER(SEARCH(",",$C369)),ISNUMBER(SEARCH(";",$C369))),"Multiple assignees",IF(COUNTIF('Team Setup'!$B$10:$B$34,$C369)=1,"Matched","Unmatched")))))</x:f>
      </x:c>
      <x:c r="G369" s="13" t="str">
        <x:f>IF($A369="","",IF($D369&lt;&gt;'Team Setup'!$B$4,"Other sprint",IF($E369="","Unestimated",IF(NOT(ISNUMBER($E369)),"Check estimate in hours",IF($E369&lt;0,"Check estimate in hours",IF($E369=0,"Unestimated","Estimated"))))))</x:f>
      </x:c>
    </x:row>
    <x:row r="370">
      <x:c r="A370" s="12"/>
      <x:c r="B370" s="12"/>
      <x:c r="C370" s="12"/>
      <x:c r="D370" s="12"/>
      <x:c r="E370" s="14"/>
      <x:c r="F370" s="13" t="str">
        <x:f>IF($A370="","",IF($D370&lt;&gt;'Team Setup'!$B$4,"Other sprint",IF($C370="","Unassigned",IF(OR(ISNUMBER(SEARCH(",",$C370)),ISNUMBER(SEARCH(";",$C370))),"Multiple assignees",IF(COUNTIF('Team Setup'!$B$10:$B$34,$C370)=1,"Matched","Unmatched")))))</x:f>
      </x:c>
      <x:c r="G370" s="13" t="str">
        <x:f>IF($A370="","",IF($D370&lt;&gt;'Team Setup'!$B$4,"Other sprint",IF($E370="","Unestimated",IF(NOT(ISNUMBER($E370)),"Check estimate in hours",IF($E370&lt;0,"Check estimate in hours",IF($E370=0,"Unestimated","Estimated"))))))</x:f>
      </x:c>
    </x:row>
    <x:row r="371">
      <x:c r="A371" s="12"/>
      <x:c r="B371" s="12"/>
      <x:c r="C371" s="12"/>
      <x:c r="D371" s="12"/>
      <x:c r="E371" s="14"/>
      <x:c r="F371" s="13" t="str">
        <x:f>IF($A371="","",IF($D371&lt;&gt;'Team Setup'!$B$4,"Other sprint",IF($C371="","Unassigned",IF(OR(ISNUMBER(SEARCH(",",$C371)),ISNUMBER(SEARCH(";",$C371))),"Multiple assignees",IF(COUNTIF('Team Setup'!$B$10:$B$34,$C371)=1,"Matched","Unmatched")))))</x:f>
      </x:c>
      <x:c r="G371" s="13" t="str">
        <x:f>IF($A371="","",IF($D371&lt;&gt;'Team Setup'!$B$4,"Other sprint",IF($E371="","Unestimated",IF(NOT(ISNUMBER($E371)),"Check estimate in hours",IF($E371&lt;0,"Check estimate in hours",IF($E371=0,"Unestimated","Estimated"))))))</x:f>
      </x:c>
    </x:row>
    <x:row r="372">
      <x:c r="A372" s="12"/>
      <x:c r="B372" s="12"/>
      <x:c r="C372" s="12"/>
      <x:c r="D372" s="12"/>
      <x:c r="E372" s="14"/>
      <x:c r="F372" s="13" t="str">
        <x:f>IF($A372="","",IF($D372&lt;&gt;'Team Setup'!$B$4,"Other sprint",IF($C372="","Unassigned",IF(OR(ISNUMBER(SEARCH(",",$C372)),ISNUMBER(SEARCH(";",$C372))),"Multiple assignees",IF(COUNTIF('Team Setup'!$B$10:$B$34,$C372)=1,"Matched","Unmatched")))))</x:f>
      </x:c>
      <x:c r="G372" s="13" t="str">
        <x:f>IF($A372="","",IF($D372&lt;&gt;'Team Setup'!$B$4,"Other sprint",IF($E372="","Unestimated",IF(NOT(ISNUMBER($E372)),"Check estimate in hours",IF($E372&lt;0,"Check estimate in hours",IF($E372=0,"Unestimated","Estimated"))))))</x:f>
      </x:c>
    </x:row>
    <x:row r="373">
      <x:c r="A373" s="12"/>
      <x:c r="B373" s="12"/>
      <x:c r="C373" s="12"/>
      <x:c r="D373" s="12"/>
      <x:c r="E373" s="14"/>
      <x:c r="F373" s="13" t="str">
        <x:f>IF($A373="","",IF($D373&lt;&gt;'Team Setup'!$B$4,"Other sprint",IF($C373="","Unassigned",IF(OR(ISNUMBER(SEARCH(",",$C373)),ISNUMBER(SEARCH(";",$C373))),"Multiple assignees",IF(COUNTIF('Team Setup'!$B$10:$B$34,$C373)=1,"Matched","Unmatched")))))</x:f>
      </x:c>
      <x:c r="G373" s="13" t="str">
        <x:f>IF($A373="","",IF($D373&lt;&gt;'Team Setup'!$B$4,"Other sprint",IF($E373="","Unestimated",IF(NOT(ISNUMBER($E373)),"Check estimate in hours",IF($E373&lt;0,"Check estimate in hours",IF($E373=0,"Unestimated","Estimated"))))))</x:f>
      </x:c>
    </x:row>
    <x:row r="374">
      <x:c r="A374" s="12"/>
      <x:c r="B374" s="12"/>
      <x:c r="C374" s="12"/>
      <x:c r="D374" s="12"/>
      <x:c r="E374" s="14"/>
      <x:c r="F374" s="13" t="str">
        <x:f>IF($A374="","",IF($D374&lt;&gt;'Team Setup'!$B$4,"Other sprint",IF($C374="","Unassigned",IF(OR(ISNUMBER(SEARCH(",",$C374)),ISNUMBER(SEARCH(";",$C374))),"Multiple assignees",IF(COUNTIF('Team Setup'!$B$10:$B$34,$C374)=1,"Matched","Unmatched")))))</x:f>
      </x:c>
      <x:c r="G374" s="13" t="str">
        <x:f>IF($A374="","",IF($D374&lt;&gt;'Team Setup'!$B$4,"Other sprint",IF($E374="","Unestimated",IF(NOT(ISNUMBER($E374)),"Check estimate in hours",IF($E374&lt;0,"Check estimate in hours",IF($E374=0,"Unestimated","Estimated"))))))</x:f>
      </x:c>
    </x:row>
    <x:row r="375">
      <x:c r="A375" s="12"/>
      <x:c r="B375" s="12"/>
      <x:c r="C375" s="12"/>
      <x:c r="D375" s="12"/>
      <x:c r="E375" s="14"/>
      <x:c r="F375" s="13" t="str">
        <x:f>IF($A375="","",IF($D375&lt;&gt;'Team Setup'!$B$4,"Other sprint",IF($C375="","Unassigned",IF(OR(ISNUMBER(SEARCH(",",$C375)),ISNUMBER(SEARCH(";",$C375))),"Multiple assignees",IF(COUNTIF('Team Setup'!$B$10:$B$34,$C375)=1,"Matched","Unmatched")))))</x:f>
      </x:c>
      <x:c r="G375" s="13" t="str">
        <x:f>IF($A375="","",IF($D375&lt;&gt;'Team Setup'!$B$4,"Other sprint",IF($E375="","Unestimated",IF(NOT(ISNUMBER($E375)),"Check estimate in hours",IF($E375&lt;0,"Check estimate in hours",IF($E375=0,"Unestimated","Estimated"))))))</x:f>
      </x:c>
    </x:row>
    <x:row r="376">
      <x:c r="A376" s="12"/>
      <x:c r="B376" s="12"/>
      <x:c r="C376" s="12"/>
      <x:c r="D376" s="12"/>
      <x:c r="E376" s="14"/>
      <x:c r="F376" s="13" t="str">
        <x:f>IF($A376="","",IF($D376&lt;&gt;'Team Setup'!$B$4,"Other sprint",IF($C376="","Unassigned",IF(OR(ISNUMBER(SEARCH(",",$C376)),ISNUMBER(SEARCH(";",$C376))),"Multiple assignees",IF(COUNTIF('Team Setup'!$B$10:$B$34,$C376)=1,"Matched","Unmatched")))))</x:f>
      </x:c>
      <x:c r="G376" s="13" t="str">
        <x:f>IF($A376="","",IF($D376&lt;&gt;'Team Setup'!$B$4,"Other sprint",IF($E376="","Unestimated",IF(NOT(ISNUMBER($E376)),"Check estimate in hours",IF($E376&lt;0,"Check estimate in hours",IF($E376=0,"Unestimated","Estimated"))))))</x:f>
      </x:c>
    </x:row>
    <x:row r="377">
      <x:c r="A377" s="12"/>
      <x:c r="B377" s="12"/>
      <x:c r="C377" s="12"/>
      <x:c r="D377" s="12"/>
      <x:c r="E377" s="14"/>
      <x:c r="F377" s="13" t="str">
        <x:f>IF($A377="","",IF($D377&lt;&gt;'Team Setup'!$B$4,"Other sprint",IF($C377="","Unassigned",IF(OR(ISNUMBER(SEARCH(",",$C377)),ISNUMBER(SEARCH(";",$C377))),"Multiple assignees",IF(COUNTIF('Team Setup'!$B$10:$B$34,$C377)=1,"Matched","Unmatched")))))</x:f>
      </x:c>
      <x:c r="G377" s="13" t="str">
        <x:f>IF($A377="","",IF($D377&lt;&gt;'Team Setup'!$B$4,"Other sprint",IF($E377="","Unestimated",IF(NOT(ISNUMBER($E377)),"Check estimate in hours",IF($E377&lt;0,"Check estimate in hours",IF($E377=0,"Unestimated","Estimated"))))))</x:f>
      </x:c>
    </x:row>
    <x:row r="378">
      <x:c r="A378" s="12"/>
      <x:c r="B378" s="12"/>
      <x:c r="C378" s="12"/>
      <x:c r="D378" s="12"/>
      <x:c r="E378" s="14"/>
      <x:c r="F378" s="13" t="str">
        <x:f>IF($A378="","",IF($D378&lt;&gt;'Team Setup'!$B$4,"Other sprint",IF($C378="","Unassigned",IF(OR(ISNUMBER(SEARCH(",",$C378)),ISNUMBER(SEARCH(";",$C378))),"Multiple assignees",IF(COUNTIF('Team Setup'!$B$10:$B$34,$C378)=1,"Matched","Unmatched")))))</x:f>
      </x:c>
      <x:c r="G378" s="13" t="str">
        <x:f>IF($A378="","",IF($D378&lt;&gt;'Team Setup'!$B$4,"Other sprint",IF($E378="","Unestimated",IF(NOT(ISNUMBER($E378)),"Check estimate in hours",IF($E378&lt;0,"Check estimate in hours",IF($E378=0,"Unestimated","Estimated"))))))</x:f>
      </x:c>
    </x:row>
    <x:row r="379">
      <x:c r="A379" s="12"/>
      <x:c r="B379" s="12"/>
      <x:c r="C379" s="12"/>
      <x:c r="D379" s="12"/>
      <x:c r="E379" s="14"/>
      <x:c r="F379" s="13" t="str">
        <x:f>IF($A379="","",IF($D379&lt;&gt;'Team Setup'!$B$4,"Other sprint",IF($C379="","Unassigned",IF(OR(ISNUMBER(SEARCH(",",$C379)),ISNUMBER(SEARCH(";",$C379))),"Multiple assignees",IF(COUNTIF('Team Setup'!$B$10:$B$34,$C379)=1,"Matched","Unmatched")))))</x:f>
      </x:c>
      <x:c r="G379" s="13" t="str">
        <x:f>IF($A379="","",IF($D379&lt;&gt;'Team Setup'!$B$4,"Other sprint",IF($E379="","Unestimated",IF(NOT(ISNUMBER($E379)),"Check estimate in hours",IF($E379&lt;0,"Check estimate in hours",IF($E379=0,"Unestimated","Estimated"))))))</x:f>
      </x:c>
    </x:row>
    <x:row r="380">
      <x:c r="A380" s="12"/>
      <x:c r="B380" s="12"/>
      <x:c r="C380" s="12"/>
      <x:c r="D380" s="12"/>
      <x:c r="E380" s="14"/>
      <x:c r="F380" s="13" t="str">
        <x:f>IF($A380="","",IF($D380&lt;&gt;'Team Setup'!$B$4,"Other sprint",IF($C380="","Unassigned",IF(OR(ISNUMBER(SEARCH(",",$C380)),ISNUMBER(SEARCH(";",$C380))),"Multiple assignees",IF(COUNTIF('Team Setup'!$B$10:$B$34,$C380)=1,"Matched","Unmatched")))))</x:f>
      </x:c>
      <x:c r="G380" s="13" t="str">
        <x:f>IF($A380="","",IF($D380&lt;&gt;'Team Setup'!$B$4,"Other sprint",IF($E380="","Unestimated",IF(NOT(ISNUMBER($E380)),"Check estimate in hours",IF($E380&lt;0,"Check estimate in hours",IF($E380=0,"Unestimated","Estimated"))))))</x:f>
      </x:c>
    </x:row>
    <x:row r="381">
      <x:c r="A381" s="12"/>
      <x:c r="B381" s="12"/>
      <x:c r="C381" s="12"/>
      <x:c r="D381" s="12"/>
      <x:c r="E381" s="14"/>
      <x:c r="F381" s="13" t="str">
        <x:f>IF($A381="","",IF($D381&lt;&gt;'Team Setup'!$B$4,"Other sprint",IF($C381="","Unassigned",IF(OR(ISNUMBER(SEARCH(",",$C381)),ISNUMBER(SEARCH(";",$C381))),"Multiple assignees",IF(COUNTIF('Team Setup'!$B$10:$B$34,$C381)=1,"Matched","Unmatched")))))</x:f>
      </x:c>
      <x:c r="G381" s="13" t="str">
        <x:f>IF($A381="","",IF($D381&lt;&gt;'Team Setup'!$B$4,"Other sprint",IF($E381="","Unestimated",IF(NOT(ISNUMBER($E381)),"Check estimate in hours",IF($E381&lt;0,"Check estimate in hours",IF($E381=0,"Unestimated","Estimated"))))))</x:f>
      </x:c>
    </x:row>
    <x:row r="382">
      <x:c r="A382" s="12"/>
      <x:c r="B382" s="12"/>
      <x:c r="C382" s="12"/>
      <x:c r="D382" s="12"/>
      <x:c r="E382" s="14"/>
      <x:c r="F382" s="13" t="str">
        <x:f>IF($A382="","",IF($D382&lt;&gt;'Team Setup'!$B$4,"Other sprint",IF($C382="","Unassigned",IF(OR(ISNUMBER(SEARCH(",",$C382)),ISNUMBER(SEARCH(";",$C382))),"Multiple assignees",IF(COUNTIF('Team Setup'!$B$10:$B$34,$C382)=1,"Matched","Unmatched")))))</x:f>
      </x:c>
      <x:c r="G382" s="13" t="str">
        <x:f>IF($A382="","",IF($D382&lt;&gt;'Team Setup'!$B$4,"Other sprint",IF($E382="","Unestimated",IF(NOT(ISNUMBER($E382)),"Check estimate in hours",IF($E382&lt;0,"Check estimate in hours",IF($E382=0,"Unestimated","Estimated"))))))</x:f>
      </x:c>
    </x:row>
    <x:row r="383">
      <x:c r="A383" s="12"/>
      <x:c r="B383" s="12"/>
      <x:c r="C383" s="12"/>
      <x:c r="D383" s="12"/>
      <x:c r="E383" s="14"/>
      <x:c r="F383" s="13" t="str">
        <x:f>IF($A383="","",IF($D383&lt;&gt;'Team Setup'!$B$4,"Other sprint",IF($C383="","Unassigned",IF(OR(ISNUMBER(SEARCH(",",$C383)),ISNUMBER(SEARCH(";",$C383))),"Multiple assignees",IF(COUNTIF('Team Setup'!$B$10:$B$34,$C383)=1,"Matched","Unmatched")))))</x:f>
      </x:c>
      <x:c r="G383" s="13" t="str">
        <x:f>IF($A383="","",IF($D383&lt;&gt;'Team Setup'!$B$4,"Other sprint",IF($E383="","Unestimated",IF(NOT(ISNUMBER($E383)),"Check estimate in hours",IF($E383&lt;0,"Check estimate in hours",IF($E383=0,"Unestimated","Estimated"))))))</x:f>
      </x:c>
    </x:row>
    <x:row r="384">
      <x:c r="A384" s="12"/>
      <x:c r="B384" s="12"/>
      <x:c r="C384" s="12"/>
      <x:c r="D384" s="12"/>
      <x:c r="E384" s="14"/>
      <x:c r="F384" s="13" t="str">
        <x:f>IF($A384="","",IF($D384&lt;&gt;'Team Setup'!$B$4,"Other sprint",IF($C384="","Unassigned",IF(OR(ISNUMBER(SEARCH(",",$C384)),ISNUMBER(SEARCH(";",$C384))),"Multiple assignees",IF(COUNTIF('Team Setup'!$B$10:$B$34,$C384)=1,"Matched","Unmatched")))))</x:f>
      </x:c>
      <x:c r="G384" s="13" t="str">
        <x:f>IF($A384="","",IF($D384&lt;&gt;'Team Setup'!$B$4,"Other sprint",IF($E384="","Unestimated",IF(NOT(ISNUMBER($E384)),"Check estimate in hours",IF($E384&lt;0,"Check estimate in hours",IF($E384=0,"Unestimated","Estimated"))))))</x:f>
      </x:c>
    </x:row>
    <x:row r="385">
      <x:c r="A385" s="12"/>
      <x:c r="B385" s="12"/>
      <x:c r="C385" s="12"/>
      <x:c r="D385" s="12"/>
      <x:c r="E385" s="14"/>
      <x:c r="F385" s="13" t="str">
        <x:f>IF($A385="","",IF($D385&lt;&gt;'Team Setup'!$B$4,"Other sprint",IF($C385="","Unassigned",IF(OR(ISNUMBER(SEARCH(",",$C385)),ISNUMBER(SEARCH(";",$C385))),"Multiple assignees",IF(COUNTIF('Team Setup'!$B$10:$B$34,$C385)=1,"Matched","Unmatched")))))</x:f>
      </x:c>
      <x:c r="G385" s="13" t="str">
        <x:f>IF($A385="","",IF($D385&lt;&gt;'Team Setup'!$B$4,"Other sprint",IF($E385="","Unestimated",IF(NOT(ISNUMBER($E385)),"Check estimate in hours",IF($E385&lt;0,"Check estimate in hours",IF($E385=0,"Unestimated","Estimated"))))))</x:f>
      </x:c>
    </x:row>
    <x:row r="386">
      <x:c r="A386" s="12"/>
      <x:c r="B386" s="12"/>
      <x:c r="C386" s="12"/>
      <x:c r="D386" s="12"/>
      <x:c r="E386" s="14"/>
      <x:c r="F386" s="13" t="str">
        <x:f>IF($A386="","",IF($D386&lt;&gt;'Team Setup'!$B$4,"Other sprint",IF($C386="","Unassigned",IF(OR(ISNUMBER(SEARCH(",",$C386)),ISNUMBER(SEARCH(";",$C386))),"Multiple assignees",IF(COUNTIF('Team Setup'!$B$10:$B$34,$C386)=1,"Matched","Unmatched")))))</x:f>
      </x:c>
      <x:c r="G386" s="13" t="str">
        <x:f>IF($A386="","",IF($D386&lt;&gt;'Team Setup'!$B$4,"Other sprint",IF($E386="","Unestimated",IF(NOT(ISNUMBER($E386)),"Check estimate in hours",IF($E386&lt;0,"Check estimate in hours",IF($E386=0,"Unestimated","Estimated"))))))</x:f>
      </x:c>
    </x:row>
    <x:row r="387">
      <x:c r="A387" s="12"/>
      <x:c r="B387" s="12"/>
      <x:c r="C387" s="12"/>
      <x:c r="D387" s="12"/>
      <x:c r="E387" s="14"/>
      <x:c r="F387" s="13" t="str">
        <x:f>IF($A387="","",IF($D387&lt;&gt;'Team Setup'!$B$4,"Other sprint",IF($C387="","Unassigned",IF(OR(ISNUMBER(SEARCH(",",$C387)),ISNUMBER(SEARCH(";",$C387))),"Multiple assignees",IF(COUNTIF('Team Setup'!$B$10:$B$34,$C387)=1,"Matched","Unmatched")))))</x:f>
      </x:c>
      <x:c r="G387" s="13" t="str">
        <x:f>IF($A387="","",IF($D387&lt;&gt;'Team Setup'!$B$4,"Other sprint",IF($E387="","Unestimated",IF(NOT(ISNUMBER($E387)),"Check estimate in hours",IF($E387&lt;0,"Check estimate in hours",IF($E387=0,"Unestimated","Estimated"))))))</x:f>
      </x:c>
    </x:row>
    <x:row r="388">
      <x:c r="A388" s="12"/>
      <x:c r="B388" s="12"/>
      <x:c r="C388" s="12"/>
      <x:c r="D388" s="12"/>
      <x:c r="E388" s="14"/>
      <x:c r="F388" s="13" t="str">
        <x:f>IF($A388="","",IF($D388&lt;&gt;'Team Setup'!$B$4,"Other sprint",IF($C388="","Unassigned",IF(OR(ISNUMBER(SEARCH(",",$C388)),ISNUMBER(SEARCH(";",$C388))),"Multiple assignees",IF(COUNTIF('Team Setup'!$B$10:$B$34,$C388)=1,"Matched","Unmatched")))))</x:f>
      </x:c>
      <x:c r="G388" s="13" t="str">
        <x:f>IF($A388="","",IF($D388&lt;&gt;'Team Setup'!$B$4,"Other sprint",IF($E388="","Unestimated",IF(NOT(ISNUMBER($E388)),"Check estimate in hours",IF($E388&lt;0,"Check estimate in hours",IF($E388=0,"Unestimated","Estimated"))))))</x:f>
      </x:c>
    </x:row>
    <x:row r="389">
      <x:c r="A389" s="12"/>
      <x:c r="B389" s="12"/>
      <x:c r="C389" s="12"/>
      <x:c r="D389" s="12"/>
      <x:c r="E389" s="14"/>
      <x:c r="F389" s="13" t="str">
        <x:f>IF($A389="","",IF($D389&lt;&gt;'Team Setup'!$B$4,"Other sprint",IF($C389="","Unassigned",IF(OR(ISNUMBER(SEARCH(",",$C389)),ISNUMBER(SEARCH(";",$C389))),"Multiple assignees",IF(COUNTIF('Team Setup'!$B$10:$B$34,$C389)=1,"Matched","Unmatched")))))</x:f>
      </x:c>
      <x:c r="G389" s="13" t="str">
        <x:f>IF($A389="","",IF($D389&lt;&gt;'Team Setup'!$B$4,"Other sprint",IF($E389="","Unestimated",IF(NOT(ISNUMBER($E389)),"Check estimate in hours",IF($E389&lt;0,"Check estimate in hours",IF($E389=0,"Unestimated","Estimated"))))))</x:f>
      </x:c>
    </x:row>
    <x:row r="390">
      <x:c r="A390" s="12"/>
      <x:c r="B390" s="12"/>
      <x:c r="C390" s="12"/>
      <x:c r="D390" s="12"/>
      <x:c r="E390" s="14"/>
      <x:c r="F390" s="13" t="str">
        <x:f>IF($A390="","",IF($D390&lt;&gt;'Team Setup'!$B$4,"Other sprint",IF($C390="","Unassigned",IF(OR(ISNUMBER(SEARCH(",",$C390)),ISNUMBER(SEARCH(";",$C390))),"Multiple assignees",IF(COUNTIF('Team Setup'!$B$10:$B$34,$C390)=1,"Matched","Unmatched")))))</x:f>
      </x:c>
      <x:c r="G390" s="13" t="str">
        <x:f>IF($A390="","",IF($D390&lt;&gt;'Team Setup'!$B$4,"Other sprint",IF($E390="","Unestimated",IF(NOT(ISNUMBER($E390)),"Check estimate in hours",IF($E390&lt;0,"Check estimate in hours",IF($E390=0,"Unestimated","Estimated"))))))</x:f>
      </x:c>
    </x:row>
    <x:row r="391">
      <x:c r="A391" s="12"/>
      <x:c r="B391" s="12"/>
      <x:c r="C391" s="12"/>
      <x:c r="D391" s="12"/>
      <x:c r="E391" s="14"/>
      <x:c r="F391" s="13" t="str">
        <x:f>IF($A391="","",IF($D391&lt;&gt;'Team Setup'!$B$4,"Other sprint",IF($C391="","Unassigned",IF(OR(ISNUMBER(SEARCH(",",$C391)),ISNUMBER(SEARCH(";",$C391))),"Multiple assignees",IF(COUNTIF('Team Setup'!$B$10:$B$34,$C391)=1,"Matched","Unmatched")))))</x:f>
      </x:c>
      <x:c r="G391" s="13" t="str">
        <x:f>IF($A391="","",IF($D391&lt;&gt;'Team Setup'!$B$4,"Other sprint",IF($E391="","Unestimated",IF(NOT(ISNUMBER($E391)),"Check estimate in hours",IF($E391&lt;0,"Check estimate in hours",IF($E391=0,"Unestimated","Estimated"))))))</x:f>
      </x:c>
    </x:row>
    <x:row r="392">
      <x:c r="A392" s="12"/>
      <x:c r="B392" s="12"/>
      <x:c r="C392" s="12"/>
      <x:c r="D392" s="12"/>
      <x:c r="E392" s="14"/>
      <x:c r="F392" s="13" t="str">
        <x:f>IF($A392="","",IF($D392&lt;&gt;'Team Setup'!$B$4,"Other sprint",IF($C392="","Unassigned",IF(OR(ISNUMBER(SEARCH(",",$C392)),ISNUMBER(SEARCH(";",$C392))),"Multiple assignees",IF(COUNTIF('Team Setup'!$B$10:$B$34,$C392)=1,"Matched","Unmatched")))))</x:f>
      </x:c>
      <x:c r="G392" s="13" t="str">
        <x:f>IF($A392="","",IF($D392&lt;&gt;'Team Setup'!$B$4,"Other sprint",IF($E392="","Unestimated",IF(NOT(ISNUMBER($E392)),"Check estimate in hours",IF($E392&lt;0,"Check estimate in hours",IF($E392=0,"Unestimated","Estimated"))))))</x:f>
      </x:c>
    </x:row>
    <x:row r="393">
      <x:c r="A393" s="12"/>
      <x:c r="B393" s="12"/>
      <x:c r="C393" s="12"/>
      <x:c r="D393" s="12"/>
      <x:c r="E393" s="14"/>
      <x:c r="F393" s="13" t="str">
        <x:f>IF($A393="","",IF($D393&lt;&gt;'Team Setup'!$B$4,"Other sprint",IF($C393="","Unassigned",IF(OR(ISNUMBER(SEARCH(",",$C393)),ISNUMBER(SEARCH(";",$C393))),"Multiple assignees",IF(COUNTIF('Team Setup'!$B$10:$B$34,$C393)=1,"Matched","Unmatched")))))</x:f>
      </x:c>
      <x:c r="G393" s="13" t="str">
        <x:f>IF($A393="","",IF($D393&lt;&gt;'Team Setup'!$B$4,"Other sprint",IF($E393="","Unestimated",IF(NOT(ISNUMBER($E393)),"Check estimate in hours",IF($E393&lt;0,"Check estimate in hours",IF($E393=0,"Unestimated","Estimated"))))))</x:f>
      </x:c>
    </x:row>
    <x:row r="394">
      <x:c r="A394" s="12"/>
      <x:c r="B394" s="12"/>
      <x:c r="C394" s="12"/>
      <x:c r="D394" s="12"/>
      <x:c r="E394" s="14"/>
      <x:c r="F394" s="13" t="str">
        <x:f>IF($A394="","",IF($D394&lt;&gt;'Team Setup'!$B$4,"Other sprint",IF($C394="","Unassigned",IF(OR(ISNUMBER(SEARCH(",",$C394)),ISNUMBER(SEARCH(";",$C394))),"Multiple assignees",IF(COUNTIF('Team Setup'!$B$10:$B$34,$C394)=1,"Matched","Unmatched")))))</x:f>
      </x:c>
      <x:c r="G394" s="13" t="str">
        <x:f>IF($A394="","",IF($D394&lt;&gt;'Team Setup'!$B$4,"Other sprint",IF($E394="","Unestimated",IF(NOT(ISNUMBER($E394)),"Check estimate in hours",IF($E394&lt;0,"Check estimate in hours",IF($E394=0,"Unestimated","Estimated"))))))</x:f>
      </x:c>
    </x:row>
    <x:row r="395">
      <x:c r="A395" s="12"/>
      <x:c r="B395" s="12"/>
      <x:c r="C395" s="12"/>
      <x:c r="D395" s="12"/>
      <x:c r="E395" s="14"/>
      <x:c r="F395" s="13" t="str">
        <x:f>IF($A395="","",IF($D395&lt;&gt;'Team Setup'!$B$4,"Other sprint",IF($C395="","Unassigned",IF(OR(ISNUMBER(SEARCH(",",$C395)),ISNUMBER(SEARCH(";",$C395))),"Multiple assignees",IF(COUNTIF('Team Setup'!$B$10:$B$34,$C395)=1,"Matched","Unmatched")))))</x:f>
      </x:c>
      <x:c r="G395" s="13" t="str">
        <x:f>IF($A395="","",IF($D395&lt;&gt;'Team Setup'!$B$4,"Other sprint",IF($E395="","Unestimated",IF(NOT(ISNUMBER($E395)),"Check estimate in hours",IF($E395&lt;0,"Check estimate in hours",IF($E395=0,"Unestimated","Estimated"))))))</x:f>
      </x:c>
    </x:row>
    <x:row r="396">
      <x:c r="A396" s="12"/>
      <x:c r="B396" s="12"/>
      <x:c r="C396" s="12"/>
      <x:c r="D396" s="12"/>
      <x:c r="E396" s="14"/>
      <x:c r="F396" s="13" t="str">
        <x:f>IF($A396="","",IF($D396&lt;&gt;'Team Setup'!$B$4,"Other sprint",IF($C396="","Unassigned",IF(OR(ISNUMBER(SEARCH(",",$C396)),ISNUMBER(SEARCH(";",$C396))),"Multiple assignees",IF(COUNTIF('Team Setup'!$B$10:$B$34,$C396)=1,"Matched","Unmatched")))))</x:f>
      </x:c>
      <x:c r="G396" s="13" t="str">
        <x:f>IF($A396="","",IF($D396&lt;&gt;'Team Setup'!$B$4,"Other sprint",IF($E396="","Unestimated",IF(NOT(ISNUMBER($E396)),"Check estimate in hours",IF($E396&lt;0,"Check estimate in hours",IF($E396=0,"Unestimated","Estimated"))))))</x:f>
      </x:c>
    </x:row>
    <x:row r="397">
      <x:c r="A397" s="12"/>
      <x:c r="B397" s="12"/>
      <x:c r="C397" s="12"/>
      <x:c r="D397" s="12"/>
      <x:c r="E397" s="14"/>
      <x:c r="F397" s="13" t="str">
        <x:f>IF($A397="","",IF($D397&lt;&gt;'Team Setup'!$B$4,"Other sprint",IF($C397="","Unassigned",IF(OR(ISNUMBER(SEARCH(",",$C397)),ISNUMBER(SEARCH(";",$C397))),"Multiple assignees",IF(COUNTIF('Team Setup'!$B$10:$B$34,$C397)=1,"Matched","Unmatched")))))</x:f>
      </x:c>
      <x:c r="G397" s="13" t="str">
        <x:f>IF($A397="","",IF($D397&lt;&gt;'Team Setup'!$B$4,"Other sprint",IF($E397="","Unestimated",IF(NOT(ISNUMBER($E397)),"Check estimate in hours",IF($E397&lt;0,"Check estimate in hours",IF($E397=0,"Unestimated","Estimated"))))))</x:f>
      </x:c>
    </x:row>
    <x:row r="398">
      <x:c r="A398" s="12"/>
      <x:c r="B398" s="12"/>
      <x:c r="C398" s="12"/>
      <x:c r="D398" s="12"/>
      <x:c r="E398" s="14"/>
      <x:c r="F398" s="13" t="str">
        <x:f>IF($A398="","",IF($D398&lt;&gt;'Team Setup'!$B$4,"Other sprint",IF($C398="","Unassigned",IF(OR(ISNUMBER(SEARCH(",",$C398)),ISNUMBER(SEARCH(";",$C398))),"Multiple assignees",IF(COUNTIF('Team Setup'!$B$10:$B$34,$C398)=1,"Matched","Unmatched")))))</x:f>
      </x:c>
      <x:c r="G398" s="13" t="str">
        <x:f>IF($A398="","",IF($D398&lt;&gt;'Team Setup'!$B$4,"Other sprint",IF($E398="","Unestimated",IF(NOT(ISNUMBER($E398)),"Check estimate in hours",IF($E398&lt;0,"Check estimate in hours",IF($E398=0,"Unestimated","Estimated"))))))</x:f>
      </x:c>
    </x:row>
    <x:row r="399">
      <x:c r="A399" s="12"/>
      <x:c r="B399" s="12"/>
      <x:c r="C399" s="12"/>
      <x:c r="D399" s="12"/>
      <x:c r="E399" s="14"/>
      <x:c r="F399" s="13" t="str">
        <x:f>IF($A399="","",IF($D399&lt;&gt;'Team Setup'!$B$4,"Other sprint",IF($C399="","Unassigned",IF(OR(ISNUMBER(SEARCH(",",$C399)),ISNUMBER(SEARCH(";",$C399))),"Multiple assignees",IF(COUNTIF('Team Setup'!$B$10:$B$34,$C399)=1,"Matched","Unmatched")))))</x:f>
      </x:c>
      <x:c r="G399" s="13" t="str">
        <x:f>IF($A399="","",IF($D399&lt;&gt;'Team Setup'!$B$4,"Other sprint",IF($E399="","Unestimated",IF(NOT(ISNUMBER($E399)),"Check estimate in hours",IF($E399&lt;0,"Check estimate in hours",IF($E399=0,"Unestimated","Estimated"))))))</x:f>
      </x:c>
    </x:row>
    <x:row r="400">
      <x:c r="A400" s="12"/>
      <x:c r="B400" s="12"/>
      <x:c r="C400" s="12"/>
      <x:c r="D400" s="12"/>
      <x:c r="E400" s="14"/>
      <x:c r="F400" s="13" t="str">
        <x:f>IF($A400="","",IF($D400&lt;&gt;'Team Setup'!$B$4,"Other sprint",IF($C400="","Unassigned",IF(OR(ISNUMBER(SEARCH(",",$C400)),ISNUMBER(SEARCH(";",$C400))),"Multiple assignees",IF(COUNTIF('Team Setup'!$B$10:$B$34,$C400)=1,"Matched","Unmatched")))))</x:f>
      </x:c>
      <x:c r="G400" s="13" t="str">
        <x:f>IF($A400="","",IF($D400&lt;&gt;'Team Setup'!$B$4,"Other sprint",IF($E400="","Unestimated",IF(NOT(ISNUMBER($E400)),"Check estimate in hours",IF($E400&lt;0,"Check estimate in hours",IF($E400=0,"Unestimated","Estimated"))))))</x:f>
      </x:c>
    </x:row>
    <x:row r="401">
      <x:c r="A401" s="12"/>
      <x:c r="B401" s="12"/>
      <x:c r="C401" s="12"/>
      <x:c r="D401" s="12"/>
      <x:c r="E401" s="14"/>
      <x:c r="F401" s="13" t="str">
        <x:f>IF($A401="","",IF($D401&lt;&gt;'Team Setup'!$B$4,"Other sprint",IF($C401="","Unassigned",IF(OR(ISNUMBER(SEARCH(",",$C401)),ISNUMBER(SEARCH(";",$C401))),"Multiple assignees",IF(COUNTIF('Team Setup'!$B$10:$B$34,$C401)=1,"Matched","Unmatched")))))</x:f>
      </x:c>
      <x:c r="G401" s="13" t="str">
        <x:f>IF($A401="","",IF($D401&lt;&gt;'Team Setup'!$B$4,"Other sprint",IF($E401="","Unestimated",IF(NOT(ISNUMBER($E401)),"Check estimate in hours",IF($E401&lt;0,"Check estimate in hours",IF($E401=0,"Unestimated","Estimated"))))))</x:f>
      </x:c>
    </x:row>
    <x:row r="402">
      <x:c r="A402" s="12"/>
      <x:c r="B402" s="12"/>
      <x:c r="C402" s="12"/>
      <x:c r="D402" s="12"/>
      <x:c r="E402" s="14"/>
      <x:c r="F402" s="13" t="str">
        <x:f>IF($A402="","",IF($D402&lt;&gt;'Team Setup'!$B$4,"Other sprint",IF($C402="","Unassigned",IF(OR(ISNUMBER(SEARCH(",",$C402)),ISNUMBER(SEARCH(";",$C402))),"Multiple assignees",IF(COUNTIF('Team Setup'!$B$10:$B$34,$C402)=1,"Matched","Unmatched")))))</x:f>
      </x:c>
      <x:c r="G402" s="13" t="str">
        <x:f>IF($A402="","",IF($D402&lt;&gt;'Team Setup'!$B$4,"Other sprint",IF($E402="","Unestimated",IF(NOT(ISNUMBER($E402)),"Check estimate in hours",IF($E402&lt;0,"Check estimate in hours",IF($E402=0,"Unestimated","Estimated"))))))</x:f>
      </x:c>
    </x:row>
    <x:row r="403">
      <x:c r="A403" s="12"/>
      <x:c r="B403" s="12"/>
      <x:c r="C403" s="12"/>
      <x:c r="D403" s="12"/>
      <x:c r="E403" s="14"/>
      <x:c r="F403" s="13" t="str">
        <x:f>IF($A403="","",IF($D403&lt;&gt;'Team Setup'!$B$4,"Other sprint",IF($C403="","Unassigned",IF(OR(ISNUMBER(SEARCH(",",$C403)),ISNUMBER(SEARCH(";",$C403))),"Multiple assignees",IF(COUNTIF('Team Setup'!$B$10:$B$34,$C403)=1,"Matched","Unmatched")))))</x:f>
      </x:c>
      <x:c r="G403" s="13" t="str">
        <x:f>IF($A403="","",IF($D403&lt;&gt;'Team Setup'!$B$4,"Other sprint",IF($E403="","Unestimated",IF(NOT(ISNUMBER($E403)),"Check estimate in hours",IF($E403&lt;0,"Check estimate in hours",IF($E403=0,"Unestimated","Estimated"))))))</x:f>
      </x:c>
    </x:row>
    <x:row r="404">
      <x:c r="A404" s="12"/>
      <x:c r="B404" s="12"/>
      <x:c r="C404" s="12"/>
      <x:c r="D404" s="12"/>
      <x:c r="E404" s="14"/>
      <x:c r="F404" s="13" t="str">
        <x:f>IF($A404="","",IF($D404&lt;&gt;'Team Setup'!$B$4,"Other sprint",IF($C404="","Unassigned",IF(OR(ISNUMBER(SEARCH(",",$C404)),ISNUMBER(SEARCH(";",$C404))),"Multiple assignees",IF(COUNTIF('Team Setup'!$B$10:$B$34,$C404)=1,"Matched","Unmatched")))))</x:f>
      </x:c>
      <x:c r="G404" s="13" t="str">
        <x:f>IF($A404="","",IF($D404&lt;&gt;'Team Setup'!$B$4,"Other sprint",IF($E404="","Unestimated",IF(NOT(ISNUMBER($E404)),"Check estimate in hours",IF($E404&lt;0,"Check estimate in hours",IF($E404=0,"Unestimated","Estimated"))))))</x:f>
      </x:c>
    </x:row>
    <x:row r="405">
      <x:c r="A405" s="12"/>
      <x:c r="B405" s="12"/>
      <x:c r="C405" s="12"/>
      <x:c r="D405" s="12"/>
      <x:c r="E405" s="14"/>
      <x:c r="F405" s="13" t="str">
        <x:f>IF($A405="","",IF($D405&lt;&gt;'Team Setup'!$B$4,"Other sprint",IF($C405="","Unassigned",IF(OR(ISNUMBER(SEARCH(",",$C405)),ISNUMBER(SEARCH(";",$C405))),"Multiple assignees",IF(COUNTIF('Team Setup'!$B$10:$B$34,$C405)=1,"Matched","Unmatched")))))</x:f>
      </x:c>
      <x:c r="G405" s="13" t="str">
        <x:f>IF($A405="","",IF($D405&lt;&gt;'Team Setup'!$B$4,"Other sprint",IF($E405="","Unestimated",IF(NOT(ISNUMBER($E405)),"Check estimate in hours",IF($E405&lt;0,"Check estimate in hours",IF($E405=0,"Unestimated","Estimated"))))))</x:f>
      </x:c>
    </x:row>
    <x:row r="406">
      <x:c r="A406" s="12"/>
      <x:c r="B406" s="12"/>
      <x:c r="C406" s="12"/>
      <x:c r="D406" s="12"/>
      <x:c r="E406" s="14"/>
      <x:c r="F406" s="13" t="str">
        <x:f>IF($A406="","",IF($D406&lt;&gt;'Team Setup'!$B$4,"Other sprint",IF($C406="","Unassigned",IF(OR(ISNUMBER(SEARCH(",",$C406)),ISNUMBER(SEARCH(";",$C406))),"Multiple assignees",IF(COUNTIF('Team Setup'!$B$10:$B$34,$C406)=1,"Matched","Unmatched")))))</x:f>
      </x:c>
      <x:c r="G406" s="13" t="str">
        <x:f>IF($A406="","",IF($D406&lt;&gt;'Team Setup'!$B$4,"Other sprint",IF($E406="","Unestimated",IF(NOT(ISNUMBER($E406)),"Check estimate in hours",IF($E406&lt;0,"Check estimate in hours",IF($E406=0,"Unestimated","Estimated"))))))</x:f>
      </x:c>
    </x:row>
    <x:row r="407">
      <x:c r="A407" s="12"/>
      <x:c r="B407" s="12"/>
      <x:c r="C407" s="12"/>
      <x:c r="D407" s="12"/>
      <x:c r="E407" s="14"/>
      <x:c r="F407" s="13" t="str">
        <x:f>IF($A407="","",IF($D407&lt;&gt;'Team Setup'!$B$4,"Other sprint",IF($C407="","Unassigned",IF(OR(ISNUMBER(SEARCH(",",$C407)),ISNUMBER(SEARCH(";",$C407))),"Multiple assignees",IF(COUNTIF('Team Setup'!$B$10:$B$34,$C407)=1,"Matched","Unmatched")))))</x:f>
      </x:c>
      <x:c r="G407" s="13" t="str">
        <x:f>IF($A407="","",IF($D407&lt;&gt;'Team Setup'!$B$4,"Other sprint",IF($E407="","Unestimated",IF(NOT(ISNUMBER($E407)),"Check estimate in hours",IF($E407&lt;0,"Check estimate in hours",IF($E407=0,"Unestimated","Estimated"))))))</x:f>
      </x:c>
    </x:row>
    <x:row r="408">
      <x:c r="A408" s="12"/>
      <x:c r="B408" s="12"/>
      <x:c r="C408" s="12"/>
      <x:c r="D408" s="12"/>
      <x:c r="E408" s="14"/>
      <x:c r="F408" s="13" t="str">
        <x:f>IF($A408="","",IF($D408&lt;&gt;'Team Setup'!$B$4,"Other sprint",IF($C408="","Unassigned",IF(OR(ISNUMBER(SEARCH(",",$C408)),ISNUMBER(SEARCH(";",$C408))),"Multiple assignees",IF(COUNTIF('Team Setup'!$B$10:$B$34,$C408)=1,"Matched","Unmatched")))))</x:f>
      </x:c>
      <x:c r="G408" s="13" t="str">
        <x:f>IF($A408="","",IF($D408&lt;&gt;'Team Setup'!$B$4,"Other sprint",IF($E408="","Unestimated",IF(NOT(ISNUMBER($E408)),"Check estimate in hours",IF($E408&lt;0,"Check estimate in hours",IF($E408=0,"Unestimated","Estimated"))))))</x:f>
      </x:c>
    </x:row>
    <x:row r="409">
      <x:c r="A409" s="12"/>
      <x:c r="B409" s="12"/>
      <x:c r="C409" s="12"/>
      <x:c r="D409" s="12"/>
      <x:c r="E409" s="14"/>
      <x:c r="F409" s="13" t="str">
        <x:f>IF($A409="","",IF($D409&lt;&gt;'Team Setup'!$B$4,"Other sprint",IF($C409="","Unassigned",IF(OR(ISNUMBER(SEARCH(",",$C409)),ISNUMBER(SEARCH(";",$C409))),"Multiple assignees",IF(COUNTIF('Team Setup'!$B$10:$B$34,$C409)=1,"Matched","Unmatched")))))</x:f>
      </x:c>
      <x:c r="G409" s="13" t="str">
        <x:f>IF($A409="","",IF($D409&lt;&gt;'Team Setup'!$B$4,"Other sprint",IF($E409="","Unestimated",IF(NOT(ISNUMBER($E409)),"Check estimate in hours",IF($E409&lt;0,"Check estimate in hours",IF($E409=0,"Unestimated","Estimated"))))))</x:f>
      </x:c>
    </x:row>
    <x:row r="410">
      <x:c r="A410" s="12"/>
      <x:c r="B410" s="12"/>
      <x:c r="C410" s="12"/>
      <x:c r="D410" s="12"/>
      <x:c r="E410" s="14"/>
      <x:c r="F410" s="13" t="str">
        <x:f>IF($A410="","",IF($D410&lt;&gt;'Team Setup'!$B$4,"Other sprint",IF($C410="","Unassigned",IF(OR(ISNUMBER(SEARCH(",",$C410)),ISNUMBER(SEARCH(";",$C410))),"Multiple assignees",IF(COUNTIF('Team Setup'!$B$10:$B$34,$C410)=1,"Matched","Unmatched")))))</x:f>
      </x:c>
      <x:c r="G410" s="13" t="str">
        <x:f>IF($A410="","",IF($D410&lt;&gt;'Team Setup'!$B$4,"Other sprint",IF($E410="","Unestimated",IF(NOT(ISNUMBER($E410)),"Check estimate in hours",IF($E410&lt;0,"Check estimate in hours",IF($E410=0,"Unestimated","Estimated"))))))</x:f>
      </x:c>
    </x:row>
    <x:row r="411">
      <x:c r="A411" s="12"/>
      <x:c r="B411" s="12"/>
      <x:c r="C411" s="12"/>
      <x:c r="D411" s="12"/>
      <x:c r="E411" s="14"/>
      <x:c r="F411" s="13" t="str">
        <x:f>IF($A411="","",IF($D411&lt;&gt;'Team Setup'!$B$4,"Other sprint",IF($C411="","Unassigned",IF(OR(ISNUMBER(SEARCH(",",$C411)),ISNUMBER(SEARCH(";",$C411))),"Multiple assignees",IF(COUNTIF('Team Setup'!$B$10:$B$34,$C411)=1,"Matched","Unmatched")))))</x:f>
      </x:c>
      <x:c r="G411" s="13" t="str">
        <x:f>IF($A411="","",IF($D411&lt;&gt;'Team Setup'!$B$4,"Other sprint",IF($E411="","Unestimated",IF(NOT(ISNUMBER($E411)),"Check estimate in hours",IF($E411&lt;0,"Check estimate in hours",IF($E411=0,"Unestimated","Estimated"))))))</x:f>
      </x:c>
    </x:row>
    <x:row r="412">
      <x:c r="A412" s="12"/>
      <x:c r="B412" s="12"/>
      <x:c r="C412" s="12"/>
      <x:c r="D412" s="12"/>
      <x:c r="E412" s="14"/>
      <x:c r="F412" s="13" t="str">
        <x:f>IF($A412="","",IF($D412&lt;&gt;'Team Setup'!$B$4,"Other sprint",IF($C412="","Unassigned",IF(OR(ISNUMBER(SEARCH(",",$C412)),ISNUMBER(SEARCH(";",$C412))),"Multiple assignees",IF(COUNTIF('Team Setup'!$B$10:$B$34,$C412)=1,"Matched","Unmatched")))))</x:f>
      </x:c>
      <x:c r="G412" s="13" t="str">
        <x:f>IF($A412="","",IF($D412&lt;&gt;'Team Setup'!$B$4,"Other sprint",IF($E412="","Unestimated",IF(NOT(ISNUMBER($E412)),"Check estimate in hours",IF($E412&lt;0,"Check estimate in hours",IF($E412=0,"Unestimated","Estimated"))))))</x:f>
      </x:c>
    </x:row>
    <x:row r="413">
      <x:c r="A413" s="12"/>
      <x:c r="B413" s="12"/>
      <x:c r="C413" s="12"/>
      <x:c r="D413" s="12"/>
      <x:c r="E413" s="14"/>
      <x:c r="F413" s="13" t="str">
        <x:f>IF($A413="","",IF($D413&lt;&gt;'Team Setup'!$B$4,"Other sprint",IF($C413="","Unassigned",IF(OR(ISNUMBER(SEARCH(",",$C413)),ISNUMBER(SEARCH(";",$C413))),"Multiple assignees",IF(COUNTIF('Team Setup'!$B$10:$B$34,$C413)=1,"Matched","Unmatched")))))</x:f>
      </x:c>
      <x:c r="G413" s="13" t="str">
        <x:f>IF($A413="","",IF($D413&lt;&gt;'Team Setup'!$B$4,"Other sprint",IF($E413="","Unestimated",IF(NOT(ISNUMBER($E413)),"Check estimate in hours",IF($E413&lt;0,"Check estimate in hours",IF($E413=0,"Unestimated","Estimated"))))))</x:f>
      </x:c>
    </x:row>
    <x:row r="414">
      <x:c r="A414" s="12"/>
      <x:c r="B414" s="12"/>
      <x:c r="C414" s="12"/>
      <x:c r="D414" s="12"/>
      <x:c r="E414" s="14"/>
      <x:c r="F414" s="13" t="str">
        <x:f>IF($A414="","",IF($D414&lt;&gt;'Team Setup'!$B$4,"Other sprint",IF($C414="","Unassigned",IF(OR(ISNUMBER(SEARCH(",",$C414)),ISNUMBER(SEARCH(";",$C414))),"Multiple assignees",IF(COUNTIF('Team Setup'!$B$10:$B$34,$C414)=1,"Matched","Unmatched")))))</x:f>
      </x:c>
      <x:c r="G414" s="13" t="str">
        <x:f>IF($A414="","",IF($D414&lt;&gt;'Team Setup'!$B$4,"Other sprint",IF($E414="","Unestimated",IF(NOT(ISNUMBER($E414)),"Check estimate in hours",IF($E414&lt;0,"Check estimate in hours",IF($E414=0,"Unestimated","Estimated"))))))</x:f>
      </x:c>
    </x:row>
    <x:row r="415">
      <x:c r="A415" s="12"/>
      <x:c r="B415" s="12"/>
      <x:c r="C415" s="12"/>
      <x:c r="D415" s="12"/>
      <x:c r="E415" s="14"/>
      <x:c r="F415" s="13" t="str">
        <x:f>IF($A415="","",IF($D415&lt;&gt;'Team Setup'!$B$4,"Other sprint",IF($C415="","Unassigned",IF(OR(ISNUMBER(SEARCH(",",$C415)),ISNUMBER(SEARCH(";",$C415))),"Multiple assignees",IF(COUNTIF('Team Setup'!$B$10:$B$34,$C415)=1,"Matched","Unmatched")))))</x:f>
      </x:c>
      <x:c r="G415" s="13" t="str">
        <x:f>IF($A415="","",IF($D415&lt;&gt;'Team Setup'!$B$4,"Other sprint",IF($E415="","Unestimated",IF(NOT(ISNUMBER($E415)),"Check estimate in hours",IF($E415&lt;0,"Check estimate in hours",IF($E415=0,"Unestimated","Estimated"))))))</x:f>
      </x:c>
    </x:row>
    <x:row r="416">
      <x:c r="A416" s="12"/>
      <x:c r="B416" s="12"/>
      <x:c r="C416" s="12"/>
      <x:c r="D416" s="12"/>
      <x:c r="E416" s="14"/>
      <x:c r="F416" s="13" t="str">
        <x:f>IF($A416="","",IF($D416&lt;&gt;'Team Setup'!$B$4,"Other sprint",IF($C416="","Unassigned",IF(OR(ISNUMBER(SEARCH(",",$C416)),ISNUMBER(SEARCH(";",$C416))),"Multiple assignees",IF(COUNTIF('Team Setup'!$B$10:$B$34,$C416)=1,"Matched","Unmatched")))))</x:f>
      </x:c>
      <x:c r="G416" s="13" t="str">
        <x:f>IF($A416="","",IF($D416&lt;&gt;'Team Setup'!$B$4,"Other sprint",IF($E416="","Unestimated",IF(NOT(ISNUMBER($E416)),"Check estimate in hours",IF($E416&lt;0,"Check estimate in hours",IF($E416=0,"Unestimated","Estimated"))))))</x:f>
      </x:c>
    </x:row>
    <x:row r="417">
      <x:c r="A417" s="12"/>
      <x:c r="B417" s="12"/>
      <x:c r="C417" s="12"/>
      <x:c r="D417" s="12"/>
      <x:c r="E417" s="14"/>
      <x:c r="F417" s="13" t="str">
        <x:f>IF($A417="","",IF($D417&lt;&gt;'Team Setup'!$B$4,"Other sprint",IF($C417="","Unassigned",IF(OR(ISNUMBER(SEARCH(",",$C417)),ISNUMBER(SEARCH(";",$C417))),"Multiple assignees",IF(COUNTIF('Team Setup'!$B$10:$B$34,$C417)=1,"Matched","Unmatched")))))</x:f>
      </x:c>
      <x:c r="G417" s="13" t="str">
        <x:f>IF($A417="","",IF($D417&lt;&gt;'Team Setup'!$B$4,"Other sprint",IF($E417="","Unestimated",IF(NOT(ISNUMBER($E417)),"Check estimate in hours",IF($E417&lt;0,"Check estimate in hours",IF($E417=0,"Unestimated","Estimated"))))))</x:f>
      </x:c>
    </x:row>
    <x:row r="418">
      <x:c r="A418" s="12"/>
      <x:c r="B418" s="12"/>
      <x:c r="C418" s="12"/>
      <x:c r="D418" s="12"/>
      <x:c r="E418" s="14"/>
      <x:c r="F418" s="13" t="str">
        <x:f>IF($A418="","",IF($D418&lt;&gt;'Team Setup'!$B$4,"Other sprint",IF($C418="","Unassigned",IF(OR(ISNUMBER(SEARCH(",",$C418)),ISNUMBER(SEARCH(";",$C418))),"Multiple assignees",IF(COUNTIF('Team Setup'!$B$10:$B$34,$C418)=1,"Matched","Unmatched")))))</x:f>
      </x:c>
      <x:c r="G418" s="13" t="str">
        <x:f>IF($A418="","",IF($D418&lt;&gt;'Team Setup'!$B$4,"Other sprint",IF($E418="","Unestimated",IF(NOT(ISNUMBER($E418)),"Check estimate in hours",IF($E418&lt;0,"Check estimate in hours",IF($E418=0,"Unestimated","Estimated"))))))</x:f>
      </x:c>
    </x:row>
    <x:row r="419">
      <x:c r="A419" s="12"/>
      <x:c r="B419" s="12"/>
      <x:c r="C419" s="12"/>
      <x:c r="D419" s="12"/>
      <x:c r="E419" s="14"/>
      <x:c r="F419" s="13" t="str">
        <x:f>IF($A419="","",IF($D419&lt;&gt;'Team Setup'!$B$4,"Other sprint",IF($C419="","Unassigned",IF(OR(ISNUMBER(SEARCH(",",$C419)),ISNUMBER(SEARCH(";",$C419))),"Multiple assignees",IF(COUNTIF('Team Setup'!$B$10:$B$34,$C419)=1,"Matched","Unmatched")))))</x:f>
      </x:c>
      <x:c r="G419" s="13" t="str">
        <x:f>IF($A419="","",IF($D419&lt;&gt;'Team Setup'!$B$4,"Other sprint",IF($E419="","Unestimated",IF(NOT(ISNUMBER($E419)),"Check estimate in hours",IF($E419&lt;0,"Check estimate in hours",IF($E419=0,"Unestimated","Estimated"))))))</x:f>
      </x:c>
    </x:row>
    <x:row r="420">
      <x:c r="A420" s="12"/>
      <x:c r="B420" s="12"/>
      <x:c r="C420" s="12"/>
      <x:c r="D420" s="12"/>
      <x:c r="E420" s="14"/>
      <x:c r="F420" s="13" t="str">
        <x:f>IF($A420="","",IF($D420&lt;&gt;'Team Setup'!$B$4,"Other sprint",IF($C420="","Unassigned",IF(OR(ISNUMBER(SEARCH(",",$C420)),ISNUMBER(SEARCH(";",$C420))),"Multiple assignees",IF(COUNTIF('Team Setup'!$B$10:$B$34,$C420)=1,"Matched","Unmatched")))))</x:f>
      </x:c>
      <x:c r="G420" s="13" t="str">
        <x:f>IF($A420="","",IF($D420&lt;&gt;'Team Setup'!$B$4,"Other sprint",IF($E420="","Unestimated",IF(NOT(ISNUMBER($E420)),"Check estimate in hours",IF($E420&lt;0,"Check estimate in hours",IF($E420=0,"Unestimated","Estimated"))))))</x:f>
      </x:c>
    </x:row>
    <x:row r="421">
      <x:c r="A421" s="12"/>
      <x:c r="B421" s="12"/>
      <x:c r="C421" s="12"/>
      <x:c r="D421" s="12"/>
      <x:c r="E421" s="14"/>
      <x:c r="F421" s="13" t="str">
        <x:f>IF($A421="","",IF($D421&lt;&gt;'Team Setup'!$B$4,"Other sprint",IF($C421="","Unassigned",IF(OR(ISNUMBER(SEARCH(",",$C421)),ISNUMBER(SEARCH(";",$C421))),"Multiple assignees",IF(COUNTIF('Team Setup'!$B$10:$B$34,$C421)=1,"Matched","Unmatched")))))</x:f>
      </x:c>
      <x:c r="G421" s="13" t="str">
        <x:f>IF($A421="","",IF($D421&lt;&gt;'Team Setup'!$B$4,"Other sprint",IF($E421="","Unestimated",IF(NOT(ISNUMBER($E421)),"Check estimate in hours",IF($E421&lt;0,"Check estimate in hours",IF($E421=0,"Unestimated","Estimated"))))))</x:f>
      </x:c>
    </x:row>
    <x:row r="422">
      <x:c r="A422" s="12"/>
      <x:c r="B422" s="12"/>
      <x:c r="C422" s="12"/>
      <x:c r="D422" s="12"/>
      <x:c r="E422" s="14"/>
      <x:c r="F422" s="13" t="str">
        <x:f>IF($A422="","",IF($D422&lt;&gt;'Team Setup'!$B$4,"Other sprint",IF($C422="","Unassigned",IF(OR(ISNUMBER(SEARCH(",",$C422)),ISNUMBER(SEARCH(";",$C422))),"Multiple assignees",IF(COUNTIF('Team Setup'!$B$10:$B$34,$C422)=1,"Matched","Unmatched")))))</x:f>
      </x:c>
      <x:c r="G422" s="13" t="str">
        <x:f>IF($A422="","",IF($D422&lt;&gt;'Team Setup'!$B$4,"Other sprint",IF($E422="","Unestimated",IF(NOT(ISNUMBER($E422)),"Check estimate in hours",IF($E422&lt;0,"Check estimate in hours",IF($E422=0,"Unestimated","Estimated"))))))</x:f>
      </x:c>
    </x:row>
    <x:row r="423">
      <x:c r="A423" s="12"/>
      <x:c r="B423" s="12"/>
      <x:c r="C423" s="12"/>
      <x:c r="D423" s="12"/>
      <x:c r="E423" s="14"/>
      <x:c r="F423" s="13" t="str">
        <x:f>IF($A423="","",IF($D423&lt;&gt;'Team Setup'!$B$4,"Other sprint",IF($C423="","Unassigned",IF(OR(ISNUMBER(SEARCH(",",$C423)),ISNUMBER(SEARCH(";",$C423))),"Multiple assignees",IF(COUNTIF('Team Setup'!$B$10:$B$34,$C423)=1,"Matched","Unmatched")))))</x:f>
      </x:c>
      <x:c r="G423" s="13" t="str">
        <x:f>IF($A423="","",IF($D423&lt;&gt;'Team Setup'!$B$4,"Other sprint",IF($E423="","Unestimated",IF(NOT(ISNUMBER($E423)),"Check estimate in hours",IF($E423&lt;0,"Check estimate in hours",IF($E423=0,"Unestimated","Estimated"))))))</x:f>
      </x:c>
    </x:row>
    <x:row r="424">
      <x:c r="A424" s="12"/>
      <x:c r="B424" s="12"/>
      <x:c r="C424" s="12"/>
      <x:c r="D424" s="12"/>
      <x:c r="E424" s="14"/>
      <x:c r="F424" s="13" t="str">
        <x:f>IF($A424="","",IF($D424&lt;&gt;'Team Setup'!$B$4,"Other sprint",IF($C424="","Unassigned",IF(OR(ISNUMBER(SEARCH(",",$C424)),ISNUMBER(SEARCH(";",$C424))),"Multiple assignees",IF(COUNTIF('Team Setup'!$B$10:$B$34,$C424)=1,"Matched","Unmatched")))))</x:f>
      </x:c>
      <x:c r="G424" s="13" t="str">
        <x:f>IF($A424="","",IF($D424&lt;&gt;'Team Setup'!$B$4,"Other sprint",IF($E424="","Unestimated",IF(NOT(ISNUMBER($E424)),"Check estimate in hours",IF($E424&lt;0,"Check estimate in hours",IF($E424=0,"Unestimated","Estimated"))))))</x:f>
      </x:c>
    </x:row>
    <x:row r="425">
      <x:c r="A425" s="12"/>
      <x:c r="B425" s="12"/>
      <x:c r="C425" s="12"/>
      <x:c r="D425" s="12"/>
      <x:c r="E425" s="14"/>
      <x:c r="F425" s="13" t="str">
        <x:f>IF($A425="","",IF($D425&lt;&gt;'Team Setup'!$B$4,"Other sprint",IF($C425="","Unassigned",IF(OR(ISNUMBER(SEARCH(",",$C425)),ISNUMBER(SEARCH(";",$C425))),"Multiple assignees",IF(COUNTIF('Team Setup'!$B$10:$B$34,$C425)=1,"Matched","Unmatched")))))</x:f>
      </x:c>
      <x:c r="G425" s="13" t="str">
        <x:f>IF($A425="","",IF($D425&lt;&gt;'Team Setup'!$B$4,"Other sprint",IF($E425="","Unestimated",IF(NOT(ISNUMBER($E425)),"Check estimate in hours",IF($E425&lt;0,"Check estimate in hours",IF($E425=0,"Unestimated","Estimated"))))))</x:f>
      </x:c>
    </x:row>
    <x:row r="426">
      <x:c r="A426" s="12"/>
      <x:c r="B426" s="12"/>
      <x:c r="C426" s="12"/>
      <x:c r="D426" s="12"/>
      <x:c r="E426" s="14"/>
      <x:c r="F426" s="13" t="str">
        <x:f>IF($A426="","",IF($D426&lt;&gt;'Team Setup'!$B$4,"Other sprint",IF($C426="","Unassigned",IF(OR(ISNUMBER(SEARCH(",",$C426)),ISNUMBER(SEARCH(";",$C426))),"Multiple assignees",IF(COUNTIF('Team Setup'!$B$10:$B$34,$C426)=1,"Matched","Unmatched")))))</x:f>
      </x:c>
      <x:c r="G426" s="13" t="str">
        <x:f>IF($A426="","",IF($D426&lt;&gt;'Team Setup'!$B$4,"Other sprint",IF($E426="","Unestimated",IF(NOT(ISNUMBER($E426)),"Check estimate in hours",IF($E426&lt;0,"Check estimate in hours",IF($E426=0,"Unestimated","Estimated"))))))</x:f>
      </x:c>
    </x:row>
    <x:row r="427">
      <x:c r="A427" s="12"/>
      <x:c r="B427" s="12"/>
      <x:c r="C427" s="12"/>
      <x:c r="D427" s="12"/>
      <x:c r="E427" s="14"/>
      <x:c r="F427" s="13" t="str">
        <x:f>IF($A427="","",IF($D427&lt;&gt;'Team Setup'!$B$4,"Other sprint",IF($C427="","Unassigned",IF(OR(ISNUMBER(SEARCH(",",$C427)),ISNUMBER(SEARCH(";",$C427))),"Multiple assignees",IF(COUNTIF('Team Setup'!$B$10:$B$34,$C427)=1,"Matched","Unmatched")))))</x:f>
      </x:c>
      <x:c r="G427" s="13" t="str">
        <x:f>IF($A427="","",IF($D427&lt;&gt;'Team Setup'!$B$4,"Other sprint",IF($E427="","Unestimated",IF(NOT(ISNUMBER($E427)),"Check estimate in hours",IF($E427&lt;0,"Check estimate in hours",IF($E427=0,"Unestimated","Estimated"))))))</x:f>
      </x:c>
    </x:row>
    <x:row r="428">
      <x:c r="A428" s="12"/>
      <x:c r="B428" s="12"/>
      <x:c r="C428" s="12"/>
      <x:c r="D428" s="12"/>
      <x:c r="E428" s="14"/>
      <x:c r="F428" s="13" t="str">
        <x:f>IF($A428="","",IF($D428&lt;&gt;'Team Setup'!$B$4,"Other sprint",IF($C428="","Unassigned",IF(OR(ISNUMBER(SEARCH(",",$C428)),ISNUMBER(SEARCH(";",$C428))),"Multiple assignees",IF(COUNTIF('Team Setup'!$B$10:$B$34,$C428)=1,"Matched","Unmatched")))))</x:f>
      </x:c>
      <x:c r="G428" s="13" t="str">
        <x:f>IF($A428="","",IF($D428&lt;&gt;'Team Setup'!$B$4,"Other sprint",IF($E428="","Unestimated",IF(NOT(ISNUMBER($E428)),"Check estimate in hours",IF($E428&lt;0,"Check estimate in hours",IF($E428=0,"Unestimated","Estimated"))))))</x:f>
      </x:c>
    </x:row>
    <x:row r="429">
      <x:c r="A429" s="12"/>
      <x:c r="B429" s="12"/>
      <x:c r="C429" s="12"/>
      <x:c r="D429" s="12"/>
      <x:c r="E429" s="14"/>
      <x:c r="F429" s="13" t="str">
        <x:f>IF($A429="","",IF($D429&lt;&gt;'Team Setup'!$B$4,"Other sprint",IF($C429="","Unassigned",IF(OR(ISNUMBER(SEARCH(",",$C429)),ISNUMBER(SEARCH(";",$C429))),"Multiple assignees",IF(COUNTIF('Team Setup'!$B$10:$B$34,$C429)=1,"Matched","Unmatched")))))</x:f>
      </x:c>
      <x:c r="G429" s="13" t="str">
        <x:f>IF($A429="","",IF($D429&lt;&gt;'Team Setup'!$B$4,"Other sprint",IF($E429="","Unestimated",IF(NOT(ISNUMBER($E429)),"Check estimate in hours",IF($E429&lt;0,"Check estimate in hours",IF($E429=0,"Unestimated","Estimated"))))))</x:f>
      </x:c>
    </x:row>
    <x:row r="430">
      <x:c r="A430" s="12"/>
      <x:c r="B430" s="12"/>
      <x:c r="C430" s="12"/>
      <x:c r="D430" s="12"/>
      <x:c r="E430" s="14"/>
      <x:c r="F430" s="13" t="str">
        <x:f>IF($A430="","",IF($D430&lt;&gt;'Team Setup'!$B$4,"Other sprint",IF($C430="","Unassigned",IF(OR(ISNUMBER(SEARCH(",",$C430)),ISNUMBER(SEARCH(";",$C430))),"Multiple assignees",IF(COUNTIF('Team Setup'!$B$10:$B$34,$C430)=1,"Matched","Unmatched")))))</x:f>
      </x:c>
      <x:c r="G430" s="13" t="str">
        <x:f>IF($A430="","",IF($D430&lt;&gt;'Team Setup'!$B$4,"Other sprint",IF($E430="","Unestimated",IF(NOT(ISNUMBER($E430)),"Check estimate in hours",IF($E430&lt;0,"Check estimate in hours",IF($E430=0,"Unestimated","Estimated"))))))</x:f>
      </x:c>
    </x:row>
    <x:row r="431">
      <x:c r="A431" s="12"/>
      <x:c r="B431" s="12"/>
      <x:c r="C431" s="12"/>
      <x:c r="D431" s="12"/>
      <x:c r="E431" s="14"/>
      <x:c r="F431" s="13" t="str">
        <x:f>IF($A431="","",IF($D431&lt;&gt;'Team Setup'!$B$4,"Other sprint",IF($C431="","Unassigned",IF(OR(ISNUMBER(SEARCH(",",$C431)),ISNUMBER(SEARCH(";",$C431))),"Multiple assignees",IF(COUNTIF('Team Setup'!$B$10:$B$34,$C431)=1,"Matched","Unmatched")))))</x:f>
      </x:c>
      <x:c r="G431" s="13" t="str">
        <x:f>IF($A431="","",IF($D431&lt;&gt;'Team Setup'!$B$4,"Other sprint",IF($E431="","Unestimated",IF(NOT(ISNUMBER($E431)),"Check estimate in hours",IF($E431&lt;0,"Check estimate in hours",IF($E431=0,"Unestimated","Estimated"))))))</x:f>
      </x:c>
    </x:row>
    <x:row r="432">
      <x:c r="A432" s="12"/>
      <x:c r="B432" s="12"/>
      <x:c r="C432" s="12"/>
      <x:c r="D432" s="12"/>
      <x:c r="E432" s="14"/>
      <x:c r="F432" s="13" t="str">
        <x:f>IF($A432="","",IF($D432&lt;&gt;'Team Setup'!$B$4,"Other sprint",IF($C432="","Unassigned",IF(OR(ISNUMBER(SEARCH(",",$C432)),ISNUMBER(SEARCH(";",$C432))),"Multiple assignees",IF(COUNTIF('Team Setup'!$B$10:$B$34,$C432)=1,"Matched","Unmatched")))))</x:f>
      </x:c>
      <x:c r="G432" s="13" t="str">
        <x:f>IF($A432="","",IF($D432&lt;&gt;'Team Setup'!$B$4,"Other sprint",IF($E432="","Unestimated",IF(NOT(ISNUMBER($E432)),"Check estimate in hours",IF($E432&lt;0,"Check estimate in hours",IF($E432=0,"Unestimated","Estimated"))))))</x:f>
      </x:c>
    </x:row>
    <x:row r="433">
      <x:c r="A433" s="12"/>
      <x:c r="B433" s="12"/>
      <x:c r="C433" s="12"/>
      <x:c r="D433" s="12"/>
      <x:c r="E433" s="14"/>
      <x:c r="F433" s="13" t="str">
        <x:f>IF($A433="","",IF($D433&lt;&gt;'Team Setup'!$B$4,"Other sprint",IF($C433="","Unassigned",IF(OR(ISNUMBER(SEARCH(",",$C433)),ISNUMBER(SEARCH(";",$C433))),"Multiple assignees",IF(COUNTIF('Team Setup'!$B$10:$B$34,$C433)=1,"Matched","Unmatched")))))</x:f>
      </x:c>
      <x:c r="G433" s="13" t="str">
        <x:f>IF($A433="","",IF($D433&lt;&gt;'Team Setup'!$B$4,"Other sprint",IF($E433="","Unestimated",IF(NOT(ISNUMBER($E433)),"Check estimate in hours",IF($E433&lt;0,"Check estimate in hours",IF($E433=0,"Unestimated","Estimated"))))))</x:f>
      </x:c>
    </x:row>
    <x:row r="434">
      <x:c r="A434" s="12"/>
      <x:c r="B434" s="12"/>
      <x:c r="C434" s="12"/>
      <x:c r="D434" s="12"/>
      <x:c r="E434" s="14"/>
      <x:c r="F434" s="13" t="str">
        <x:f>IF($A434="","",IF($D434&lt;&gt;'Team Setup'!$B$4,"Other sprint",IF($C434="","Unassigned",IF(OR(ISNUMBER(SEARCH(",",$C434)),ISNUMBER(SEARCH(";",$C434))),"Multiple assignees",IF(COUNTIF('Team Setup'!$B$10:$B$34,$C434)=1,"Matched","Unmatched")))))</x:f>
      </x:c>
      <x:c r="G434" s="13" t="str">
        <x:f>IF($A434="","",IF($D434&lt;&gt;'Team Setup'!$B$4,"Other sprint",IF($E434="","Unestimated",IF(NOT(ISNUMBER($E434)),"Check estimate in hours",IF($E434&lt;0,"Check estimate in hours",IF($E434=0,"Unestimated","Estimated"))))))</x:f>
      </x:c>
    </x:row>
    <x:row r="435">
      <x:c r="A435" s="12"/>
      <x:c r="B435" s="12"/>
      <x:c r="C435" s="12"/>
      <x:c r="D435" s="12"/>
      <x:c r="E435" s="14"/>
      <x:c r="F435" s="13" t="str">
        <x:f>IF($A435="","",IF($D435&lt;&gt;'Team Setup'!$B$4,"Other sprint",IF($C435="","Unassigned",IF(OR(ISNUMBER(SEARCH(",",$C435)),ISNUMBER(SEARCH(";",$C435))),"Multiple assignees",IF(COUNTIF('Team Setup'!$B$10:$B$34,$C435)=1,"Matched","Unmatched")))))</x:f>
      </x:c>
      <x:c r="G435" s="13" t="str">
        <x:f>IF($A435="","",IF($D435&lt;&gt;'Team Setup'!$B$4,"Other sprint",IF($E435="","Unestimated",IF(NOT(ISNUMBER($E435)),"Check estimate in hours",IF($E435&lt;0,"Check estimate in hours",IF($E435=0,"Unestimated","Estimated"))))))</x:f>
      </x:c>
    </x:row>
    <x:row r="436">
      <x:c r="A436" s="12"/>
      <x:c r="B436" s="12"/>
      <x:c r="C436" s="12"/>
      <x:c r="D436" s="12"/>
      <x:c r="E436" s="14"/>
      <x:c r="F436" s="13" t="str">
        <x:f>IF($A436="","",IF($D436&lt;&gt;'Team Setup'!$B$4,"Other sprint",IF($C436="","Unassigned",IF(OR(ISNUMBER(SEARCH(",",$C436)),ISNUMBER(SEARCH(";",$C436))),"Multiple assignees",IF(COUNTIF('Team Setup'!$B$10:$B$34,$C436)=1,"Matched","Unmatched")))))</x:f>
      </x:c>
      <x:c r="G436" s="13" t="str">
        <x:f>IF($A436="","",IF($D436&lt;&gt;'Team Setup'!$B$4,"Other sprint",IF($E436="","Unestimated",IF(NOT(ISNUMBER($E436)),"Check estimate in hours",IF($E436&lt;0,"Check estimate in hours",IF($E436=0,"Unestimated","Estimated"))))))</x:f>
      </x:c>
    </x:row>
    <x:row r="437">
      <x:c r="A437" s="12"/>
      <x:c r="B437" s="12"/>
      <x:c r="C437" s="12"/>
      <x:c r="D437" s="12"/>
      <x:c r="E437" s="14"/>
      <x:c r="F437" s="13" t="str">
        <x:f>IF($A437="","",IF($D437&lt;&gt;'Team Setup'!$B$4,"Other sprint",IF($C437="","Unassigned",IF(OR(ISNUMBER(SEARCH(",",$C437)),ISNUMBER(SEARCH(";",$C437))),"Multiple assignees",IF(COUNTIF('Team Setup'!$B$10:$B$34,$C437)=1,"Matched","Unmatched")))))</x:f>
      </x:c>
      <x:c r="G437" s="13" t="str">
        <x:f>IF($A437="","",IF($D437&lt;&gt;'Team Setup'!$B$4,"Other sprint",IF($E437="","Unestimated",IF(NOT(ISNUMBER($E437)),"Check estimate in hours",IF($E437&lt;0,"Check estimate in hours",IF($E437=0,"Unestimated","Estimated"))))))</x:f>
      </x:c>
    </x:row>
    <x:row r="438">
      <x:c r="A438" s="12"/>
      <x:c r="B438" s="12"/>
      <x:c r="C438" s="12"/>
      <x:c r="D438" s="12"/>
      <x:c r="E438" s="14"/>
      <x:c r="F438" s="13" t="str">
        <x:f>IF($A438="","",IF($D438&lt;&gt;'Team Setup'!$B$4,"Other sprint",IF($C438="","Unassigned",IF(OR(ISNUMBER(SEARCH(",",$C438)),ISNUMBER(SEARCH(";",$C438))),"Multiple assignees",IF(COUNTIF('Team Setup'!$B$10:$B$34,$C438)=1,"Matched","Unmatched")))))</x:f>
      </x:c>
      <x:c r="G438" s="13" t="str">
        <x:f>IF($A438="","",IF($D438&lt;&gt;'Team Setup'!$B$4,"Other sprint",IF($E438="","Unestimated",IF(NOT(ISNUMBER($E438)),"Check estimate in hours",IF($E438&lt;0,"Check estimate in hours",IF($E438=0,"Unestimated","Estimated"))))))</x:f>
      </x:c>
    </x:row>
    <x:row r="439">
      <x:c r="A439" s="12"/>
      <x:c r="B439" s="12"/>
      <x:c r="C439" s="12"/>
      <x:c r="D439" s="12"/>
      <x:c r="E439" s="14"/>
      <x:c r="F439" s="13" t="str">
        <x:f>IF($A439="","",IF($D439&lt;&gt;'Team Setup'!$B$4,"Other sprint",IF($C439="","Unassigned",IF(OR(ISNUMBER(SEARCH(",",$C439)),ISNUMBER(SEARCH(";",$C439))),"Multiple assignees",IF(COUNTIF('Team Setup'!$B$10:$B$34,$C439)=1,"Matched","Unmatched")))))</x:f>
      </x:c>
      <x:c r="G439" s="13" t="str">
        <x:f>IF($A439="","",IF($D439&lt;&gt;'Team Setup'!$B$4,"Other sprint",IF($E439="","Unestimated",IF(NOT(ISNUMBER($E439)),"Check estimate in hours",IF($E439&lt;0,"Check estimate in hours",IF($E439=0,"Unestimated","Estimated"))))))</x:f>
      </x:c>
    </x:row>
    <x:row r="440">
      <x:c r="A440" s="12"/>
      <x:c r="B440" s="12"/>
      <x:c r="C440" s="12"/>
      <x:c r="D440" s="12"/>
      <x:c r="E440" s="14"/>
      <x:c r="F440" s="13" t="str">
        <x:f>IF($A440="","",IF($D440&lt;&gt;'Team Setup'!$B$4,"Other sprint",IF($C440="","Unassigned",IF(OR(ISNUMBER(SEARCH(",",$C440)),ISNUMBER(SEARCH(";",$C440))),"Multiple assignees",IF(COUNTIF('Team Setup'!$B$10:$B$34,$C440)=1,"Matched","Unmatched")))))</x:f>
      </x:c>
      <x:c r="G440" s="13" t="str">
        <x:f>IF($A440="","",IF($D440&lt;&gt;'Team Setup'!$B$4,"Other sprint",IF($E440="","Unestimated",IF(NOT(ISNUMBER($E440)),"Check estimate in hours",IF($E440&lt;0,"Check estimate in hours",IF($E440=0,"Unestimated","Estimated"))))))</x:f>
      </x:c>
    </x:row>
    <x:row r="441">
      <x:c r="A441" s="12"/>
      <x:c r="B441" s="12"/>
      <x:c r="C441" s="12"/>
      <x:c r="D441" s="12"/>
      <x:c r="E441" s="14"/>
      <x:c r="F441" s="13" t="str">
        <x:f>IF($A441="","",IF($D441&lt;&gt;'Team Setup'!$B$4,"Other sprint",IF($C441="","Unassigned",IF(OR(ISNUMBER(SEARCH(",",$C441)),ISNUMBER(SEARCH(";",$C441))),"Multiple assignees",IF(COUNTIF('Team Setup'!$B$10:$B$34,$C441)=1,"Matched","Unmatched")))))</x:f>
      </x:c>
      <x:c r="G441" s="13" t="str">
        <x:f>IF($A441="","",IF($D441&lt;&gt;'Team Setup'!$B$4,"Other sprint",IF($E441="","Unestimated",IF(NOT(ISNUMBER($E441)),"Check estimate in hours",IF($E441&lt;0,"Check estimate in hours",IF($E441=0,"Unestimated","Estimated"))))))</x:f>
      </x:c>
    </x:row>
    <x:row r="442">
      <x:c r="A442" s="12"/>
      <x:c r="B442" s="12"/>
      <x:c r="C442" s="12"/>
      <x:c r="D442" s="12"/>
      <x:c r="E442" s="14"/>
      <x:c r="F442" s="13" t="str">
        <x:f>IF($A442="","",IF($D442&lt;&gt;'Team Setup'!$B$4,"Other sprint",IF($C442="","Unassigned",IF(OR(ISNUMBER(SEARCH(",",$C442)),ISNUMBER(SEARCH(";",$C442))),"Multiple assignees",IF(COUNTIF('Team Setup'!$B$10:$B$34,$C442)=1,"Matched","Unmatched")))))</x:f>
      </x:c>
      <x:c r="G442" s="13" t="str">
        <x:f>IF($A442="","",IF($D442&lt;&gt;'Team Setup'!$B$4,"Other sprint",IF($E442="","Unestimated",IF(NOT(ISNUMBER($E442)),"Check estimate in hours",IF($E442&lt;0,"Check estimate in hours",IF($E442=0,"Unestimated","Estimated"))))))</x:f>
      </x:c>
    </x:row>
    <x:row r="443">
      <x:c r="A443" s="12"/>
      <x:c r="B443" s="12"/>
      <x:c r="C443" s="12"/>
      <x:c r="D443" s="12"/>
      <x:c r="E443" s="14"/>
      <x:c r="F443" s="13" t="str">
        <x:f>IF($A443="","",IF($D443&lt;&gt;'Team Setup'!$B$4,"Other sprint",IF($C443="","Unassigned",IF(OR(ISNUMBER(SEARCH(",",$C443)),ISNUMBER(SEARCH(";",$C443))),"Multiple assignees",IF(COUNTIF('Team Setup'!$B$10:$B$34,$C443)=1,"Matched","Unmatched")))))</x:f>
      </x:c>
      <x:c r="G443" s="13" t="str">
        <x:f>IF($A443="","",IF($D443&lt;&gt;'Team Setup'!$B$4,"Other sprint",IF($E443="","Unestimated",IF(NOT(ISNUMBER($E443)),"Check estimate in hours",IF($E443&lt;0,"Check estimate in hours",IF($E443=0,"Unestimated","Estimated"))))))</x:f>
      </x:c>
    </x:row>
    <x:row r="444">
      <x:c r="A444" s="12"/>
      <x:c r="B444" s="12"/>
      <x:c r="C444" s="12"/>
      <x:c r="D444" s="12"/>
      <x:c r="E444" s="14"/>
      <x:c r="F444" s="13" t="str">
        <x:f>IF($A444="","",IF($D444&lt;&gt;'Team Setup'!$B$4,"Other sprint",IF($C444="","Unassigned",IF(OR(ISNUMBER(SEARCH(",",$C444)),ISNUMBER(SEARCH(";",$C444))),"Multiple assignees",IF(COUNTIF('Team Setup'!$B$10:$B$34,$C444)=1,"Matched","Unmatched")))))</x:f>
      </x:c>
      <x:c r="G444" s="13" t="str">
        <x:f>IF($A444="","",IF($D444&lt;&gt;'Team Setup'!$B$4,"Other sprint",IF($E444="","Unestimated",IF(NOT(ISNUMBER($E444)),"Check estimate in hours",IF($E444&lt;0,"Check estimate in hours",IF($E444=0,"Unestimated","Estimated"))))))</x:f>
      </x:c>
    </x:row>
    <x:row r="445">
      <x:c r="A445" s="12"/>
      <x:c r="B445" s="12"/>
      <x:c r="C445" s="12"/>
      <x:c r="D445" s="12"/>
      <x:c r="E445" s="14"/>
      <x:c r="F445" s="13" t="str">
        <x:f>IF($A445="","",IF($D445&lt;&gt;'Team Setup'!$B$4,"Other sprint",IF($C445="","Unassigned",IF(OR(ISNUMBER(SEARCH(",",$C445)),ISNUMBER(SEARCH(";",$C445))),"Multiple assignees",IF(COUNTIF('Team Setup'!$B$10:$B$34,$C445)=1,"Matched","Unmatched")))))</x:f>
      </x:c>
      <x:c r="G445" s="13" t="str">
        <x:f>IF($A445="","",IF($D445&lt;&gt;'Team Setup'!$B$4,"Other sprint",IF($E445="","Unestimated",IF(NOT(ISNUMBER($E445)),"Check estimate in hours",IF($E445&lt;0,"Check estimate in hours",IF($E445=0,"Unestimated","Estimated"))))))</x:f>
      </x:c>
    </x:row>
    <x:row r="446">
      <x:c r="A446" s="12"/>
      <x:c r="B446" s="12"/>
      <x:c r="C446" s="12"/>
      <x:c r="D446" s="12"/>
      <x:c r="E446" s="14"/>
      <x:c r="F446" s="13" t="str">
        <x:f>IF($A446="","",IF($D446&lt;&gt;'Team Setup'!$B$4,"Other sprint",IF($C446="","Unassigned",IF(OR(ISNUMBER(SEARCH(",",$C446)),ISNUMBER(SEARCH(";",$C446))),"Multiple assignees",IF(COUNTIF('Team Setup'!$B$10:$B$34,$C446)=1,"Matched","Unmatched")))))</x:f>
      </x:c>
      <x:c r="G446" s="13" t="str">
        <x:f>IF($A446="","",IF($D446&lt;&gt;'Team Setup'!$B$4,"Other sprint",IF($E446="","Unestimated",IF(NOT(ISNUMBER($E446)),"Check estimate in hours",IF($E446&lt;0,"Check estimate in hours",IF($E446=0,"Unestimated","Estimated"))))))</x:f>
      </x:c>
    </x:row>
    <x:row r="447">
      <x:c r="A447" s="12"/>
      <x:c r="B447" s="12"/>
      <x:c r="C447" s="12"/>
      <x:c r="D447" s="12"/>
      <x:c r="E447" s="14"/>
      <x:c r="F447" s="13" t="str">
        <x:f>IF($A447="","",IF($D447&lt;&gt;'Team Setup'!$B$4,"Other sprint",IF($C447="","Unassigned",IF(OR(ISNUMBER(SEARCH(",",$C447)),ISNUMBER(SEARCH(";",$C447))),"Multiple assignees",IF(COUNTIF('Team Setup'!$B$10:$B$34,$C447)=1,"Matched","Unmatched")))))</x:f>
      </x:c>
      <x:c r="G447" s="13" t="str">
        <x:f>IF($A447="","",IF($D447&lt;&gt;'Team Setup'!$B$4,"Other sprint",IF($E447="","Unestimated",IF(NOT(ISNUMBER($E447)),"Check estimate in hours",IF($E447&lt;0,"Check estimate in hours",IF($E447=0,"Unestimated","Estimated"))))))</x:f>
      </x:c>
    </x:row>
    <x:row r="448">
      <x:c r="A448" s="12"/>
      <x:c r="B448" s="12"/>
      <x:c r="C448" s="12"/>
      <x:c r="D448" s="12"/>
      <x:c r="E448" s="14"/>
      <x:c r="F448" s="13" t="str">
        <x:f>IF($A448="","",IF($D448&lt;&gt;'Team Setup'!$B$4,"Other sprint",IF($C448="","Unassigned",IF(OR(ISNUMBER(SEARCH(",",$C448)),ISNUMBER(SEARCH(";",$C448))),"Multiple assignees",IF(COUNTIF('Team Setup'!$B$10:$B$34,$C448)=1,"Matched","Unmatched")))))</x:f>
      </x:c>
      <x:c r="G448" s="13" t="str">
        <x:f>IF($A448="","",IF($D448&lt;&gt;'Team Setup'!$B$4,"Other sprint",IF($E448="","Unestimated",IF(NOT(ISNUMBER($E448)),"Check estimate in hours",IF($E448&lt;0,"Check estimate in hours",IF($E448=0,"Unestimated","Estimated"))))))</x:f>
      </x:c>
    </x:row>
    <x:row r="449">
      <x:c r="A449" s="12"/>
      <x:c r="B449" s="12"/>
      <x:c r="C449" s="12"/>
      <x:c r="D449" s="12"/>
      <x:c r="E449" s="14"/>
      <x:c r="F449" s="13" t="str">
        <x:f>IF($A449="","",IF($D449&lt;&gt;'Team Setup'!$B$4,"Other sprint",IF($C449="","Unassigned",IF(OR(ISNUMBER(SEARCH(",",$C449)),ISNUMBER(SEARCH(";",$C449))),"Multiple assignees",IF(COUNTIF('Team Setup'!$B$10:$B$34,$C449)=1,"Matched","Unmatched")))))</x:f>
      </x:c>
      <x:c r="G449" s="13" t="str">
        <x:f>IF($A449="","",IF($D449&lt;&gt;'Team Setup'!$B$4,"Other sprint",IF($E449="","Unestimated",IF(NOT(ISNUMBER($E449)),"Check estimate in hours",IF($E449&lt;0,"Check estimate in hours",IF($E449=0,"Unestimated","Estimated"))))))</x:f>
      </x:c>
    </x:row>
    <x:row r="450">
      <x:c r="A450" s="12"/>
      <x:c r="B450" s="12"/>
      <x:c r="C450" s="12"/>
      <x:c r="D450" s="12"/>
      <x:c r="E450" s="14"/>
      <x:c r="F450" s="13" t="str">
        <x:f>IF($A450="","",IF($D450&lt;&gt;'Team Setup'!$B$4,"Other sprint",IF($C450="","Unassigned",IF(OR(ISNUMBER(SEARCH(",",$C450)),ISNUMBER(SEARCH(";",$C450))),"Multiple assignees",IF(COUNTIF('Team Setup'!$B$10:$B$34,$C450)=1,"Matched","Unmatched")))))</x:f>
      </x:c>
      <x:c r="G450" s="13" t="str">
        <x:f>IF($A450="","",IF($D450&lt;&gt;'Team Setup'!$B$4,"Other sprint",IF($E450="","Unestimated",IF(NOT(ISNUMBER($E450)),"Check estimate in hours",IF($E450&lt;0,"Check estimate in hours",IF($E450=0,"Unestimated","Estimated"))))))</x:f>
      </x:c>
    </x:row>
    <x:row r="451">
      <x:c r="A451" s="12"/>
      <x:c r="B451" s="12"/>
      <x:c r="C451" s="12"/>
      <x:c r="D451" s="12"/>
      <x:c r="E451" s="14"/>
      <x:c r="F451" s="13" t="str">
        <x:f>IF($A451="","",IF($D451&lt;&gt;'Team Setup'!$B$4,"Other sprint",IF($C451="","Unassigned",IF(OR(ISNUMBER(SEARCH(",",$C451)),ISNUMBER(SEARCH(";",$C451))),"Multiple assignees",IF(COUNTIF('Team Setup'!$B$10:$B$34,$C451)=1,"Matched","Unmatched")))))</x:f>
      </x:c>
      <x:c r="G451" s="13" t="str">
        <x:f>IF($A451="","",IF($D451&lt;&gt;'Team Setup'!$B$4,"Other sprint",IF($E451="","Unestimated",IF(NOT(ISNUMBER($E451)),"Check estimate in hours",IF($E451&lt;0,"Check estimate in hours",IF($E451=0,"Unestimated","Estimated"))))))</x:f>
      </x:c>
    </x:row>
    <x:row r="452">
      <x:c r="A452" s="12"/>
      <x:c r="B452" s="12"/>
      <x:c r="C452" s="12"/>
      <x:c r="D452" s="12"/>
      <x:c r="E452" s="14"/>
      <x:c r="F452" s="13" t="str">
        <x:f>IF($A452="","",IF($D452&lt;&gt;'Team Setup'!$B$4,"Other sprint",IF($C452="","Unassigned",IF(OR(ISNUMBER(SEARCH(",",$C452)),ISNUMBER(SEARCH(";",$C452))),"Multiple assignees",IF(COUNTIF('Team Setup'!$B$10:$B$34,$C452)=1,"Matched","Unmatched")))))</x:f>
      </x:c>
      <x:c r="G452" s="13" t="str">
        <x:f>IF($A452="","",IF($D452&lt;&gt;'Team Setup'!$B$4,"Other sprint",IF($E452="","Unestimated",IF(NOT(ISNUMBER($E452)),"Check estimate in hours",IF($E452&lt;0,"Check estimate in hours",IF($E452=0,"Unestimated","Estimated"))))))</x:f>
      </x:c>
    </x:row>
    <x:row r="453">
      <x:c r="A453" s="12"/>
      <x:c r="B453" s="12"/>
      <x:c r="C453" s="12"/>
      <x:c r="D453" s="12"/>
      <x:c r="E453" s="14"/>
      <x:c r="F453" s="13" t="str">
        <x:f>IF($A453="","",IF($D453&lt;&gt;'Team Setup'!$B$4,"Other sprint",IF($C453="","Unassigned",IF(OR(ISNUMBER(SEARCH(",",$C453)),ISNUMBER(SEARCH(";",$C453))),"Multiple assignees",IF(COUNTIF('Team Setup'!$B$10:$B$34,$C453)=1,"Matched","Unmatched")))))</x:f>
      </x:c>
      <x:c r="G453" s="13" t="str">
        <x:f>IF($A453="","",IF($D453&lt;&gt;'Team Setup'!$B$4,"Other sprint",IF($E453="","Unestimated",IF(NOT(ISNUMBER($E453)),"Check estimate in hours",IF($E453&lt;0,"Check estimate in hours",IF($E453=0,"Unestimated","Estimated"))))))</x:f>
      </x:c>
    </x:row>
    <x:row r="454">
      <x:c r="A454" s="12"/>
      <x:c r="B454" s="12"/>
      <x:c r="C454" s="12"/>
      <x:c r="D454" s="12"/>
      <x:c r="E454" s="14"/>
      <x:c r="F454" s="13" t="str">
        <x:f>IF($A454="","",IF($D454&lt;&gt;'Team Setup'!$B$4,"Other sprint",IF($C454="","Unassigned",IF(OR(ISNUMBER(SEARCH(",",$C454)),ISNUMBER(SEARCH(";",$C454))),"Multiple assignees",IF(COUNTIF('Team Setup'!$B$10:$B$34,$C454)=1,"Matched","Unmatched")))))</x:f>
      </x:c>
      <x:c r="G454" s="13" t="str">
        <x:f>IF($A454="","",IF($D454&lt;&gt;'Team Setup'!$B$4,"Other sprint",IF($E454="","Unestimated",IF(NOT(ISNUMBER($E454)),"Check estimate in hours",IF($E454&lt;0,"Check estimate in hours",IF($E454=0,"Unestimated","Estimated"))))))</x:f>
      </x:c>
    </x:row>
    <x:row r="455">
      <x:c r="A455" s="12"/>
      <x:c r="B455" s="12"/>
      <x:c r="C455" s="12"/>
      <x:c r="D455" s="12"/>
      <x:c r="E455" s="14"/>
      <x:c r="F455" s="13" t="str">
        <x:f>IF($A455="","",IF($D455&lt;&gt;'Team Setup'!$B$4,"Other sprint",IF($C455="","Unassigned",IF(OR(ISNUMBER(SEARCH(",",$C455)),ISNUMBER(SEARCH(";",$C455))),"Multiple assignees",IF(COUNTIF('Team Setup'!$B$10:$B$34,$C455)=1,"Matched","Unmatched")))))</x:f>
      </x:c>
      <x:c r="G455" s="13" t="str">
        <x:f>IF($A455="","",IF($D455&lt;&gt;'Team Setup'!$B$4,"Other sprint",IF($E455="","Unestimated",IF(NOT(ISNUMBER($E455)),"Check estimate in hours",IF($E455&lt;0,"Check estimate in hours",IF($E455=0,"Unestimated","Estimated"))))))</x:f>
      </x:c>
    </x:row>
    <x:row r="456">
      <x:c r="A456" s="12"/>
      <x:c r="B456" s="12"/>
      <x:c r="C456" s="12"/>
      <x:c r="D456" s="12"/>
      <x:c r="E456" s="14"/>
      <x:c r="F456" s="13" t="str">
        <x:f>IF($A456="","",IF($D456&lt;&gt;'Team Setup'!$B$4,"Other sprint",IF($C456="","Unassigned",IF(OR(ISNUMBER(SEARCH(",",$C456)),ISNUMBER(SEARCH(";",$C456))),"Multiple assignees",IF(COUNTIF('Team Setup'!$B$10:$B$34,$C456)=1,"Matched","Unmatched")))))</x:f>
      </x:c>
      <x:c r="G456" s="13" t="str">
        <x:f>IF($A456="","",IF($D456&lt;&gt;'Team Setup'!$B$4,"Other sprint",IF($E456="","Unestimated",IF(NOT(ISNUMBER($E456)),"Check estimate in hours",IF($E456&lt;0,"Check estimate in hours",IF($E456=0,"Unestimated","Estimated"))))))</x:f>
      </x:c>
    </x:row>
    <x:row r="457">
      <x:c r="A457" s="12"/>
      <x:c r="B457" s="12"/>
      <x:c r="C457" s="12"/>
      <x:c r="D457" s="12"/>
      <x:c r="E457" s="14"/>
      <x:c r="F457" s="13" t="str">
        <x:f>IF($A457="","",IF($D457&lt;&gt;'Team Setup'!$B$4,"Other sprint",IF($C457="","Unassigned",IF(OR(ISNUMBER(SEARCH(",",$C457)),ISNUMBER(SEARCH(";",$C457))),"Multiple assignees",IF(COUNTIF('Team Setup'!$B$10:$B$34,$C457)=1,"Matched","Unmatched")))))</x:f>
      </x:c>
      <x:c r="G457" s="13" t="str">
        <x:f>IF($A457="","",IF($D457&lt;&gt;'Team Setup'!$B$4,"Other sprint",IF($E457="","Unestimated",IF(NOT(ISNUMBER($E457)),"Check estimate in hours",IF($E457&lt;0,"Check estimate in hours",IF($E457=0,"Unestimated","Estimated"))))))</x:f>
      </x:c>
    </x:row>
    <x:row r="458">
      <x:c r="A458" s="12"/>
      <x:c r="B458" s="12"/>
      <x:c r="C458" s="12"/>
      <x:c r="D458" s="12"/>
      <x:c r="E458" s="14"/>
      <x:c r="F458" s="13" t="str">
        <x:f>IF($A458="","",IF($D458&lt;&gt;'Team Setup'!$B$4,"Other sprint",IF($C458="","Unassigned",IF(OR(ISNUMBER(SEARCH(",",$C458)),ISNUMBER(SEARCH(";",$C458))),"Multiple assignees",IF(COUNTIF('Team Setup'!$B$10:$B$34,$C458)=1,"Matched","Unmatched")))))</x:f>
      </x:c>
      <x:c r="G458" s="13" t="str">
        <x:f>IF($A458="","",IF($D458&lt;&gt;'Team Setup'!$B$4,"Other sprint",IF($E458="","Unestimated",IF(NOT(ISNUMBER($E458)),"Check estimate in hours",IF($E458&lt;0,"Check estimate in hours",IF($E458=0,"Unestimated","Estimated"))))))</x:f>
      </x:c>
    </x:row>
    <x:row r="459">
      <x:c r="A459" s="12"/>
      <x:c r="B459" s="12"/>
      <x:c r="C459" s="12"/>
      <x:c r="D459" s="12"/>
      <x:c r="E459" s="14"/>
      <x:c r="F459" s="13" t="str">
        <x:f>IF($A459="","",IF($D459&lt;&gt;'Team Setup'!$B$4,"Other sprint",IF($C459="","Unassigned",IF(OR(ISNUMBER(SEARCH(",",$C459)),ISNUMBER(SEARCH(";",$C459))),"Multiple assignees",IF(COUNTIF('Team Setup'!$B$10:$B$34,$C459)=1,"Matched","Unmatched")))))</x:f>
      </x:c>
      <x:c r="G459" s="13" t="str">
        <x:f>IF($A459="","",IF($D459&lt;&gt;'Team Setup'!$B$4,"Other sprint",IF($E459="","Unestimated",IF(NOT(ISNUMBER($E459)),"Check estimate in hours",IF($E459&lt;0,"Check estimate in hours",IF($E459=0,"Unestimated","Estimated"))))))</x:f>
      </x:c>
    </x:row>
    <x:row r="460">
      <x:c r="A460" s="12"/>
      <x:c r="B460" s="12"/>
      <x:c r="C460" s="12"/>
      <x:c r="D460" s="12"/>
      <x:c r="E460" s="14"/>
      <x:c r="F460" s="13" t="str">
        <x:f>IF($A460="","",IF($D460&lt;&gt;'Team Setup'!$B$4,"Other sprint",IF($C460="","Unassigned",IF(OR(ISNUMBER(SEARCH(",",$C460)),ISNUMBER(SEARCH(";",$C460))),"Multiple assignees",IF(COUNTIF('Team Setup'!$B$10:$B$34,$C460)=1,"Matched","Unmatched")))))</x:f>
      </x:c>
      <x:c r="G460" s="13" t="str">
        <x:f>IF($A460="","",IF($D460&lt;&gt;'Team Setup'!$B$4,"Other sprint",IF($E460="","Unestimated",IF(NOT(ISNUMBER($E460)),"Check estimate in hours",IF($E460&lt;0,"Check estimate in hours",IF($E460=0,"Unestimated","Estimated"))))))</x:f>
      </x:c>
    </x:row>
    <x:row r="461">
      <x:c r="A461" s="12"/>
      <x:c r="B461" s="12"/>
      <x:c r="C461" s="12"/>
      <x:c r="D461" s="12"/>
      <x:c r="E461" s="14"/>
      <x:c r="F461" s="13" t="str">
        <x:f>IF($A461="","",IF($D461&lt;&gt;'Team Setup'!$B$4,"Other sprint",IF($C461="","Unassigned",IF(OR(ISNUMBER(SEARCH(",",$C461)),ISNUMBER(SEARCH(";",$C461))),"Multiple assignees",IF(COUNTIF('Team Setup'!$B$10:$B$34,$C461)=1,"Matched","Unmatched")))))</x:f>
      </x:c>
      <x:c r="G461" s="13" t="str">
        <x:f>IF($A461="","",IF($D461&lt;&gt;'Team Setup'!$B$4,"Other sprint",IF($E461="","Unestimated",IF(NOT(ISNUMBER($E461)),"Check estimate in hours",IF($E461&lt;0,"Check estimate in hours",IF($E461=0,"Unestimated","Estimated"))))))</x:f>
      </x:c>
    </x:row>
    <x:row r="462">
      <x:c r="A462" s="12"/>
      <x:c r="B462" s="12"/>
      <x:c r="C462" s="12"/>
      <x:c r="D462" s="12"/>
      <x:c r="E462" s="14"/>
      <x:c r="F462" s="13" t="str">
        <x:f>IF($A462="","",IF($D462&lt;&gt;'Team Setup'!$B$4,"Other sprint",IF($C462="","Unassigned",IF(OR(ISNUMBER(SEARCH(",",$C462)),ISNUMBER(SEARCH(";",$C462))),"Multiple assignees",IF(COUNTIF('Team Setup'!$B$10:$B$34,$C462)=1,"Matched","Unmatched")))))</x:f>
      </x:c>
      <x:c r="G462" s="13" t="str">
        <x:f>IF($A462="","",IF($D462&lt;&gt;'Team Setup'!$B$4,"Other sprint",IF($E462="","Unestimated",IF(NOT(ISNUMBER($E462)),"Check estimate in hours",IF($E462&lt;0,"Check estimate in hours",IF($E462=0,"Unestimated","Estimated"))))))</x:f>
      </x:c>
    </x:row>
    <x:row r="463">
      <x:c r="A463" s="12"/>
      <x:c r="B463" s="12"/>
      <x:c r="C463" s="12"/>
      <x:c r="D463" s="12"/>
      <x:c r="E463" s="14"/>
      <x:c r="F463" s="13" t="str">
        <x:f>IF($A463="","",IF($D463&lt;&gt;'Team Setup'!$B$4,"Other sprint",IF($C463="","Unassigned",IF(OR(ISNUMBER(SEARCH(",",$C463)),ISNUMBER(SEARCH(";",$C463))),"Multiple assignees",IF(COUNTIF('Team Setup'!$B$10:$B$34,$C463)=1,"Matched","Unmatched")))))</x:f>
      </x:c>
      <x:c r="G463" s="13" t="str">
        <x:f>IF($A463="","",IF($D463&lt;&gt;'Team Setup'!$B$4,"Other sprint",IF($E463="","Unestimated",IF(NOT(ISNUMBER($E463)),"Check estimate in hours",IF($E463&lt;0,"Check estimate in hours",IF($E463=0,"Unestimated","Estimated"))))))</x:f>
      </x:c>
    </x:row>
    <x:row r="464">
      <x:c r="A464" s="12"/>
      <x:c r="B464" s="12"/>
      <x:c r="C464" s="12"/>
      <x:c r="D464" s="12"/>
      <x:c r="E464" s="14"/>
      <x:c r="F464" s="13" t="str">
        <x:f>IF($A464="","",IF($D464&lt;&gt;'Team Setup'!$B$4,"Other sprint",IF($C464="","Unassigned",IF(OR(ISNUMBER(SEARCH(",",$C464)),ISNUMBER(SEARCH(";",$C464))),"Multiple assignees",IF(COUNTIF('Team Setup'!$B$10:$B$34,$C464)=1,"Matched","Unmatched")))))</x:f>
      </x:c>
      <x:c r="G464" s="13" t="str">
        <x:f>IF($A464="","",IF($D464&lt;&gt;'Team Setup'!$B$4,"Other sprint",IF($E464="","Unestimated",IF(NOT(ISNUMBER($E464)),"Check estimate in hours",IF($E464&lt;0,"Check estimate in hours",IF($E464=0,"Unestimated","Estimated"))))))</x:f>
      </x:c>
    </x:row>
    <x:row r="465">
      <x:c r="A465" s="12"/>
      <x:c r="B465" s="12"/>
      <x:c r="C465" s="12"/>
      <x:c r="D465" s="12"/>
      <x:c r="E465" s="14"/>
      <x:c r="F465" s="13" t="str">
        <x:f>IF($A465="","",IF($D465&lt;&gt;'Team Setup'!$B$4,"Other sprint",IF($C465="","Unassigned",IF(OR(ISNUMBER(SEARCH(",",$C465)),ISNUMBER(SEARCH(";",$C465))),"Multiple assignees",IF(COUNTIF('Team Setup'!$B$10:$B$34,$C465)=1,"Matched","Unmatched")))))</x:f>
      </x:c>
      <x:c r="G465" s="13" t="str">
        <x:f>IF($A465="","",IF($D465&lt;&gt;'Team Setup'!$B$4,"Other sprint",IF($E465="","Unestimated",IF(NOT(ISNUMBER($E465)),"Check estimate in hours",IF($E465&lt;0,"Check estimate in hours",IF($E465=0,"Unestimated","Estimated"))))))</x:f>
      </x:c>
    </x:row>
    <x:row r="466">
      <x:c r="A466" s="12"/>
      <x:c r="B466" s="12"/>
      <x:c r="C466" s="12"/>
      <x:c r="D466" s="12"/>
      <x:c r="E466" s="14"/>
      <x:c r="F466" s="13" t="str">
        <x:f>IF($A466="","",IF($D466&lt;&gt;'Team Setup'!$B$4,"Other sprint",IF($C466="","Unassigned",IF(OR(ISNUMBER(SEARCH(",",$C466)),ISNUMBER(SEARCH(";",$C466))),"Multiple assignees",IF(COUNTIF('Team Setup'!$B$10:$B$34,$C466)=1,"Matched","Unmatched")))))</x:f>
      </x:c>
      <x:c r="G466" s="13" t="str">
        <x:f>IF($A466="","",IF($D466&lt;&gt;'Team Setup'!$B$4,"Other sprint",IF($E466="","Unestimated",IF(NOT(ISNUMBER($E466)),"Check estimate in hours",IF($E466&lt;0,"Check estimate in hours",IF($E466=0,"Unestimated","Estimated"))))))</x:f>
      </x:c>
    </x:row>
    <x:row r="467">
      <x:c r="A467" s="12"/>
      <x:c r="B467" s="12"/>
      <x:c r="C467" s="12"/>
      <x:c r="D467" s="12"/>
      <x:c r="E467" s="14"/>
      <x:c r="F467" s="13" t="str">
        <x:f>IF($A467="","",IF($D467&lt;&gt;'Team Setup'!$B$4,"Other sprint",IF($C467="","Unassigned",IF(OR(ISNUMBER(SEARCH(",",$C467)),ISNUMBER(SEARCH(";",$C467))),"Multiple assignees",IF(COUNTIF('Team Setup'!$B$10:$B$34,$C467)=1,"Matched","Unmatched")))))</x:f>
      </x:c>
      <x:c r="G467" s="13" t="str">
        <x:f>IF($A467="","",IF($D467&lt;&gt;'Team Setup'!$B$4,"Other sprint",IF($E467="","Unestimated",IF(NOT(ISNUMBER($E467)),"Check estimate in hours",IF($E467&lt;0,"Check estimate in hours",IF($E467=0,"Unestimated","Estimated"))))))</x:f>
      </x:c>
    </x:row>
    <x:row r="468">
      <x:c r="A468" s="12"/>
      <x:c r="B468" s="12"/>
      <x:c r="C468" s="12"/>
      <x:c r="D468" s="12"/>
      <x:c r="E468" s="14"/>
      <x:c r="F468" s="13" t="str">
        <x:f>IF($A468="","",IF($D468&lt;&gt;'Team Setup'!$B$4,"Other sprint",IF($C468="","Unassigned",IF(OR(ISNUMBER(SEARCH(",",$C468)),ISNUMBER(SEARCH(";",$C468))),"Multiple assignees",IF(COUNTIF('Team Setup'!$B$10:$B$34,$C468)=1,"Matched","Unmatched")))))</x:f>
      </x:c>
      <x:c r="G468" s="13" t="str">
        <x:f>IF($A468="","",IF($D468&lt;&gt;'Team Setup'!$B$4,"Other sprint",IF($E468="","Unestimated",IF(NOT(ISNUMBER($E468)),"Check estimate in hours",IF($E468&lt;0,"Check estimate in hours",IF($E468=0,"Unestimated","Estimated"))))))</x:f>
      </x:c>
    </x:row>
    <x:row r="469">
      <x:c r="A469" s="12"/>
      <x:c r="B469" s="12"/>
      <x:c r="C469" s="12"/>
      <x:c r="D469" s="12"/>
      <x:c r="E469" s="14"/>
      <x:c r="F469" s="13" t="str">
        <x:f>IF($A469="","",IF($D469&lt;&gt;'Team Setup'!$B$4,"Other sprint",IF($C469="","Unassigned",IF(OR(ISNUMBER(SEARCH(",",$C469)),ISNUMBER(SEARCH(";",$C469))),"Multiple assignees",IF(COUNTIF('Team Setup'!$B$10:$B$34,$C469)=1,"Matched","Unmatched")))))</x:f>
      </x:c>
      <x:c r="G469" s="13" t="str">
        <x:f>IF($A469="","",IF($D469&lt;&gt;'Team Setup'!$B$4,"Other sprint",IF($E469="","Unestimated",IF(NOT(ISNUMBER($E469)),"Check estimate in hours",IF($E469&lt;0,"Check estimate in hours",IF($E469=0,"Unestimated","Estimated"))))))</x:f>
      </x:c>
    </x:row>
    <x:row r="470">
      <x:c r="A470" s="12"/>
      <x:c r="B470" s="12"/>
      <x:c r="C470" s="12"/>
      <x:c r="D470" s="12"/>
      <x:c r="E470" s="14"/>
      <x:c r="F470" s="13" t="str">
        <x:f>IF($A470="","",IF($D470&lt;&gt;'Team Setup'!$B$4,"Other sprint",IF($C470="","Unassigned",IF(OR(ISNUMBER(SEARCH(",",$C470)),ISNUMBER(SEARCH(";",$C470))),"Multiple assignees",IF(COUNTIF('Team Setup'!$B$10:$B$34,$C470)=1,"Matched","Unmatched")))))</x:f>
      </x:c>
      <x:c r="G470" s="13" t="str">
        <x:f>IF($A470="","",IF($D470&lt;&gt;'Team Setup'!$B$4,"Other sprint",IF($E470="","Unestimated",IF(NOT(ISNUMBER($E470)),"Check estimate in hours",IF($E470&lt;0,"Check estimate in hours",IF($E470=0,"Unestimated","Estimated"))))))</x:f>
      </x:c>
    </x:row>
    <x:row r="471">
      <x:c r="A471" s="12"/>
      <x:c r="B471" s="12"/>
      <x:c r="C471" s="12"/>
      <x:c r="D471" s="12"/>
      <x:c r="E471" s="14"/>
      <x:c r="F471" s="13" t="str">
        <x:f>IF($A471="","",IF($D471&lt;&gt;'Team Setup'!$B$4,"Other sprint",IF($C471="","Unassigned",IF(OR(ISNUMBER(SEARCH(",",$C471)),ISNUMBER(SEARCH(";",$C471))),"Multiple assignees",IF(COUNTIF('Team Setup'!$B$10:$B$34,$C471)=1,"Matched","Unmatched")))))</x:f>
      </x:c>
      <x:c r="G471" s="13" t="str">
        <x:f>IF($A471="","",IF($D471&lt;&gt;'Team Setup'!$B$4,"Other sprint",IF($E471="","Unestimated",IF(NOT(ISNUMBER($E471)),"Check estimate in hours",IF($E471&lt;0,"Check estimate in hours",IF($E471=0,"Unestimated","Estimated"))))))</x:f>
      </x:c>
    </x:row>
    <x:row r="472">
      <x:c r="A472" s="12"/>
      <x:c r="B472" s="12"/>
      <x:c r="C472" s="12"/>
      <x:c r="D472" s="12"/>
      <x:c r="E472" s="14"/>
      <x:c r="F472" s="13" t="str">
        <x:f>IF($A472="","",IF($D472&lt;&gt;'Team Setup'!$B$4,"Other sprint",IF($C472="","Unassigned",IF(OR(ISNUMBER(SEARCH(",",$C472)),ISNUMBER(SEARCH(";",$C472))),"Multiple assignees",IF(COUNTIF('Team Setup'!$B$10:$B$34,$C472)=1,"Matched","Unmatched")))))</x:f>
      </x:c>
      <x:c r="G472" s="13" t="str">
        <x:f>IF($A472="","",IF($D472&lt;&gt;'Team Setup'!$B$4,"Other sprint",IF($E472="","Unestimated",IF(NOT(ISNUMBER($E472)),"Check estimate in hours",IF($E472&lt;0,"Check estimate in hours",IF($E472=0,"Unestimated","Estimated"))))))</x:f>
      </x:c>
    </x:row>
    <x:row r="473">
      <x:c r="A473" s="12"/>
      <x:c r="B473" s="12"/>
      <x:c r="C473" s="12"/>
      <x:c r="D473" s="12"/>
      <x:c r="E473" s="14"/>
      <x:c r="F473" s="13" t="str">
        <x:f>IF($A473="","",IF($D473&lt;&gt;'Team Setup'!$B$4,"Other sprint",IF($C473="","Unassigned",IF(OR(ISNUMBER(SEARCH(",",$C473)),ISNUMBER(SEARCH(";",$C473))),"Multiple assignees",IF(COUNTIF('Team Setup'!$B$10:$B$34,$C473)=1,"Matched","Unmatched")))))</x:f>
      </x:c>
      <x:c r="G473" s="13" t="str">
        <x:f>IF($A473="","",IF($D473&lt;&gt;'Team Setup'!$B$4,"Other sprint",IF($E473="","Unestimated",IF(NOT(ISNUMBER($E473)),"Check estimate in hours",IF($E473&lt;0,"Check estimate in hours",IF($E473=0,"Unestimated","Estimated"))))))</x:f>
      </x:c>
    </x:row>
    <x:row r="474">
      <x:c r="A474" s="12"/>
      <x:c r="B474" s="12"/>
      <x:c r="C474" s="12"/>
      <x:c r="D474" s="12"/>
      <x:c r="E474" s="14"/>
      <x:c r="F474" s="13" t="str">
        <x:f>IF($A474="","",IF($D474&lt;&gt;'Team Setup'!$B$4,"Other sprint",IF($C474="","Unassigned",IF(OR(ISNUMBER(SEARCH(",",$C474)),ISNUMBER(SEARCH(";",$C474))),"Multiple assignees",IF(COUNTIF('Team Setup'!$B$10:$B$34,$C474)=1,"Matched","Unmatched")))))</x:f>
      </x:c>
      <x:c r="G474" s="13" t="str">
        <x:f>IF($A474="","",IF($D474&lt;&gt;'Team Setup'!$B$4,"Other sprint",IF($E474="","Unestimated",IF(NOT(ISNUMBER($E474)),"Check estimate in hours",IF($E474&lt;0,"Check estimate in hours",IF($E474=0,"Unestimated","Estimated"))))))</x:f>
      </x:c>
    </x:row>
    <x:row r="475">
      <x:c r="A475" s="12"/>
      <x:c r="B475" s="12"/>
      <x:c r="C475" s="12"/>
      <x:c r="D475" s="12"/>
      <x:c r="E475" s="14"/>
      <x:c r="F475" s="13" t="str">
        <x:f>IF($A475="","",IF($D475&lt;&gt;'Team Setup'!$B$4,"Other sprint",IF($C475="","Unassigned",IF(OR(ISNUMBER(SEARCH(",",$C475)),ISNUMBER(SEARCH(";",$C475))),"Multiple assignees",IF(COUNTIF('Team Setup'!$B$10:$B$34,$C475)=1,"Matched","Unmatched")))))</x:f>
      </x:c>
      <x:c r="G475" s="13" t="str">
        <x:f>IF($A475="","",IF($D475&lt;&gt;'Team Setup'!$B$4,"Other sprint",IF($E475="","Unestimated",IF(NOT(ISNUMBER($E475)),"Check estimate in hours",IF($E475&lt;0,"Check estimate in hours",IF($E475=0,"Unestimated","Estimated"))))))</x:f>
      </x:c>
    </x:row>
    <x:row r="476">
      <x:c r="A476" s="12"/>
      <x:c r="B476" s="12"/>
      <x:c r="C476" s="12"/>
      <x:c r="D476" s="12"/>
      <x:c r="E476" s="14"/>
      <x:c r="F476" s="13" t="str">
        <x:f>IF($A476="","",IF($D476&lt;&gt;'Team Setup'!$B$4,"Other sprint",IF($C476="","Unassigned",IF(OR(ISNUMBER(SEARCH(",",$C476)),ISNUMBER(SEARCH(";",$C476))),"Multiple assignees",IF(COUNTIF('Team Setup'!$B$10:$B$34,$C476)=1,"Matched","Unmatched")))))</x:f>
      </x:c>
      <x:c r="G476" s="13" t="str">
        <x:f>IF($A476="","",IF($D476&lt;&gt;'Team Setup'!$B$4,"Other sprint",IF($E476="","Unestimated",IF(NOT(ISNUMBER($E476)),"Check estimate in hours",IF($E476&lt;0,"Check estimate in hours",IF($E476=0,"Unestimated","Estimated"))))))</x:f>
      </x:c>
    </x:row>
    <x:row r="477">
      <x:c r="A477" s="12"/>
      <x:c r="B477" s="12"/>
      <x:c r="C477" s="12"/>
      <x:c r="D477" s="12"/>
      <x:c r="E477" s="14"/>
      <x:c r="F477" s="13" t="str">
        <x:f>IF($A477="","",IF($D477&lt;&gt;'Team Setup'!$B$4,"Other sprint",IF($C477="","Unassigned",IF(OR(ISNUMBER(SEARCH(",",$C477)),ISNUMBER(SEARCH(";",$C477))),"Multiple assignees",IF(COUNTIF('Team Setup'!$B$10:$B$34,$C477)=1,"Matched","Unmatched")))))</x:f>
      </x:c>
      <x:c r="G477" s="13" t="str">
        <x:f>IF($A477="","",IF($D477&lt;&gt;'Team Setup'!$B$4,"Other sprint",IF($E477="","Unestimated",IF(NOT(ISNUMBER($E477)),"Check estimate in hours",IF($E477&lt;0,"Check estimate in hours",IF($E477=0,"Unestimated","Estimated"))))))</x:f>
      </x:c>
    </x:row>
    <x:row r="478">
      <x:c r="A478" s="12"/>
      <x:c r="B478" s="12"/>
      <x:c r="C478" s="12"/>
      <x:c r="D478" s="12"/>
      <x:c r="E478" s="14"/>
      <x:c r="F478" s="13" t="str">
        <x:f>IF($A478="","",IF($D478&lt;&gt;'Team Setup'!$B$4,"Other sprint",IF($C478="","Unassigned",IF(OR(ISNUMBER(SEARCH(",",$C478)),ISNUMBER(SEARCH(";",$C478))),"Multiple assignees",IF(COUNTIF('Team Setup'!$B$10:$B$34,$C478)=1,"Matched","Unmatched")))))</x:f>
      </x:c>
      <x:c r="G478" s="13" t="str">
        <x:f>IF($A478="","",IF($D478&lt;&gt;'Team Setup'!$B$4,"Other sprint",IF($E478="","Unestimated",IF(NOT(ISNUMBER($E478)),"Check estimate in hours",IF($E478&lt;0,"Check estimate in hours",IF($E478=0,"Unestimated","Estimated"))))))</x:f>
      </x:c>
    </x:row>
    <x:row r="479">
      <x:c r="A479" s="12"/>
      <x:c r="B479" s="12"/>
      <x:c r="C479" s="12"/>
      <x:c r="D479" s="12"/>
      <x:c r="E479" s="14"/>
      <x:c r="F479" s="13" t="str">
        <x:f>IF($A479="","",IF($D479&lt;&gt;'Team Setup'!$B$4,"Other sprint",IF($C479="","Unassigned",IF(OR(ISNUMBER(SEARCH(",",$C479)),ISNUMBER(SEARCH(";",$C479))),"Multiple assignees",IF(COUNTIF('Team Setup'!$B$10:$B$34,$C479)=1,"Matched","Unmatched")))))</x:f>
      </x:c>
      <x:c r="G479" s="13" t="str">
        <x:f>IF($A479="","",IF($D479&lt;&gt;'Team Setup'!$B$4,"Other sprint",IF($E479="","Unestimated",IF(NOT(ISNUMBER($E479)),"Check estimate in hours",IF($E479&lt;0,"Check estimate in hours",IF($E479=0,"Unestimated","Estimated"))))))</x:f>
      </x:c>
    </x:row>
    <x:row r="480">
      <x:c r="A480" s="12"/>
      <x:c r="B480" s="12"/>
      <x:c r="C480" s="12"/>
      <x:c r="D480" s="12"/>
      <x:c r="E480" s="14"/>
      <x:c r="F480" s="13" t="str">
        <x:f>IF($A480="","",IF($D480&lt;&gt;'Team Setup'!$B$4,"Other sprint",IF($C480="","Unassigned",IF(OR(ISNUMBER(SEARCH(",",$C480)),ISNUMBER(SEARCH(";",$C480))),"Multiple assignees",IF(COUNTIF('Team Setup'!$B$10:$B$34,$C480)=1,"Matched","Unmatched")))))</x:f>
      </x:c>
      <x:c r="G480" s="13" t="str">
        <x:f>IF($A480="","",IF($D480&lt;&gt;'Team Setup'!$B$4,"Other sprint",IF($E480="","Unestimated",IF(NOT(ISNUMBER($E480)),"Check estimate in hours",IF($E480&lt;0,"Check estimate in hours",IF($E480=0,"Unestimated","Estimated"))))))</x:f>
      </x:c>
    </x:row>
    <x:row r="481">
      <x:c r="A481" s="12"/>
      <x:c r="B481" s="12"/>
      <x:c r="C481" s="12"/>
      <x:c r="D481" s="12"/>
      <x:c r="E481" s="14"/>
      <x:c r="F481" s="13" t="str">
        <x:f>IF($A481="","",IF($D481&lt;&gt;'Team Setup'!$B$4,"Other sprint",IF($C481="","Unassigned",IF(OR(ISNUMBER(SEARCH(",",$C481)),ISNUMBER(SEARCH(";",$C481))),"Multiple assignees",IF(COUNTIF('Team Setup'!$B$10:$B$34,$C481)=1,"Matched","Unmatched")))))</x:f>
      </x:c>
      <x:c r="G481" s="13" t="str">
        <x:f>IF($A481="","",IF($D481&lt;&gt;'Team Setup'!$B$4,"Other sprint",IF($E481="","Unestimated",IF(NOT(ISNUMBER($E481)),"Check estimate in hours",IF($E481&lt;0,"Check estimate in hours",IF($E481=0,"Unestimated","Estimated"))))))</x:f>
      </x:c>
    </x:row>
    <x:row r="482">
      <x:c r="A482" s="12"/>
      <x:c r="B482" s="12"/>
      <x:c r="C482" s="12"/>
      <x:c r="D482" s="12"/>
      <x:c r="E482" s="14"/>
      <x:c r="F482" s="13" t="str">
        <x:f>IF($A482="","",IF($D482&lt;&gt;'Team Setup'!$B$4,"Other sprint",IF($C482="","Unassigned",IF(OR(ISNUMBER(SEARCH(",",$C482)),ISNUMBER(SEARCH(";",$C482))),"Multiple assignees",IF(COUNTIF('Team Setup'!$B$10:$B$34,$C482)=1,"Matched","Unmatched")))))</x:f>
      </x:c>
      <x:c r="G482" s="13" t="str">
        <x:f>IF($A482="","",IF($D482&lt;&gt;'Team Setup'!$B$4,"Other sprint",IF($E482="","Unestimated",IF(NOT(ISNUMBER($E482)),"Check estimate in hours",IF($E482&lt;0,"Check estimate in hours",IF($E482=0,"Unestimated","Estimated"))))))</x:f>
      </x:c>
    </x:row>
    <x:row r="483">
      <x:c r="A483" s="12"/>
      <x:c r="B483" s="12"/>
      <x:c r="C483" s="12"/>
      <x:c r="D483" s="12"/>
      <x:c r="E483" s="14"/>
      <x:c r="F483" s="13" t="str">
        <x:f>IF($A483="","",IF($D483&lt;&gt;'Team Setup'!$B$4,"Other sprint",IF($C483="","Unassigned",IF(OR(ISNUMBER(SEARCH(",",$C483)),ISNUMBER(SEARCH(";",$C483))),"Multiple assignees",IF(COUNTIF('Team Setup'!$B$10:$B$34,$C483)=1,"Matched","Unmatched")))))</x:f>
      </x:c>
      <x:c r="G483" s="13" t="str">
        <x:f>IF($A483="","",IF($D483&lt;&gt;'Team Setup'!$B$4,"Other sprint",IF($E483="","Unestimated",IF(NOT(ISNUMBER($E483)),"Check estimate in hours",IF($E483&lt;0,"Check estimate in hours",IF($E483=0,"Unestimated","Estimated"))))))</x:f>
      </x:c>
    </x:row>
    <x:row r="484">
      <x:c r="A484" s="12"/>
      <x:c r="B484" s="12"/>
      <x:c r="C484" s="12"/>
      <x:c r="D484" s="12"/>
      <x:c r="E484" s="14"/>
      <x:c r="F484" s="13" t="str">
        <x:f>IF($A484="","",IF($D484&lt;&gt;'Team Setup'!$B$4,"Other sprint",IF($C484="","Unassigned",IF(OR(ISNUMBER(SEARCH(",",$C484)),ISNUMBER(SEARCH(";",$C484))),"Multiple assignees",IF(COUNTIF('Team Setup'!$B$10:$B$34,$C484)=1,"Matched","Unmatched")))))</x:f>
      </x:c>
      <x:c r="G484" s="13" t="str">
        <x:f>IF($A484="","",IF($D484&lt;&gt;'Team Setup'!$B$4,"Other sprint",IF($E484="","Unestimated",IF(NOT(ISNUMBER($E484)),"Check estimate in hours",IF($E484&lt;0,"Check estimate in hours",IF($E484=0,"Unestimated","Estimated"))))))</x:f>
      </x:c>
    </x:row>
    <x:row r="485">
      <x:c r="A485" s="12"/>
      <x:c r="B485" s="12"/>
      <x:c r="C485" s="12"/>
      <x:c r="D485" s="12"/>
      <x:c r="E485" s="14"/>
      <x:c r="F485" s="13" t="str">
        <x:f>IF($A485="","",IF($D485&lt;&gt;'Team Setup'!$B$4,"Other sprint",IF($C485="","Unassigned",IF(OR(ISNUMBER(SEARCH(",",$C485)),ISNUMBER(SEARCH(";",$C485))),"Multiple assignees",IF(COUNTIF('Team Setup'!$B$10:$B$34,$C485)=1,"Matched","Unmatched")))))</x:f>
      </x:c>
      <x:c r="G485" s="13" t="str">
        <x:f>IF($A485="","",IF($D485&lt;&gt;'Team Setup'!$B$4,"Other sprint",IF($E485="","Unestimated",IF(NOT(ISNUMBER($E485)),"Check estimate in hours",IF($E485&lt;0,"Check estimate in hours",IF($E485=0,"Unestimated","Estimated"))))))</x:f>
      </x:c>
    </x:row>
    <x:row r="486">
      <x:c r="A486" s="12"/>
      <x:c r="B486" s="12"/>
      <x:c r="C486" s="12"/>
      <x:c r="D486" s="12"/>
      <x:c r="E486" s="14"/>
      <x:c r="F486" s="13" t="str">
        <x:f>IF($A486="","",IF($D486&lt;&gt;'Team Setup'!$B$4,"Other sprint",IF($C486="","Unassigned",IF(OR(ISNUMBER(SEARCH(",",$C486)),ISNUMBER(SEARCH(";",$C486))),"Multiple assignees",IF(COUNTIF('Team Setup'!$B$10:$B$34,$C486)=1,"Matched","Unmatched")))))</x:f>
      </x:c>
      <x:c r="G486" s="13" t="str">
        <x:f>IF($A486="","",IF($D486&lt;&gt;'Team Setup'!$B$4,"Other sprint",IF($E486="","Unestimated",IF(NOT(ISNUMBER($E486)),"Check estimate in hours",IF($E486&lt;0,"Check estimate in hours",IF($E486=0,"Unestimated","Estimated"))))))</x:f>
      </x:c>
    </x:row>
    <x:row r="487">
      <x:c r="A487" s="12"/>
      <x:c r="B487" s="12"/>
      <x:c r="C487" s="12"/>
      <x:c r="D487" s="12"/>
      <x:c r="E487" s="14"/>
      <x:c r="F487" s="13" t="str">
        <x:f>IF($A487="","",IF($D487&lt;&gt;'Team Setup'!$B$4,"Other sprint",IF($C487="","Unassigned",IF(OR(ISNUMBER(SEARCH(",",$C487)),ISNUMBER(SEARCH(";",$C487))),"Multiple assignees",IF(COUNTIF('Team Setup'!$B$10:$B$34,$C487)=1,"Matched","Unmatched")))))</x:f>
      </x:c>
      <x:c r="G487" s="13" t="str">
        <x:f>IF($A487="","",IF($D487&lt;&gt;'Team Setup'!$B$4,"Other sprint",IF($E487="","Unestimated",IF(NOT(ISNUMBER($E487)),"Check estimate in hours",IF($E487&lt;0,"Check estimate in hours",IF($E487=0,"Unestimated","Estimated"))))))</x:f>
      </x:c>
    </x:row>
    <x:row r="488">
      <x:c r="A488" s="12"/>
      <x:c r="B488" s="12"/>
      <x:c r="C488" s="12"/>
      <x:c r="D488" s="12"/>
      <x:c r="E488" s="14"/>
      <x:c r="F488" s="13" t="str">
        <x:f>IF($A488="","",IF($D488&lt;&gt;'Team Setup'!$B$4,"Other sprint",IF($C488="","Unassigned",IF(OR(ISNUMBER(SEARCH(",",$C488)),ISNUMBER(SEARCH(";",$C488))),"Multiple assignees",IF(COUNTIF('Team Setup'!$B$10:$B$34,$C488)=1,"Matched","Unmatched")))))</x:f>
      </x:c>
      <x:c r="G488" s="13" t="str">
        <x:f>IF($A488="","",IF($D488&lt;&gt;'Team Setup'!$B$4,"Other sprint",IF($E488="","Unestimated",IF(NOT(ISNUMBER($E488)),"Check estimate in hours",IF($E488&lt;0,"Check estimate in hours",IF($E488=0,"Unestimated","Estimated"))))))</x:f>
      </x:c>
    </x:row>
    <x:row r="489">
      <x:c r="A489" s="12"/>
      <x:c r="B489" s="12"/>
      <x:c r="C489" s="12"/>
      <x:c r="D489" s="12"/>
      <x:c r="E489" s="14"/>
      <x:c r="F489" s="13" t="str">
        <x:f>IF($A489="","",IF($D489&lt;&gt;'Team Setup'!$B$4,"Other sprint",IF($C489="","Unassigned",IF(OR(ISNUMBER(SEARCH(",",$C489)),ISNUMBER(SEARCH(";",$C489))),"Multiple assignees",IF(COUNTIF('Team Setup'!$B$10:$B$34,$C489)=1,"Matched","Unmatched")))))</x:f>
      </x:c>
      <x:c r="G489" s="13" t="str">
        <x:f>IF($A489="","",IF($D489&lt;&gt;'Team Setup'!$B$4,"Other sprint",IF($E489="","Unestimated",IF(NOT(ISNUMBER($E489)),"Check estimate in hours",IF($E489&lt;0,"Check estimate in hours",IF($E489=0,"Unestimated","Estimated"))))))</x:f>
      </x:c>
    </x:row>
    <x:row r="490">
      <x:c r="A490" s="12"/>
      <x:c r="B490" s="12"/>
      <x:c r="C490" s="12"/>
      <x:c r="D490" s="12"/>
      <x:c r="E490" s="14"/>
      <x:c r="F490" s="13" t="str">
        <x:f>IF($A490="","",IF($D490&lt;&gt;'Team Setup'!$B$4,"Other sprint",IF($C490="","Unassigned",IF(OR(ISNUMBER(SEARCH(",",$C490)),ISNUMBER(SEARCH(";",$C490))),"Multiple assignees",IF(COUNTIF('Team Setup'!$B$10:$B$34,$C490)=1,"Matched","Unmatched")))))</x:f>
      </x:c>
      <x:c r="G490" s="13" t="str">
        <x:f>IF($A490="","",IF($D490&lt;&gt;'Team Setup'!$B$4,"Other sprint",IF($E490="","Unestimated",IF(NOT(ISNUMBER($E490)),"Check estimate in hours",IF($E490&lt;0,"Check estimate in hours",IF($E490=0,"Unestimated","Estimated"))))))</x:f>
      </x:c>
    </x:row>
    <x:row r="491">
      <x:c r="A491" s="12"/>
      <x:c r="B491" s="12"/>
      <x:c r="C491" s="12"/>
      <x:c r="D491" s="12"/>
      <x:c r="E491" s="14"/>
      <x:c r="F491" s="13" t="str">
        <x:f>IF($A491="","",IF($D491&lt;&gt;'Team Setup'!$B$4,"Other sprint",IF($C491="","Unassigned",IF(OR(ISNUMBER(SEARCH(",",$C491)),ISNUMBER(SEARCH(";",$C491))),"Multiple assignees",IF(COUNTIF('Team Setup'!$B$10:$B$34,$C491)=1,"Matched","Unmatched")))))</x:f>
      </x:c>
      <x:c r="G491" s="13" t="str">
        <x:f>IF($A491="","",IF($D491&lt;&gt;'Team Setup'!$B$4,"Other sprint",IF($E491="","Unestimated",IF(NOT(ISNUMBER($E491)),"Check estimate in hours",IF($E491&lt;0,"Check estimate in hours",IF($E491=0,"Unestimated","Estimated"))))))</x:f>
      </x:c>
    </x:row>
    <x:row r="492">
      <x:c r="A492" s="12"/>
      <x:c r="B492" s="12"/>
      <x:c r="C492" s="12"/>
      <x:c r="D492" s="12"/>
      <x:c r="E492" s="14"/>
      <x:c r="F492" s="13" t="str">
        <x:f>IF($A492="","",IF($D492&lt;&gt;'Team Setup'!$B$4,"Other sprint",IF($C492="","Unassigned",IF(OR(ISNUMBER(SEARCH(",",$C492)),ISNUMBER(SEARCH(";",$C492))),"Multiple assignees",IF(COUNTIF('Team Setup'!$B$10:$B$34,$C492)=1,"Matched","Unmatched")))))</x:f>
      </x:c>
      <x:c r="G492" s="13" t="str">
        <x:f>IF($A492="","",IF($D492&lt;&gt;'Team Setup'!$B$4,"Other sprint",IF($E492="","Unestimated",IF(NOT(ISNUMBER($E492)),"Check estimate in hours",IF($E492&lt;0,"Check estimate in hours",IF($E492=0,"Unestimated","Estimated"))))))</x:f>
      </x:c>
    </x:row>
    <x:row r="493">
      <x:c r="A493" s="12"/>
      <x:c r="B493" s="12"/>
      <x:c r="C493" s="12"/>
      <x:c r="D493" s="12"/>
      <x:c r="E493" s="14"/>
      <x:c r="F493" s="13" t="str">
        <x:f>IF($A493="","",IF($D493&lt;&gt;'Team Setup'!$B$4,"Other sprint",IF($C493="","Unassigned",IF(OR(ISNUMBER(SEARCH(",",$C493)),ISNUMBER(SEARCH(";",$C493))),"Multiple assignees",IF(COUNTIF('Team Setup'!$B$10:$B$34,$C493)=1,"Matched","Unmatched")))))</x:f>
      </x:c>
      <x:c r="G493" s="13" t="str">
        <x:f>IF($A493="","",IF($D493&lt;&gt;'Team Setup'!$B$4,"Other sprint",IF($E493="","Unestimated",IF(NOT(ISNUMBER($E493)),"Check estimate in hours",IF($E493&lt;0,"Check estimate in hours",IF($E493=0,"Unestimated","Estimated"))))))</x:f>
      </x:c>
    </x:row>
    <x:row r="494">
      <x:c r="A494" s="12"/>
      <x:c r="B494" s="12"/>
      <x:c r="C494" s="12"/>
      <x:c r="D494" s="12"/>
      <x:c r="E494" s="14"/>
      <x:c r="F494" s="13" t="str">
        <x:f>IF($A494="","",IF($D494&lt;&gt;'Team Setup'!$B$4,"Other sprint",IF($C494="","Unassigned",IF(OR(ISNUMBER(SEARCH(",",$C494)),ISNUMBER(SEARCH(";",$C494))),"Multiple assignees",IF(COUNTIF('Team Setup'!$B$10:$B$34,$C494)=1,"Matched","Unmatched")))))</x:f>
      </x:c>
      <x:c r="G494" s="13" t="str">
        <x:f>IF($A494="","",IF($D494&lt;&gt;'Team Setup'!$B$4,"Other sprint",IF($E494="","Unestimated",IF(NOT(ISNUMBER($E494)),"Check estimate in hours",IF($E494&lt;0,"Check estimate in hours",IF($E494=0,"Unestimated","Estimated"))))))</x:f>
      </x:c>
    </x:row>
    <x:row r="495">
      <x:c r="A495" s="12"/>
      <x:c r="B495" s="12"/>
      <x:c r="C495" s="12"/>
      <x:c r="D495" s="12"/>
      <x:c r="E495" s="14"/>
      <x:c r="F495" s="13" t="str">
        <x:f>IF($A495="","",IF($D495&lt;&gt;'Team Setup'!$B$4,"Other sprint",IF($C495="","Unassigned",IF(OR(ISNUMBER(SEARCH(",",$C495)),ISNUMBER(SEARCH(";",$C495))),"Multiple assignees",IF(COUNTIF('Team Setup'!$B$10:$B$34,$C495)=1,"Matched","Unmatched")))))</x:f>
      </x:c>
      <x:c r="G495" s="13" t="str">
        <x:f>IF($A495="","",IF($D495&lt;&gt;'Team Setup'!$B$4,"Other sprint",IF($E495="","Unestimated",IF(NOT(ISNUMBER($E495)),"Check estimate in hours",IF($E495&lt;0,"Check estimate in hours",IF($E495=0,"Unestimated","Estimated"))))))</x:f>
      </x:c>
    </x:row>
    <x:row r="496">
      <x:c r="A496" s="12"/>
      <x:c r="B496" s="12"/>
      <x:c r="C496" s="12"/>
      <x:c r="D496" s="12"/>
      <x:c r="E496" s="14"/>
      <x:c r="F496" s="13" t="str">
        <x:f>IF($A496="","",IF($D496&lt;&gt;'Team Setup'!$B$4,"Other sprint",IF($C496="","Unassigned",IF(OR(ISNUMBER(SEARCH(",",$C496)),ISNUMBER(SEARCH(";",$C496))),"Multiple assignees",IF(COUNTIF('Team Setup'!$B$10:$B$34,$C496)=1,"Matched","Unmatched")))))</x:f>
      </x:c>
      <x:c r="G496" s="13" t="str">
        <x:f>IF($A496="","",IF($D496&lt;&gt;'Team Setup'!$B$4,"Other sprint",IF($E496="","Unestimated",IF(NOT(ISNUMBER($E496)),"Check estimate in hours",IF($E496&lt;0,"Check estimate in hours",IF($E496=0,"Unestimated","Estimated"))))))</x:f>
      </x:c>
    </x:row>
    <x:row r="497">
      <x:c r="A497" s="12"/>
      <x:c r="B497" s="12"/>
      <x:c r="C497" s="12"/>
      <x:c r="D497" s="12"/>
      <x:c r="E497" s="14"/>
      <x:c r="F497" s="13" t="str">
        <x:f>IF($A497="","",IF($D497&lt;&gt;'Team Setup'!$B$4,"Other sprint",IF($C497="","Unassigned",IF(OR(ISNUMBER(SEARCH(",",$C497)),ISNUMBER(SEARCH(";",$C497))),"Multiple assignees",IF(COUNTIF('Team Setup'!$B$10:$B$34,$C497)=1,"Matched","Unmatched")))))</x:f>
      </x:c>
      <x:c r="G497" s="13" t="str">
        <x:f>IF($A497="","",IF($D497&lt;&gt;'Team Setup'!$B$4,"Other sprint",IF($E497="","Unestimated",IF(NOT(ISNUMBER($E497)),"Check estimate in hours",IF($E497&lt;0,"Check estimate in hours",IF($E497=0,"Unestimated","Estimated"))))))</x:f>
      </x:c>
    </x:row>
    <x:row r="498">
      <x:c r="A498" s="12"/>
      <x:c r="B498" s="12"/>
      <x:c r="C498" s="12"/>
      <x:c r="D498" s="12"/>
      <x:c r="E498" s="14"/>
      <x:c r="F498" s="13" t="str">
        <x:f>IF($A498="","",IF($D498&lt;&gt;'Team Setup'!$B$4,"Other sprint",IF($C498="","Unassigned",IF(OR(ISNUMBER(SEARCH(",",$C498)),ISNUMBER(SEARCH(";",$C498))),"Multiple assignees",IF(COUNTIF('Team Setup'!$B$10:$B$34,$C498)=1,"Matched","Unmatched")))))</x:f>
      </x:c>
      <x:c r="G498" s="13" t="str">
        <x:f>IF($A498="","",IF($D498&lt;&gt;'Team Setup'!$B$4,"Other sprint",IF($E498="","Unestimated",IF(NOT(ISNUMBER($E498)),"Check estimate in hours",IF($E498&lt;0,"Check estimate in hours",IF($E498=0,"Unestimated","Estimated"))))))</x:f>
      </x:c>
    </x:row>
    <x:row r="499">
      <x:c r="A499" s="12"/>
      <x:c r="B499" s="12"/>
      <x:c r="C499" s="12"/>
      <x:c r="D499" s="12"/>
      <x:c r="E499" s="14"/>
      <x:c r="F499" s="13" t="str">
        <x:f>IF($A499="","",IF($D499&lt;&gt;'Team Setup'!$B$4,"Other sprint",IF($C499="","Unassigned",IF(OR(ISNUMBER(SEARCH(",",$C499)),ISNUMBER(SEARCH(";",$C499))),"Multiple assignees",IF(COUNTIF('Team Setup'!$B$10:$B$34,$C499)=1,"Matched","Unmatched")))))</x:f>
      </x:c>
      <x:c r="G499" s="13" t="str">
        <x:f>IF($A499="","",IF($D499&lt;&gt;'Team Setup'!$B$4,"Other sprint",IF($E499="","Unestimated",IF(NOT(ISNUMBER($E499)),"Check estimate in hours",IF($E499&lt;0,"Check estimate in hours",IF($E499=0,"Unestimated","Estimated"))))))</x:f>
      </x:c>
    </x:row>
    <x:row r="500">
      <x:c r="A500" s="12"/>
      <x:c r="B500" s="12"/>
      <x:c r="C500" s="12"/>
      <x:c r="D500" s="12"/>
      <x:c r="E500" s="14"/>
      <x:c r="F500" s="13" t="str">
        <x:f>IF($A500="","",IF($D500&lt;&gt;'Team Setup'!$B$4,"Other sprint",IF($C500="","Unassigned",IF(OR(ISNUMBER(SEARCH(",",$C500)),ISNUMBER(SEARCH(";",$C500))),"Multiple assignees",IF(COUNTIF('Team Setup'!$B$10:$B$34,$C500)=1,"Matched","Unmatched")))))</x:f>
      </x:c>
      <x:c r="G500" s="13" t="str">
        <x:f>IF($A500="","",IF($D500&lt;&gt;'Team Setup'!$B$4,"Other sprint",IF($E500="","Unestimated",IF(NOT(ISNUMBER($E500)),"Check estimate in hours",IF($E500&lt;0,"Check estimate in hours",IF($E500=0,"Unestimated","Estimated"))))))</x:f>
      </x:c>
    </x:row>
    <x:row r="501">
      <x:c r="A501" s="12"/>
      <x:c r="B501" s="12"/>
      <x:c r="C501" s="12"/>
      <x:c r="D501" s="12"/>
      <x:c r="E501" s="14"/>
      <x:c r="F501" s="13" t="str">
        <x:f>IF($A501="","",IF($D501&lt;&gt;'Team Setup'!$B$4,"Other sprint",IF($C501="","Unassigned",IF(OR(ISNUMBER(SEARCH(",",$C501)),ISNUMBER(SEARCH(";",$C501))),"Multiple assignees",IF(COUNTIF('Team Setup'!$B$10:$B$34,$C501)=1,"Matched","Unmatched")))))</x:f>
      </x:c>
      <x:c r="G501" s="13" t="str">
        <x:f>IF($A501="","",IF($D501&lt;&gt;'Team Setup'!$B$4,"Other sprint",IF($E501="","Unestimated",IF(NOT(ISNUMBER($E501)),"Check estimate in hours",IF($E501&lt;0,"Check estimate in hours",IF($E501=0,"Unestimated","Estimated"))))))</x:f>
      </x:c>
    </x:row>
    <x:row r="502">
      <x:c r="A502" s="12"/>
      <x:c r="B502" s="12"/>
      <x:c r="C502" s="12"/>
      <x:c r="D502" s="12"/>
      <x:c r="E502" s="14"/>
      <x:c r="F502" s="13" t="str">
        <x:f>IF($A502="","",IF($D502&lt;&gt;'Team Setup'!$B$4,"Other sprint",IF($C502="","Unassigned",IF(OR(ISNUMBER(SEARCH(",",$C502)),ISNUMBER(SEARCH(";",$C502))),"Multiple assignees",IF(COUNTIF('Team Setup'!$B$10:$B$34,$C502)=1,"Matched","Unmatched")))))</x:f>
      </x:c>
      <x:c r="G502" s="13" t="str">
        <x:f>IF($A502="","",IF($D502&lt;&gt;'Team Setup'!$B$4,"Other sprint",IF($E502="","Unestimated",IF(NOT(ISNUMBER($E502)),"Check estimate in hours",IF($E502&lt;0,"Check estimate in hours",IF($E502=0,"Unestimated","Estimated"))))))</x:f>
      </x:c>
    </x:row>
    <x:row r="503">
      <x:c r="A503" s="12"/>
      <x:c r="B503" s="12"/>
      <x:c r="C503" s="12"/>
      <x:c r="D503" s="12"/>
      <x:c r="E503" s="14"/>
      <x:c r="F503" s="13" t="str">
        <x:f>IF($A503="","",IF($D503&lt;&gt;'Team Setup'!$B$4,"Other sprint",IF($C503="","Unassigned",IF(OR(ISNUMBER(SEARCH(",",$C503)),ISNUMBER(SEARCH(";",$C503))),"Multiple assignees",IF(COUNTIF('Team Setup'!$B$10:$B$34,$C503)=1,"Matched","Unmatched")))))</x:f>
      </x:c>
      <x:c r="G503" s="13" t="str">
        <x:f>IF($A503="","",IF($D503&lt;&gt;'Team Setup'!$B$4,"Other sprint",IF($E503="","Unestimated",IF(NOT(ISNUMBER($E503)),"Check estimate in hours",IF($E503&lt;0,"Check estimate in hours",IF($E503=0,"Unestimated","Estimated"))))))</x:f>
      </x:c>
    </x:row>
    <x:row r="504">
      <x:c r="A504" s="12"/>
      <x:c r="B504" s="12"/>
      <x:c r="C504" s="12"/>
      <x:c r="D504" s="12"/>
      <x:c r="E504" s="14"/>
      <x:c r="F504" s="13" t="str">
        <x:f>IF($A504="","",IF($D504&lt;&gt;'Team Setup'!$B$4,"Other sprint",IF($C504="","Unassigned",IF(OR(ISNUMBER(SEARCH(",",$C504)),ISNUMBER(SEARCH(";",$C504))),"Multiple assignees",IF(COUNTIF('Team Setup'!$B$10:$B$34,$C504)=1,"Matched","Unmatched")))))</x:f>
      </x:c>
      <x:c r="G504" s="13" t="str">
        <x:f>IF($A504="","",IF($D504&lt;&gt;'Team Setup'!$B$4,"Other sprint",IF($E504="","Unestimated",IF(NOT(ISNUMBER($E504)),"Check estimate in hours",IF($E504&lt;0,"Check estimate in hours",IF($E504=0,"Unestimated","Estimated"))))))</x:f>
      </x:c>
    </x:row>
    <x:row r="505">
      <x:c r="A505" s="12"/>
      <x:c r="B505" s="12"/>
      <x:c r="C505" s="12"/>
      <x:c r="D505" s="12"/>
      <x:c r="E505" s="14"/>
      <x:c r="F505" s="13" t="str">
        <x:f>IF($A505="","",IF($D505&lt;&gt;'Team Setup'!$B$4,"Other sprint",IF($C505="","Unassigned",IF(OR(ISNUMBER(SEARCH(",",$C505)),ISNUMBER(SEARCH(";",$C505))),"Multiple assignees",IF(COUNTIF('Team Setup'!$B$10:$B$34,$C505)=1,"Matched","Unmatched")))))</x:f>
      </x:c>
      <x:c r="G505" s="13" t="str">
        <x:f>IF($A505="","",IF($D505&lt;&gt;'Team Setup'!$B$4,"Other sprint",IF($E505="","Unestimated",IF(NOT(ISNUMBER($E505)),"Check estimate in hours",IF($E505&lt;0,"Check estimate in hours",IF($E505=0,"Unestimated","Estimated"))))))</x:f>
      </x:c>
    </x:row>
    <x:row r="506">
      <x:c r="A506" s="12"/>
      <x:c r="B506" s="12"/>
      <x:c r="C506" s="12"/>
      <x:c r="D506" s="12"/>
      <x:c r="E506" s="14"/>
      <x:c r="F506" s="13" t="str">
        <x:f>IF($A506="","",IF($D506&lt;&gt;'Team Setup'!$B$4,"Other sprint",IF($C506="","Unassigned",IF(OR(ISNUMBER(SEARCH(",",$C506)),ISNUMBER(SEARCH(";",$C506))),"Multiple assignees",IF(COUNTIF('Team Setup'!$B$10:$B$34,$C506)=1,"Matched","Unmatched")))))</x:f>
      </x:c>
      <x:c r="G506" s="13" t="str">
        <x:f>IF($A506="","",IF($D506&lt;&gt;'Team Setup'!$B$4,"Other sprint",IF($E506="","Unestimated",IF(NOT(ISNUMBER($E506)),"Check estimate in hours",IF($E506&lt;0,"Check estimate in hours",IF($E506=0,"Unestimated","Estimated"))))))</x:f>
      </x:c>
    </x:row>
    <x:row r="507">
      <x:c r="A507" s="12"/>
      <x:c r="B507" s="12"/>
      <x:c r="C507" s="12"/>
      <x:c r="D507" s="12"/>
      <x:c r="E507" s="14"/>
      <x:c r="F507" s="13" t="str">
        <x:f>IF($A507="","",IF($D507&lt;&gt;'Team Setup'!$B$4,"Other sprint",IF($C507="","Unassigned",IF(OR(ISNUMBER(SEARCH(",",$C507)),ISNUMBER(SEARCH(";",$C507))),"Multiple assignees",IF(COUNTIF('Team Setup'!$B$10:$B$34,$C507)=1,"Matched","Unmatched")))))</x:f>
      </x:c>
      <x:c r="G507" s="13" t="str">
        <x:f>IF($A507="","",IF($D507&lt;&gt;'Team Setup'!$B$4,"Other sprint",IF($E507="","Unestimated",IF(NOT(ISNUMBER($E507)),"Check estimate in hours",IF($E507&lt;0,"Check estimate in hours",IF($E507=0,"Unestimated","Estimated"))))))</x:f>
      </x:c>
    </x:row>
    <x:row r="508">
      <x:c r="A508" s="12"/>
      <x:c r="B508" s="12"/>
      <x:c r="C508" s="12"/>
      <x:c r="D508" s="12"/>
      <x:c r="E508" s="14"/>
      <x:c r="F508" s="13" t="str">
        <x:f>IF($A508="","",IF($D508&lt;&gt;'Team Setup'!$B$4,"Other sprint",IF($C508="","Unassigned",IF(OR(ISNUMBER(SEARCH(",",$C508)),ISNUMBER(SEARCH(";",$C508))),"Multiple assignees",IF(COUNTIF('Team Setup'!$B$10:$B$34,$C508)=1,"Matched","Unmatched")))))</x:f>
      </x:c>
      <x:c r="G508" s="13" t="str">
        <x:f>IF($A508="","",IF($D508&lt;&gt;'Team Setup'!$B$4,"Other sprint",IF($E508="","Unestimated",IF(NOT(ISNUMBER($E508)),"Check estimate in hours",IF($E508&lt;0,"Check estimate in hours",IF($E508=0,"Unestimated","Estimated"))))))</x:f>
      </x:c>
    </x:row>
    <x:row r="509">
      <x:c r="A509" s="12"/>
      <x:c r="B509" s="12"/>
      <x:c r="C509" s="12"/>
      <x:c r="D509" s="12"/>
      <x:c r="E509" s="14"/>
      <x:c r="F509" s="13" t="str">
        <x:f>IF($A509="","",IF($D509&lt;&gt;'Team Setup'!$B$4,"Other sprint",IF($C509="","Unassigned",IF(OR(ISNUMBER(SEARCH(",",$C509)),ISNUMBER(SEARCH(";",$C509))),"Multiple assignees",IF(COUNTIF('Team Setup'!$B$10:$B$34,$C509)=1,"Matched","Unmatched")))))</x:f>
      </x:c>
      <x:c r="G509" s="13" t="str">
        <x:f>IF($A509="","",IF($D509&lt;&gt;'Team Setup'!$B$4,"Other sprint",IF($E509="","Unestimated",IF(NOT(ISNUMBER($E509)),"Check estimate in hours",IF($E509&lt;0,"Check estimate in hours",IF($E509=0,"Unestimated","Estimated"))))))</x:f>
      </x:c>
    </x:row>
    <x:row r="510">
      <x:c r="A510" s="12"/>
      <x:c r="B510" s="12"/>
      <x:c r="C510" s="12"/>
      <x:c r="D510" s="12"/>
      <x:c r="E510" s="14"/>
      <x:c r="F510" s="13" t="str">
        <x:f>IF($A510="","",IF($D510&lt;&gt;'Team Setup'!$B$4,"Other sprint",IF($C510="","Unassigned",IF(OR(ISNUMBER(SEARCH(",",$C510)),ISNUMBER(SEARCH(";",$C510))),"Multiple assignees",IF(COUNTIF('Team Setup'!$B$10:$B$34,$C510)=1,"Matched","Unmatched")))))</x:f>
      </x:c>
      <x:c r="G510" s="13" t="str">
        <x:f>IF($A510="","",IF($D510&lt;&gt;'Team Setup'!$B$4,"Other sprint",IF($E510="","Unestimated",IF(NOT(ISNUMBER($E510)),"Check estimate in hours",IF($E510&lt;0,"Check estimate in hours",IF($E510=0,"Unestimated","Estimated"))))))</x:f>
      </x:c>
    </x:row>
    <x:row r="511">
      <x:c r="A511" s="12"/>
      <x:c r="B511" s="12"/>
      <x:c r="C511" s="12"/>
      <x:c r="D511" s="12"/>
      <x:c r="E511" s="14"/>
      <x:c r="F511" s="13" t="str">
        <x:f>IF($A511="","",IF($D511&lt;&gt;'Team Setup'!$B$4,"Other sprint",IF($C511="","Unassigned",IF(OR(ISNUMBER(SEARCH(",",$C511)),ISNUMBER(SEARCH(";",$C511))),"Multiple assignees",IF(COUNTIF('Team Setup'!$B$10:$B$34,$C511)=1,"Matched","Unmatched")))))</x:f>
      </x:c>
      <x:c r="G511" s="13" t="str">
        <x:f>IF($A511="","",IF($D511&lt;&gt;'Team Setup'!$B$4,"Other sprint",IF($E511="","Unestimated",IF(NOT(ISNUMBER($E511)),"Check estimate in hours",IF($E511&lt;0,"Check estimate in hours",IF($E511=0,"Unestimated","Estimated"))))))</x:f>
      </x:c>
    </x:row>
    <x:row r="512">
      <x:c r="A512" s="12"/>
      <x:c r="B512" s="12"/>
      <x:c r="C512" s="12"/>
      <x:c r="D512" s="12"/>
      <x:c r="E512" s="14"/>
      <x:c r="F512" s="13" t="str">
        <x:f>IF($A512="","",IF($D512&lt;&gt;'Team Setup'!$B$4,"Other sprint",IF($C512="","Unassigned",IF(OR(ISNUMBER(SEARCH(",",$C512)),ISNUMBER(SEARCH(";",$C512))),"Multiple assignees",IF(COUNTIF('Team Setup'!$B$10:$B$34,$C512)=1,"Matched","Unmatched")))))</x:f>
      </x:c>
      <x:c r="G512" s="13" t="str">
        <x:f>IF($A512="","",IF($D512&lt;&gt;'Team Setup'!$B$4,"Other sprint",IF($E512="","Unestimated",IF(NOT(ISNUMBER($E512)),"Check estimate in hours",IF($E512&lt;0,"Check estimate in hours",IF($E512=0,"Unestimated","Estimated"))))))</x:f>
      </x:c>
    </x:row>
    <x:row r="513">
      <x:c r="A513" s="12"/>
      <x:c r="B513" s="12"/>
      <x:c r="C513" s="12"/>
      <x:c r="D513" s="12"/>
      <x:c r="E513" s="14"/>
      <x:c r="F513" s="13" t="str">
        <x:f>IF($A513="","",IF($D513&lt;&gt;'Team Setup'!$B$4,"Other sprint",IF($C513="","Unassigned",IF(OR(ISNUMBER(SEARCH(",",$C513)),ISNUMBER(SEARCH(";",$C513))),"Multiple assignees",IF(COUNTIF('Team Setup'!$B$10:$B$34,$C513)=1,"Matched","Unmatched")))))</x:f>
      </x:c>
      <x:c r="G513" s="13" t="str">
        <x:f>IF($A513="","",IF($D513&lt;&gt;'Team Setup'!$B$4,"Other sprint",IF($E513="","Unestimated",IF(NOT(ISNUMBER($E513)),"Check estimate in hours",IF($E513&lt;0,"Check estimate in hours",IF($E513=0,"Unestimated","Estimated"))))))</x:f>
      </x:c>
    </x:row>
    <x:row r="514">
      <x:c r="A514" s="12"/>
      <x:c r="B514" s="12"/>
      <x:c r="C514" s="12"/>
      <x:c r="D514" s="12"/>
      <x:c r="E514" s="14"/>
      <x:c r="F514" s="13" t="str">
        <x:f>IF($A514="","",IF($D514&lt;&gt;'Team Setup'!$B$4,"Other sprint",IF($C514="","Unassigned",IF(OR(ISNUMBER(SEARCH(",",$C514)),ISNUMBER(SEARCH(";",$C514))),"Multiple assignees",IF(COUNTIF('Team Setup'!$B$10:$B$34,$C514)=1,"Matched","Unmatched")))))</x:f>
      </x:c>
      <x:c r="G514" s="13" t="str">
        <x:f>IF($A514="","",IF($D514&lt;&gt;'Team Setup'!$B$4,"Other sprint",IF($E514="","Unestimated",IF(NOT(ISNUMBER($E514)),"Check estimate in hours",IF($E514&lt;0,"Check estimate in hours",IF($E514=0,"Unestimated","Estimated"))))))</x:f>
      </x:c>
    </x:row>
    <x:row r="515">
      <x:c r="A515" s="12"/>
      <x:c r="B515" s="12"/>
      <x:c r="C515" s="12"/>
      <x:c r="D515" s="12"/>
      <x:c r="E515" s="14"/>
      <x:c r="F515" s="13" t="str">
        <x:f>IF($A515="","",IF($D515&lt;&gt;'Team Setup'!$B$4,"Other sprint",IF($C515="","Unassigned",IF(OR(ISNUMBER(SEARCH(",",$C515)),ISNUMBER(SEARCH(";",$C515))),"Multiple assignees",IF(COUNTIF('Team Setup'!$B$10:$B$34,$C515)=1,"Matched","Unmatched")))))</x:f>
      </x:c>
      <x:c r="G515" s="13" t="str">
        <x:f>IF($A515="","",IF($D515&lt;&gt;'Team Setup'!$B$4,"Other sprint",IF($E515="","Unestimated",IF(NOT(ISNUMBER($E515)),"Check estimate in hours",IF($E515&lt;0,"Check estimate in hours",IF($E515=0,"Unestimated","Estimated"))))))</x:f>
      </x:c>
    </x:row>
    <x:row r="516">
      <x:c r="A516" s="12"/>
      <x:c r="B516" s="12"/>
      <x:c r="C516" s="12"/>
      <x:c r="D516" s="12"/>
      <x:c r="E516" s="14"/>
      <x:c r="F516" s="13" t="str">
        <x:f>IF($A516="","",IF($D516&lt;&gt;'Team Setup'!$B$4,"Other sprint",IF($C516="","Unassigned",IF(OR(ISNUMBER(SEARCH(",",$C516)),ISNUMBER(SEARCH(";",$C516))),"Multiple assignees",IF(COUNTIF('Team Setup'!$B$10:$B$34,$C516)=1,"Matched","Unmatched")))))</x:f>
      </x:c>
      <x:c r="G516" s="13" t="str">
        <x:f>IF($A516="","",IF($D516&lt;&gt;'Team Setup'!$B$4,"Other sprint",IF($E516="","Unestimated",IF(NOT(ISNUMBER($E516)),"Check estimate in hours",IF($E516&lt;0,"Check estimate in hours",IF($E516=0,"Unestimated","Estimated"))))))</x:f>
      </x:c>
    </x:row>
    <x:row r="517">
      <x:c r="A517" s="12"/>
      <x:c r="B517" s="12"/>
      <x:c r="C517" s="12"/>
      <x:c r="D517" s="12"/>
      <x:c r="E517" s="14"/>
      <x:c r="F517" s="13" t="str">
        <x:f>IF($A517="","",IF($D517&lt;&gt;'Team Setup'!$B$4,"Other sprint",IF($C517="","Unassigned",IF(OR(ISNUMBER(SEARCH(",",$C517)),ISNUMBER(SEARCH(";",$C517))),"Multiple assignees",IF(COUNTIF('Team Setup'!$B$10:$B$34,$C517)=1,"Matched","Unmatched")))))</x:f>
      </x:c>
      <x:c r="G517" s="13" t="str">
        <x:f>IF($A517="","",IF($D517&lt;&gt;'Team Setup'!$B$4,"Other sprint",IF($E517="","Unestimated",IF(NOT(ISNUMBER($E517)),"Check estimate in hours",IF($E517&lt;0,"Check estimate in hours",IF($E517=0,"Unestimated","Estimated"))))))</x:f>
      </x:c>
    </x:row>
    <x:row r="518">
      <x:c r="A518" s="12"/>
      <x:c r="B518" s="12"/>
      <x:c r="C518" s="12"/>
      <x:c r="D518" s="12"/>
      <x:c r="E518" s="14"/>
      <x:c r="F518" s="13" t="str">
        <x:f>IF($A518="","",IF($D518&lt;&gt;'Team Setup'!$B$4,"Other sprint",IF($C518="","Unassigned",IF(OR(ISNUMBER(SEARCH(",",$C518)),ISNUMBER(SEARCH(";",$C518))),"Multiple assignees",IF(COUNTIF('Team Setup'!$B$10:$B$34,$C518)=1,"Matched","Unmatched")))))</x:f>
      </x:c>
      <x:c r="G518" s="13" t="str">
        <x:f>IF($A518="","",IF($D518&lt;&gt;'Team Setup'!$B$4,"Other sprint",IF($E518="","Unestimated",IF(NOT(ISNUMBER($E518)),"Check estimate in hours",IF($E518&lt;0,"Check estimate in hours",IF($E518=0,"Unestimated","Estimated"))))))</x:f>
      </x:c>
    </x:row>
    <x:row r="519">
      <x:c r="A519" s="12"/>
      <x:c r="B519" s="12"/>
      <x:c r="C519" s="12"/>
      <x:c r="D519" s="12"/>
      <x:c r="E519" s="14"/>
      <x:c r="F519" s="13" t="str">
        <x:f>IF($A519="","",IF($D519&lt;&gt;'Team Setup'!$B$4,"Other sprint",IF($C519="","Unassigned",IF(OR(ISNUMBER(SEARCH(",",$C519)),ISNUMBER(SEARCH(";",$C519))),"Multiple assignees",IF(COUNTIF('Team Setup'!$B$10:$B$34,$C519)=1,"Matched","Unmatched")))))</x:f>
      </x:c>
      <x:c r="G519" s="13" t="str">
        <x:f>IF($A519="","",IF($D519&lt;&gt;'Team Setup'!$B$4,"Other sprint",IF($E519="","Unestimated",IF(NOT(ISNUMBER($E519)),"Check estimate in hours",IF($E519&lt;0,"Check estimate in hours",IF($E519=0,"Unestimated","Estimated"))))))</x:f>
      </x:c>
    </x:row>
    <x:row r="520">
      <x:c r="A520" s="12"/>
      <x:c r="B520" s="12"/>
      <x:c r="C520" s="12"/>
      <x:c r="D520" s="12"/>
      <x:c r="E520" s="14"/>
      <x:c r="F520" s="13" t="str">
        <x:f>IF($A520="","",IF($D520&lt;&gt;'Team Setup'!$B$4,"Other sprint",IF($C520="","Unassigned",IF(OR(ISNUMBER(SEARCH(",",$C520)),ISNUMBER(SEARCH(";",$C520))),"Multiple assignees",IF(COUNTIF('Team Setup'!$B$10:$B$34,$C520)=1,"Matched","Unmatched")))))</x:f>
      </x:c>
      <x:c r="G520" s="13" t="str">
        <x:f>IF($A520="","",IF($D520&lt;&gt;'Team Setup'!$B$4,"Other sprint",IF($E520="","Unestimated",IF(NOT(ISNUMBER($E520)),"Check estimate in hours",IF($E520&lt;0,"Check estimate in hours",IF($E520=0,"Unestimated","Estimated"))))))</x:f>
      </x:c>
    </x:row>
    <x:row r="521">
      <x:c r="A521" s="12"/>
      <x:c r="B521" s="12"/>
      <x:c r="C521" s="12"/>
      <x:c r="D521" s="12"/>
      <x:c r="E521" s="14"/>
      <x:c r="F521" s="13" t="str">
        <x:f>IF($A521="","",IF($D521&lt;&gt;'Team Setup'!$B$4,"Other sprint",IF($C521="","Unassigned",IF(OR(ISNUMBER(SEARCH(",",$C521)),ISNUMBER(SEARCH(";",$C521))),"Multiple assignees",IF(COUNTIF('Team Setup'!$B$10:$B$34,$C521)=1,"Matched","Unmatched")))))</x:f>
      </x:c>
      <x:c r="G521" s="13" t="str">
        <x:f>IF($A521="","",IF($D521&lt;&gt;'Team Setup'!$B$4,"Other sprint",IF($E521="","Unestimated",IF(NOT(ISNUMBER($E521)),"Check estimate in hours",IF($E521&lt;0,"Check estimate in hours",IF($E521=0,"Unestimated","Estimated"))))))</x:f>
      </x:c>
    </x:row>
    <x:row r="522">
      <x:c r="A522" s="12"/>
      <x:c r="B522" s="12"/>
      <x:c r="C522" s="12"/>
      <x:c r="D522" s="12"/>
      <x:c r="E522" s="14"/>
      <x:c r="F522" s="13" t="str">
        <x:f>IF($A522="","",IF($D522&lt;&gt;'Team Setup'!$B$4,"Other sprint",IF($C522="","Unassigned",IF(OR(ISNUMBER(SEARCH(",",$C522)),ISNUMBER(SEARCH(";",$C522))),"Multiple assignees",IF(COUNTIF('Team Setup'!$B$10:$B$34,$C522)=1,"Matched","Unmatched")))))</x:f>
      </x:c>
      <x:c r="G522" s="13" t="str">
        <x:f>IF($A522="","",IF($D522&lt;&gt;'Team Setup'!$B$4,"Other sprint",IF($E522="","Unestimated",IF(NOT(ISNUMBER($E522)),"Check estimate in hours",IF($E522&lt;0,"Check estimate in hours",IF($E522=0,"Unestimated","Estimated"))))))</x:f>
      </x:c>
    </x:row>
    <x:row r="523">
      <x:c r="A523" s="12"/>
      <x:c r="B523" s="12"/>
      <x:c r="C523" s="12"/>
      <x:c r="D523" s="12"/>
      <x:c r="E523" s="14"/>
      <x:c r="F523" s="13" t="str">
        <x:f>IF($A523="","",IF($D523&lt;&gt;'Team Setup'!$B$4,"Other sprint",IF($C523="","Unassigned",IF(OR(ISNUMBER(SEARCH(",",$C523)),ISNUMBER(SEARCH(";",$C523))),"Multiple assignees",IF(COUNTIF('Team Setup'!$B$10:$B$34,$C523)=1,"Matched","Unmatched")))))</x:f>
      </x:c>
      <x:c r="G523" s="13" t="str">
        <x:f>IF($A523="","",IF($D523&lt;&gt;'Team Setup'!$B$4,"Other sprint",IF($E523="","Unestimated",IF(NOT(ISNUMBER($E523)),"Check estimate in hours",IF($E523&lt;0,"Check estimate in hours",IF($E523=0,"Unestimated","Estimated"))))))</x:f>
      </x:c>
    </x:row>
    <x:row r="524">
      <x:c r="A524" s="12"/>
      <x:c r="B524" s="12"/>
      <x:c r="C524" s="12"/>
      <x:c r="D524" s="12"/>
      <x:c r="E524" s="14"/>
      <x:c r="F524" s="13" t="str">
        <x:f>IF($A524="","",IF($D524&lt;&gt;'Team Setup'!$B$4,"Other sprint",IF($C524="","Unassigned",IF(OR(ISNUMBER(SEARCH(",",$C524)),ISNUMBER(SEARCH(";",$C524))),"Multiple assignees",IF(COUNTIF('Team Setup'!$B$10:$B$34,$C524)=1,"Matched","Unmatched")))))</x:f>
      </x:c>
      <x:c r="G524" s="13" t="str">
        <x:f>IF($A524="","",IF($D524&lt;&gt;'Team Setup'!$B$4,"Other sprint",IF($E524="","Unestimated",IF(NOT(ISNUMBER($E524)),"Check estimate in hours",IF($E524&lt;0,"Check estimate in hours",IF($E524=0,"Unestimated","Estimated"))))))</x:f>
      </x:c>
    </x:row>
    <x:row r="525">
      <x:c r="A525" s="12"/>
      <x:c r="B525" s="12"/>
      <x:c r="C525" s="12"/>
      <x:c r="D525" s="12"/>
      <x:c r="E525" s="14"/>
      <x:c r="F525" s="13" t="str">
        <x:f>IF($A525="","",IF($D525&lt;&gt;'Team Setup'!$B$4,"Other sprint",IF($C525="","Unassigned",IF(OR(ISNUMBER(SEARCH(",",$C525)),ISNUMBER(SEARCH(";",$C525))),"Multiple assignees",IF(COUNTIF('Team Setup'!$B$10:$B$34,$C525)=1,"Matched","Unmatched")))))</x:f>
      </x:c>
      <x:c r="G525" s="13" t="str">
        <x:f>IF($A525="","",IF($D525&lt;&gt;'Team Setup'!$B$4,"Other sprint",IF($E525="","Unestimated",IF(NOT(ISNUMBER($E525)),"Check estimate in hours",IF($E525&lt;0,"Check estimate in hours",IF($E525=0,"Unestimated","Estimated"))))))</x:f>
      </x:c>
    </x:row>
    <x:row r="526">
      <x:c r="A526" s="12"/>
      <x:c r="B526" s="12"/>
      <x:c r="C526" s="12"/>
      <x:c r="D526" s="12"/>
      <x:c r="E526" s="14"/>
      <x:c r="F526" s="13" t="str">
        <x:f>IF($A526="","",IF($D526&lt;&gt;'Team Setup'!$B$4,"Other sprint",IF($C526="","Unassigned",IF(OR(ISNUMBER(SEARCH(",",$C526)),ISNUMBER(SEARCH(";",$C526))),"Multiple assignees",IF(COUNTIF('Team Setup'!$B$10:$B$34,$C526)=1,"Matched","Unmatched")))))</x:f>
      </x:c>
      <x:c r="G526" s="13" t="str">
        <x:f>IF($A526="","",IF($D526&lt;&gt;'Team Setup'!$B$4,"Other sprint",IF($E526="","Unestimated",IF(NOT(ISNUMBER($E526)),"Check estimate in hours",IF($E526&lt;0,"Check estimate in hours",IF($E526=0,"Unestimated","Estimated"))))))</x:f>
      </x:c>
    </x:row>
    <x:row r="527">
      <x:c r="A527" s="12"/>
      <x:c r="B527" s="12"/>
      <x:c r="C527" s="12"/>
      <x:c r="D527" s="12"/>
      <x:c r="E527" s="14"/>
      <x:c r="F527" s="13" t="str">
        <x:f>IF($A527="","",IF($D527&lt;&gt;'Team Setup'!$B$4,"Other sprint",IF($C527="","Unassigned",IF(OR(ISNUMBER(SEARCH(",",$C527)),ISNUMBER(SEARCH(";",$C527))),"Multiple assignees",IF(COUNTIF('Team Setup'!$B$10:$B$34,$C527)=1,"Matched","Unmatched")))))</x:f>
      </x:c>
      <x:c r="G527" s="13" t="str">
        <x:f>IF($A527="","",IF($D527&lt;&gt;'Team Setup'!$B$4,"Other sprint",IF($E527="","Unestimated",IF(NOT(ISNUMBER($E527)),"Check estimate in hours",IF($E527&lt;0,"Check estimate in hours",IF($E527=0,"Unestimated","Estimated"))))))</x:f>
      </x:c>
    </x:row>
    <x:row r="528">
      <x:c r="A528" s="12"/>
      <x:c r="B528" s="12"/>
      <x:c r="C528" s="12"/>
      <x:c r="D528" s="12"/>
      <x:c r="E528" s="14"/>
      <x:c r="F528" s="13" t="str">
        <x:f>IF($A528="","",IF($D528&lt;&gt;'Team Setup'!$B$4,"Other sprint",IF($C528="","Unassigned",IF(OR(ISNUMBER(SEARCH(",",$C528)),ISNUMBER(SEARCH(";",$C528))),"Multiple assignees",IF(COUNTIF('Team Setup'!$B$10:$B$34,$C528)=1,"Matched","Unmatched")))))</x:f>
      </x:c>
      <x:c r="G528" s="13" t="str">
        <x:f>IF($A528="","",IF($D528&lt;&gt;'Team Setup'!$B$4,"Other sprint",IF($E528="","Unestimated",IF(NOT(ISNUMBER($E528)),"Check estimate in hours",IF($E528&lt;0,"Check estimate in hours",IF($E528=0,"Unestimated","Estimated"))))))</x:f>
      </x:c>
    </x:row>
    <x:row r="529">
      <x:c r="A529" s="12"/>
      <x:c r="B529" s="12"/>
      <x:c r="C529" s="12"/>
      <x:c r="D529" s="12"/>
      <x:c r="E529" s="14"/>
      <x:c r="F529" s="13" t="str">
        <x:f>IF($A529="","",IF($D529&lt;&gt;'Team Setup'!$B$4,"Other sprint",IF($C529="","Unassigned",IF(OR(ISNUMBER(SEARCH(",",$C529)),ISNUMBER(SEARCH(";",$C529))),"Multiple assignees",IF(COUNTIF('Team Setup'!$B$10:$B$34,$C529)=1,"Matched","Unmatched")))))</x:f>
      </x:c>
      <x:c r="G529" s="13" t="str">
        <x:f>IF($A529="","",IF($D529&lt;&gt;'Team Setup'!$B$4,"Other sprint",IF($E529="","Unestimated",IF(NOT(ISNUMBER($E529)),"Check estimate in hours",IF($E529&lt;0,"Check estimate in hours",IF($E529=0,"Unestimated","Estimated"))))))</x:f>
      </x:c>
    </x:row>
    <x:row r="530">
      <x:c r="A530" s="12"/>
      <x:c r="B530" s="12"/>
      <x:c r="C530" s="12"/>
      <x:c r="D530" s="12"/>
      <x:c r="E530" s="14"/>
      <x:c r="F530" s="13" t="str">
        <x:f>IF($A530="","",IF($D530&lt;&gt;'Team Setup'!$B$4,"Other sprint",IF($C530="","Unassigned",IF(OR(ISNUMBER(SEARCH(",",$C530)),ISNUMBER(SEARCH(";",$C530))),"Multiple assignees",IF(COUNTIF('Team Setup'!$B$10:$B$34,$C530)=1,"Matched","Unmatched")))))</x:f>
      </x:c>
      <x:c r="G530" s="13" t="str">
        <x:f>IF($A530="","",IF($D530&lt;&gt;'Team Setup'!$B$4,"Other sprint",IF($E530="","Unestimated",IF(NOT(ISNUMBER($E530)),"Check estimate in hours",IF($E530&lt;0,"Check estimate in hours",IF($E530=0,"Unestimated","Estimated"))))))</x:f>
      </x:c>
    </x:row>
    <x:row r="531">
      <x:c r="A531" s="12"/>
      <x:c r="B531" s="12"/>
      <x:c r="C531" s="12"/>
      <x:c r="D531" s="12"/>
      <x:c r="E531" s="14"/>
      <x:c r="F531" s="13" t="str">
        <x:f>IF($A531="","",IF($D531&lt;&gt;'Team Setup'!$B$4,"Other sprint",IF($C531="","Unassigned",IF(OR(ISNUMBER(SEARCH(",",$C531)),ISNUMBER(SEARCH(";",$C531))),"Multiple assignees",IF(COUNTIF('Team Setup'!$B$10:$B$34,$C531)=1,"Matched","Unmatched")))))</x:f>
      </x:c>
      <x:c r="G531" s="13" t="str">
        <x:f>IF($A531="","",IF($D531&lt;&gt;'Team Setup'!$B$4,"Other sprint",IF($E531="","Unestimated",IF(NOT(ISNUMBER($E531)),"Check estimate in hours",IF($E531&lt;0,"Check estimate in hours",IF($E531=0,"Unestimated","Estimated"))))))</x:f>
      </x:c>
    </x:row>
    <x:row r="532">
      <x:c r="A532" s="12"/>
      <x:c r="B532" s="12"/>
      <x:c r="C532" s="12"/>
      <x:c r="D532" s="12"/>
      <x:c r="E532" s="14"/>
      <x:c r="F532" s="13" t="str">
        <x:f>IF($A532="","",IF($D532&lt;&gt;'Team Setup'!$B$4,"Other sprint",IF($C532="","Unassigned",IF(OR(ISNUMBER(SEARCH(",",$C532)),ISNUMBER(SEARCH(";",$C532))),"Multiple assignees",IF(COUNTIF('Team Setup'!$B$10:$B$34,$C532)=1,"Matched","Unmatched")))))</x:f>
      </x:c>
      <x:c r="G532" s="13" t="str">
        <x:f>IF($A532="","",IF($D532&lt;&gt;'Team Setup'!$B$4,"Other sprint",IF($E532="","Unestimated",IF(NOT(ISNUMBER($E532)),"Check estimate in hours",IF($E532&lt;0,"Check estimate in hours",IF($E532=0,"Unestimated","Estimated"))))))</x:f>
      </x:c>
    </x:row>
    <x:row r="533">
      <x:c r="A533" s="12"/>
      <x:c r="B533" s="12"/>
      <x:c r="C533" s="12"/>
      <x:c r="D533" s="12"/>
      <x:c r="E533" s="14"/>
      <x:c r="F533" s="13" t="str">
        <x:f>IF($A533="","",IF($D533&lt;&gt;'Team Setup'!$B$4,"Other sprint",IF($C533="","Unassigned",IF(OR(ISNUMBER(SEARCH(",",$C533)),ISNUMBER(SEARCH(";",$C533))),"Multiple assignees",IF(COUNTIF('Team Setup'!$B$10:$B$34,$C533)=1,"Matched","Unmatched")))))</x:f>
      </x:c>
      <x:c r="G533" s="13" t="str">
        <x:f>IF($A533="","",IF($D533&lt;&gt;'Team Setup'!$B$4,"Other sprint",IF($E533="","Unestimated",IF(NOT(ISNUMBER($E533)),"Check estimate in hours",IF($E533&lt;0,"Check estimate in hours",IF($E533=0,"Unestimated","Estimated"))))))</x:f>
      </x:c>
    </x:row>
    <x:row r="534">
      <x:c r="A534" s="12"/>
      <x:c r="B534" s="12"/>
      <x:c r="C534" s="12"/>
      <x:c r="D534" s="12"/>
      <x:c r="E534" s="14"/>
      <x:c r="F534" s="13" t="str">
        <x:f>IF($A534="","",IF($D534&lt;&gt;'Team Setup'!$B$4,"Other sprint",IF($C534="","Unassigned",IF(OR(ISNUMBER(SEARCH(",",$C534)),ISNUMBER(SEARCH(";",$C534))),"Multiple assignees",IF(COUNTIF('Team Setup'!$B$10:$B$34,$C534)=1,"Matched","Unmatched")))))</x:f>
      </x:c>
      <x:c r="G534" s="13" t="str">
        <x:f>IF($A534="","",IF($D534&lt;&gt;'Team Setup'!$B$4,"Other sprint",IF($E534="","Unestimated",IF(NOT(ISNUMBER($E534)),"Check estimate in hours",IF($E534&lt;0,"Check estimate in hours",IF($E534=0,"Unestimated","Estimated"))))))</x:f>
      </x:c>
    </x:row>
    <x:row r="535">
      <x:c r="A535" s="12"/>
      <x:c r="B535" s="12"/>
      <x:c r="C535" s="12"/>
      <x:c r="D535" s="12"/>
      <x:c r="E535" s="14"/>
      <x:c r="F535" s="13" t="str">
        <x:f>IF($A535="","",IF($D535&lt;&gt;'Team Setup'!$B$4,"Other sprint",IF($C535="","Unassigned",IF(OR(ISNUMBER(SEARCH(",",$C535)),ISNUMBER(SEARCH(";",$C535))),"Multiple assignees",IF(COUNTIF('Team Setup'!$B$10:$B$34,$C535)=1,"Matched","Unmatched")))))</x:f>
      </x:c>
      <x:c r="G535" s="13" t="str">
        <x:f>IF($A535="","",IF($D535&lt;&gt;'Team Setup'!$B$4,"Other sprint",IF($E535="","Unestimated",IF(NOT(ISNUMBER($E535)),"Check estimate in hours",IF($E535&lt;0,"Check estimate in hours",IF($E535=0,"Unestimated","Estimated"))))))</x:f>
      </x:c>
    </x:row>
    <x:row r="536">
      <x:c r="A536" s="12"/>
      <x:c r="B536" s="12"/>
      <x:c r="C536" s="12"/>
      <x:c r="D536" s="12"/>
      <x:c r="E536" s="14"/>
      <x:c r="F536" s="13" t="str">
        <x:f>IF($A536="","",IF($D536&lt;&gt;'Team Setup'!$B$4,"Other sprint",IF($C536="","Unassigned",IF(OR(ISNUMBER(SEARCH(",",$C536)),ISNUMBER(SEARCH(";",$C536))),"Multiple assignees",IF(COUNTIF('Team Setup'!$B$10:$B$34,$C536)=1,"Matched","Unmatched")))))</x:f>
      </x:c>
      <x:c r="G536" s="13" t="str">
        <x:f>IF($A536="","",IF($D536&lt;&gt;'Team Setup'!$B$4,"Other sprint",IF($E536="","Unestimated",IF(NOT(ISNUMBER($E536)),"Check estimate in hours",IF($E536&lt;0,"Check estimate in hours",IF($E536=0,"Unestimated","Estimated"))))))</x:f>
      </x:c>
    </x:row>
    <x:row r="537">
      <x:c r="A537" s="12"/>
      <x:c r="B537" s="12"/>
      <x:c r="C537" s="12"/>
      <x:c r="D537" s="12"/>
      <x:c r="E537" s="14"/>
      <x:c r="F537" s="13" t="str">
        <x:f>IF($A537="","",IF($D537&lt;&gt;'Team Setup'!$B$4,"Other sprint",IF($C537="","Unassigned",IF(OR(ISNUMBER(SEARCH(",",$C537)),ISNUMBER(SEARCH(";",$C537))),"Multiple assignees",IF(COUNTIF('Team Setup'!$B$10:$B$34,$C537)=1,"Matched","Unmatched")))))</x:f>
      </x:c>
      <x:c r="G537" s="13" t="str">
        <x:f>IF($A537="","",IF($D537&lt;&gt;'Team Setup'!$B$4,"Other sprint",IF($E537="","Unestimated",IF(NOT(ISNUMBER($E537)),"Check estimate in hours",IF($E537&lt;0,"Check estimate in hours",IF($E537=0,"Unestimated","Estimated"))))))</x:f>
      </x:c>
    </x:row>
    <x:row r="538">
      <x:c r="A538" s="12"/>
      <x:c r="B538" s="12"/>
      <x:c r="C538" s="12"/>
      <x:c r="D538" s="12"/>
      <x:c r="E538" s="14"/>
      <x:c r="F538" s="13" t="str">
        <x:f>IF($A538="","",IF($D538&lt;&gt;'Team Setup'!$B$4,"Other sprint",IF($C538="","Unassigned",IF(OR(ISNUMBER(SEARCH(",",$C538)),ISNUMBER(SEARCH(";",$C538))),"Multiple assignees",IF(COUNTIF('Team Setup'!$B$10:$B$34,$C538)=1,"Matched","Unmatched")))))</x:f>
      </x:c>
      <x:c r="G538" s="13" t="str">
        <x:f>IF($A538="","",IF($D538&lt;&gt;'Team Setup'!$B$4,"Other sprint",IF($E538="","Unestimated",IF(NOT(ISNUMBER($E538)),"Check estimate in hours",IF($E538&lt;0,"Check estimate in hours",IF($E538=0,"Unestimated","Estimated"))))))</x:f>
      </x:c>
    </x:row>
    <x:row r="539">
      <x:c r="A539" s="12"/>
      <x:c r="B539" s="12"/>
      <x:c r="C539" s="12"/>
      <x:c r="D539" s="12"/>
      <x:c r="E539" s="14"/>
      <x:c r="F539" s="13" t="str">
        <x:f>IF($A539="","",IF($D539&lt;&gt;'Team Setup'!$B$4,"Other sprint",IF($C539="","Unassigned",IF(OR(ISNUMBER(SEARCH(",",$C539)),ISNUMBER(SEARCH(";",$C539))),"Multiple assignees",IF(COUNTIF('Team Setup'!$B$10:$B$34,$C539)=1,"Matched","Unmatched")))))</x:f>
      </x:c>
      <x:c r="G539" s="13" t="str">
        <x:f>IF($A539="","",IF($D539&lt;&gt;'Team Setup'!$B$4,"Other sprint",IF($E539="","Unestimated",IF(NOT(ISNUMBER($E539)),"Check estimate in hours",IF($E539&lt;0,"Check estimate in hours",IF($E539=0,"Unestimated","Estimated"))))))</x:f>
      </x:c>
    </x:row>
    <x:row r="540">
      <x:c r="A540" s="12"/>
      <x:c r="B540" s="12"/>
      <x:c r="C540" s="12"/>
      <x:c r="D540" s="12"/>
      <x:c r="E540" s="14"/>
      <x:c r="F540" s="13" t="str">
        <x:f>IF($A540="","",IF($D540&lt;&gt;'Team Setup'!$B$4,"Other sprint",IF($C540="","Unassigned",IF(OR(ISNUMBER(SEARCH(",",$C540)),ISNUMBER(SEARCH(";",$C540))),"Multiple assignees",IF(COUNTIF('Team Setup'!$B$10:$B$34,$C540)=1,"Matched","Unmatched")))))</x:f>
      </x:c>
      <x:c r="G540" s="13" t="str">
        <x:f>IF($A540="","",IF($D540&lt;&gt;'Team Setup'!$B$4,"Other sprint",IF($E540="","Unestimated",IF(NOT(ISNUMBER($E540)),"Check estimate in hours",IF($E540&lt;0,"Check estimate in hours",IF($E540=0,"Unestimated","Estimated"))))))</x:f>
      </x:c>
    </x:row>
    <x:row r="541">
      <x:c r="A541" s="12"/>
      <x:c r="B541" s="12"/>
      <x:c r="C541" s="12"/>
      <x:c r="D541" s="12"/>
      <x:c r="E541" s="14"/>
      <x:c r="F541" s="13" t="str">
        <x:f>IF($A541="","",IF($D541&lt;&gt;'Team Setup'!$B$4,"Other sprint",IF($C541="","Unassigned",IF(OR(ISNUMBER(SEARCH(",",$C541)),ISNUMBER(SEARCH(";",$C541))),"Multiple assignees",IF(COUNTIF('Team Setup'!$B$10:$B$34,$C541)=1,"Matched","Unmatched")))))</x:f>
      </x:c>
      <x:c r="G541" s="13" t="str">
        <x:f>IF($A541="","",IF($D541&lt;&gt;'Team Setup'!$B$4,"Other sprint",IF($E541="","Unestimated",IF(NOT(ISNUMBER($E541)),"Check estimate in hours",IF($E541&lt;0,"Check estimate in hours",IF($E541=0,"Unestimated","Estimated"))))))</x:f>
      </x:c>
    </x:row>
    <x:row r="542">
      <x:c r="A542" s="12"/>
      <x:c r="B542" s="12"/>
      <x:c r="C542" s="12"/>
      <x:c r="D542" s="12"/>
      <x:c r="E542" s="14"/>
      <x:c r="F542" s="13" t="str">
        <x:f>IF($A542="","",IF($D542&lt;&gt;'Team Setup'!$B$4,"Other sprint",IF($C542="","Unassigned",IF(OR(ISNUMBER(SEARCH(",",$C542)),ISNUMBER(SEARCH(";",$C542))),"Multiple assignees",IF(COUNTIF('Team Setup'!$B$10:$B$34,$C542)=1,"Matched","Unmatched")))))</x:f>
      </x:c>
      <x:c r="G542" s="13" t="str">
        <x:f>IF($A542="","",IF($D542&lt;&gt;'Team Setup'!$B$4,"Other sprint",IF($E542="","Unestimated",IF(NOT(ISNUMBER($E542)),"Check estimate in hours",IF($E542&lt;0,"Check estimate in hours",IF($E542=0,"Unestimated","Estimated"))))))</x:f>
      </x:c>
    </x:row>
    <x:row r="543">
      <x:c r="A543" s="12"/>
      <x:c r="B543" s="12"/>
      <x:c r="C543" s="12"/>
      <x:c r="D543" s="12"/>
      <x:c r="E543" s="14"/>
      <x:c r="F543" s="13" t="str">
        <x:f>IF($A543="","",IF($D543&lt;&gt;'Team Setup'!$B$4,"Other sprint",IF($C543="","Unassigned",IF(OR(ISNUMBER(SEARCH(",",$C543)),ISNUMBER(SEARCH(";",$C543))),"Multiple assignees",IF(COUNTIF('Team Setup'!$B$10:$B$34,$C543)=1,"Matched","Unmatched")))))</x:f>
      </x:c>
      <x:c r="G543" s="13" t="str">
        <x:f>IF($A543="","",IF($D543&lt;&gt;'Team Setup'!$B$4,"Other sprint",IF($E543="","Unestimated",IF(NOT(ISNUMBER($E543)),"Check estimate in hours",IF($E543&lt;0,"Check estimate in hours",IF($E543=0,"Unestimated","Estimated"))))))</x:f>
      </x:c>
    </x:row>
    <x:row r="544">
      <x:c r="A544" s="12"/>
      <x:c r="B544" s="12"/>
      <x:c r="C544" s="12"/>
      <x:c r="D544" s="12"/>
      <x:c r="E544" s="14"/>
      <x:c r="F544" s="13" t="str">
        <x:f>IF($A544="","",IF($D544&lt;&gt;'Team Setup'!$B$4,"Other sprint",IF($C544="","Unassigned",IF(OR(ISNUMBER(SEARCH(",",$C544)),ISNUMBER(SEARCH(";",$C544))),"Multiple assignees",IF(COUNTIF('Team Setup'!$B$10:$B$34,$C544)=1,"Matched","Unmatched")))))</x:f>
      </x:c>
      <x:c r="G544" s="13" t="str">
        <x:f>IF($A544="","",IF($D544&lt;&gt;'Team Setup'!$B$4,"Other sprint",IF($E544="","Unestimated",IF(NOT(ISNUMBER($E544)),"Check estimate in hours",IF($E544&lt;0,"Check estimate in hours",IF($E544=0,"Unestimated","Estimated"))))))</x:f>
      </x:c>
    </x:row>
    <x:row r="545">
      <x:c r="A545" s="12"/>
      <x:c r="B545" s="12"/>
      <x:c r="C545" s="12"/>
      <x:c r="D545" s="12"/>
      <x:c r="E545" s="14"/>
      <x:c r="F545" s="13" t="str">
        <x:f>IF($A545="","",IF($D545&lt;&gt;'Team Setup'!$B$4,"Other sprint",IF($C545="","Unassigned",IF(OR(ISNUMBER(SEARCH(",",$C545)),ISNUMBER(SEARCH(";",$C545))),"Multiple assignees",IF(COUNTIF('Team Setup'!$B$10:$B$34,$C545)=1,"Matched","Unmatched")))))</x:f>
      </x:c>
      <x:c r="G545" s="13" t="str">
        <x:f>IF($A545="","",IF($D545&lt;&gt;'Team Setup'!$B$4,"Other sprint",IF($E545="","Unestimated",IF(NOT(ISNUMBER($E545)),"Check estimate in hours",IF($E545&lt;0,"Check estimate in hours",IF($E545=0,"Unestimated","Estimated"))))))</x:f>
      </x:c>
    </x:row>
    <x:row r="546">
      <x:c r="A546" s="12"/>
      <x:c r="B546" s="12"/>
      <x:c r="C546" s="12"/>
      <x:c r="D546" s="12"/>
      <x:c r="E546" s="14"/>
      <x:c r="F546" s="13" t="str">
        <x:f>IF($A546="","",IF($D546&lt;&gt;'Team Setup'!$B$4,"Other sprint",IF($C546="","Unassigned",IF(OR(ISNUMBER(SEARCH(",",$C546)),ISNUMBER(SEARCH(";",$C546))),"Multiple assignees",IF(COUNTIF('Team Setup'!$B$10:$B$34,$C546)=1,"Matched","Unmatched")))))</x:f>
      </x:c>
      <x:c r="G546" s="13" t="str">
        <x:f>IF($A546="","",IF($D546&lt;&gt;'Team Setup'!$B$4,"Other sprint",IF($E546="","Unestimated",IF(NOT(ISNUMBER($E546)),"Check estimate in hours",IF($E546&lt;0,"Check estimate in hours",IF($E546=0,"Unestimated","Estimated"))))))</x:f>
      </x:c>
    </x:row>
    <x:row r="547">
      <x:c r="A547" s="12"/>
      <x:c r="B547" s="12"/>
      <x:c r="C547" s="12"/>
      <x:c r="D547" s="12"/>
      <x:c r="E547" s="14"/>
      <x:c r="F547" s="13" t="str">
        <x:f>IF($A547="","",IF($D547&lt;&gt;'Team Setup'!$B$4,"Other sprint",IF($C547="","Unassigned",IF(OR(ISNUMBER(SEARCH(",",$C547)),ISNUMBER(SEARCH(";",$C547))),"Multiple assignees",IF(COUNTIF('Team Setup'!$B$10:$B$34,$C547)=1,"Matched","Unmatched")))))</x:f>
      </x:c>
      <x:c r="G547" s="13" t="str">
        <x:f>IF($A547="","",IF($D547&lt;&gt;'Team Setup'!$B$4,"Other sprint",IF($E547="","Unestimated",IF(NOT(ISNUMBER($E547)),"Check estimate in hours",IF($E547&lt;0,"Check estimate in hours",IF($E547=0,"Unestimated","Estimated"))))))</x:f>
      </x:c>
    </x:row>
    <x:row r="548">
      <x:c r="A548" s="12"/>
      <x:c r="B548" s="12"/>
      <x:c r="C548" s="12"/>
      <x:c r="D548" s="12"/>
      <x:c r="E548" s="14"/>
      <x:c r="F548" s="13" t="str">
        <x:f>IF($A548="","",IF($D548&lt;&gt;'Team Setup'!$B$4,"Other sprint",IF($C548="","Unassigned",IF(OR(ISNUMBER(SEARCH(",",$C548)),ISNUMBER(SEARCH(";",$C548))),"Multiple assignees",IF(COUNTIF('Team Setup'!$B$10:$B$34,$C548)=1,"Matched","Unmatched")))))</x:f>
      </x:c>
      <x:c r="G548" s="13" t="str">
        <x:f>IF($A548="","",IF($D548&lt;&gt;'Team Setup'!$B$4,"Other sprint",IF($E548="","Unestimated",IF(NOT(ISNUMBER($E548)),"Check estimate in hours",IF($E548&lt;0,"Check estimate in hours",IF($E548=0,"Unestimated","Estimated"))))))</x:f>
      </x:c>
    </x:row>
    <x:row r="549">
      <x:c r="A549" s="12"/>
      <x:c r="B549" s="12"/>
      <x:c r="C549" s="12"/>
      <x:c r="D549" s="12"/>
      <x:c r="E549" s="14"/>
      <x:c r="F549" s="13" t="str">
        <x:f>IF($A549="","",IF($D549&lt;&gt;'Team Setup'!$B$4,"Other sprint",IF($C549="","Unassigned",IF(OR(ISNUMBER(SEARCH(",",$C549)),ISNUMBER(SEARCH(";",$C549))),"Multiple assignees",IF(COUNTIF('Team Setup'!$B$10:$B$34,$C549)=1,"Matched","Unmatched")))))</x:f>
      </x:c>
      <x:c r="G549" s="13" t="str">
        <x:f>IF($A549="","",IF($D549&lt;&gt;'Team Setup'!$B$4,"Other sprint",IF($E549="","Unestimated",IF(NOT(ISNUMBER($E549)),"Check estimate in hours",IF($E549&lt;0,"Check estimate in hours",IF($E549=0,"Unestimated","Estimated"))))))</x:f>
      </x:c>
    </x:row>
    <x:row r="550">
      <x:c r="A550" s="12"/>
      <x:c r="B550" s="12"/>
      <x:c r="C550" s="12"/>
      <x:c r="D550" s="12"/>
      <x:c r="E550" s="14"/>
      <x:c r="F550" s="13" t="str">
        <x:f>IF($A550="","",IF($D550&lt;&gt;'Team Setup'!$B$4,"Other sprint",IF($C550="","Unassigned",IF(OR(ISNUMBER(SEARCH(",",$C550)),ISNUMBER(SEARCH(";",$C550))),"Multiple assignees",IF(COUNTIF('Team Setup'!$B$10:$B$34,$C550)=1,"Matched","Unmatched")))))</x:f>
      </x:c>
      <x:c r="G550" s="13" t="str">
        <x:f>IF($A550="","",IF($D550&lt;&gt;'Team Setup'!$B$4,"Other sprint",IF($E550="","Unestimated",IF(NOT(ISNUMBER($E550)),"Check estimate in hours",IF($E550&lt;0,"Check estimate in hours",IF($E550=0,"Unestimated","Estimated"))))))</x:f>
      </x:c>
    </x:row>
    <x:row r="551">
      <x:c r="A551" s="12"/>
      <x:c r="B551" s="12"/>
      <x:c r="C551" s="12"/>
      <x:c r="D551" s="12"/>
      <x:c r="E551" s="14"/>
      <x:c r="F551" s="13" t="str">
        <x:f>IF($A551="","",IF($D551&lt;&gt;'Team Setup'!$B$4,"Other sprint",IF($C551="","Unassigned",IF(OR(ISNUMBER(SEARCH(",",$C551)),ISNUMBER(SEARCH(";",$C551))),"Multiple assignees",IF(COUNTIF('Team Setup'!$B$10:$B$34,$C551)=1,"Matched","Unmatched")))))</x:f>
      </x:c>
      <x:c r="G551" s="13" t="str">
        <x:f>IF($A551="","",IF($D551&lt;&gt;'Team Setup'!$B$4,"Other sprint",IF($E551="","Unestimated",IF(NOT(ISNUMBER($E551)),"Check estimate in hours",IF($E551&lt;0,"Check estimate in hours",IF($E551=0,"Unestimated","Estimated"))))))</x:f>
      </x:c>
    </x:row>
    <x:row r="552">
      <x:c r="A552" s="12"/>
      <x:c r="B552" s="12"/>
      <x:c r="C552" s="12"/>
      <x:c r="D552" s="12"/>
      <x:c r="E552" s="14"/>
      <x:c r="F552" s="13" t="str">
        <x:f>IF($A552="","",IF($D552&lt;&gt;'Team Setup'!$B$4,"Other sprint",IF($C552="","Unassigned",IF(OR(ISNUMBER(SEARCH(",",$C552)),ISNUMBER(SEARCH(";",$C552))),"Multiple assignees",IF(COUNTIF('Team Setup'!$B$10:$B$34,$C552)=1,"Matched","Unmatched")))))</x:f>
      </x:c>
      <x:c r="G552" s="13" t="str">
        <x:f>IF($A552="","",IF($D552&lt;&gt;'Team Setup'!$B$4,"Other sprint",IF($E552="","Unestimated",IF(NOT(ISNUMBER($E552)),"Check estimate in hours",IF($E552&lt;0,"Check estimate in hours",IF($E552=0,"Unestimated","Estimated"))))))</x:f>
      </x:c>
    </x:row>
    <x:row r="553">
      <x:c r="A553" s="12"/>
      <x:c r="B553" s="12"/>
      <x:c r="C553" s="12"/>
      <x:c r="D553" s="12"/>
      <x:c r="E553" s="14"/>
      <x:c r="F553" s="13" t="str">
        <x:f>IF($A553="","",IF($D553&lt;&gt;'Team Setup'!$B$4,"Other sprint",IF($C553="","Unassigned",IF(OR(ISNUMBER(SEARCH(",",$C553)),ISNUMBER(SEARCH(";",$C553))),"Multiple assignees",IF(COUNTIF('Team Setup'!$B$10:$B$34,$C553)=1,"Matched","Unmatched")))))</x:f>
      </x:c>
      <x:c r="G553" s="13" t="str">
        <x:f>IF($A553="","",IF($D553&lt;&gt;'Team Setup'!$B$4,"Other sprint",IF($E553="","Unestimated",IF(NOT(ISNUMBER($E553)),"Check estimate in hours",IF($E553&lt;0,"Check estimate in hours",IF($E553=0,"Unestimated","Estimated"))))))</x:f>
      </x:c>
    </x:row>
    <x:row r="554">
      <x:c r="A554" s="12"/>
      <x:c r="B554" s="12"/>
      <x:c r="C554" s="12"/>
      <x:c r="D554" s="12"/>
      <x:c r="E554" s="14"/>
      <x:c r="F554" s="13" t="str">
        <x:f>IF($A554="","",IF($D554&lt;&gt;'Team Setup'!$B$4,"Other sprint",IF($C554="","Unassigned",IF(OR(ISNUMBER(SEARCH(",",$C554)),ISNUMBER(SEARCH(";",$C554))),"Multiple assignees",IF(COUNTIF('Team Setup'!$B$10:$B$34,$C554)=1,"Matched","Unmatched")))))</x:f>
      </x:c>
      <x:c r="G554" s="13" t="str">
        <x:f>IF($A554="","",IF($D554&lt;&gt;'Team Setup'!$B$4,"Other sprint",IF($E554="","Unestimated",IF(NOT(ISNUMBER($E554)),"Check estimate in hours",IF($E554&lt;0,"Check estimate in hours",IF($E554=0,"Unestimated","Estimated"))))))</x:f>
      </x:c>
    </x:row>
    <x:row r="555">
      <x:c r="A555" s="12"/>
      <x:c r="B555" s="12"/>
      <x:c r="C555" s="12"/>
      <x:c r="D555" s="12"/>
      <x:c r="E555" s="14"/>
      <x:c r="F555" s="13" t="str">
        <x:f>IF($A555="","",IF($D555&lt;&gt;'Team Setup'!$B$4,"Other sprint",IF($C555="","Unassigned",IF(OR(ISNUMBER(SEARCH(",",$C555)),ISNUMBER(SEARCH(";",$C555))),"Multiple assignees",IF(COUNTIF('Team Setup'!$B$10:$B$34,$C555)=1,"Matched","Unmatched")))))</x:f>
      </x:c>
      <x:c r="G555" s="13" t="str">
        <x:f>IF($A555="","",IF($D555&lt;&gt;'Team Setup'!$B$4,"Other sprint",IF($E555="","Unestimated",IF(NOT(ISNUMBER($E555)),"Check estimate in hours",IF($E555&lt;0,"Check estimate in hours",IF($E555=0,"Unestimated","Estimated"))))))</x:f>
      </x:c>
    </x:row>
    <x:row r="556">
      <x:c r="A556" s="12"/>
      <x:c r="B556" s="12"/>
      <x:c r="C556" s="12"/>
      <x:c r="D556" s="12"/>
      <x:c r="E556" s="14"/>
      <x:c r="F556" s="13" t="str">
        <x:f>IF($A556="","",IF($D556&lt;&gt;'Team Setup'!$B$4,"Other sprint",IF($C556="","Unassigned",IF(OR(ISNUMBER(SEARCH(",",$C556)),ISNUMBER(SEARCH(";",$C556))),"Multiple assignees",IF(COUNTIF('Team Setup'!$B$10:$B$34,$C556)=1,"Matched","Unmatched")))))</x:f>
      </x:c>
      <x:c r="G556" s="13" t="str">
        <x:f>IF($A556="","",IF($D556&lt;&gt;'Team Setup'!$B$4,"Other sprint",IF($E556="","Unestimated",IF(NOT(ISNUMBER($E556)),"Check estimate in hours",IF($E556&lt;0,"Check estimate in hours",IF($E556=0,"Unestimated","Estimated"))))))</x:f>
      </x:c>
    </x:row>
    <x:row r="557">
      <x:c r="A557" s="12"/>
      <x:c r="B557" s="12"/>
      <x:c r="C557" s="12"/>
      <x:c r="D557" s="12"/>
      <x:c r="E557" s="14"/>
      <x:c r="F557" s="13" t="str">
        <x:f>IF($A557="","",IF($D557&lt;&gt;'Team Setup'!$B$4,"Other sprint",IF($C557="","Unassigned",IF(OR(ISNUMBER(SEARCH(",",$C557)),ISNUMBER(SEARCH(";",$C557))),"Multiple assignees",IF(COUNTIF('Team Setup'!$B$10:$B$34,$C557)=1,"Matched","Unmatched")))))</x:f>
      </x:c>
      <x:c r="G557" s="13" t="str">
        <x:f>IF($A557="","",IF($D557&lt;&gt;'Team Setup'!$B$4,"Other sprint",IF($E557="","Unestimated",IF(NOT(ISNUMBER($E557)),"Check estimate in hours",IF($E557&lt;0,"Check estimate in hours",IF($E557=0,"Unestimated","Estimated"))))))</x:f>
      </x:c>
    </x:row>
    <x:row r="558">
      <x:c r="A558" s="12"/>
      <x:c r="B558" s="12"/>
      <x:c r="C558" s="12"/>
      <x:c r="D558" s="12"/>
      <x:c r="E558" s="14"/>
      <x:c r="F558" s="13" t="str">
        <x:f>IF($A558="","",IF($D558&lt;&gt;'Team Setup'!$B$4,"Other sprint",IF($C558="","Unassigned",IF(OR(ISNUMBER(SEARCH(",",$C558)),ISNUMBER(SEARCH(";",$C558))),"Multiple assignees",IF(COUNTIF('Team Setup'!$B$10:$B$34,$C558)=1,"Matched","Unmatched")))))</x:f>
      </x:c>
      <x:c r="G558" s="13" t="str">
        <x:f>IF($A558="","",IF($D558&lt;&gt;'Team Setup'!$B$4,"Other sprint",IF($E558="","Unestimated",IF(NOT(ISNUMBER($E558)),"Check estimate in hours",IF($E558&lt;0,"Check estimate in hours",IF($E558=0,"Unestimated","Estimated"))))))</x:f>
      </x:c>
    </x:row>
    <x:row r="559">
      <x:c r="A559" s="12"/>
      <x:c r="B559" s="12"/>
      <x:c r="C559" s="12"/>
      <x:c r="D559" s="12"/>
      <x:c r="E559" s="14"/>
      <x:c r="F559" s="13" t="str">
        <x:f>IF($A559="","",IF($D559&lt;&gt;'Team Setup'!$B$4,"Other sprint",IF($C559="","Unassigned",IF(OR(ISNUMBER(SEARCH(",",$C559)),ISNUMBER(SEARCH(";",$C559))),"Multiple assignees",IF(COUNTIF('Team Setup'!$B$10:$B$34,$C559)=1,"Matched","Unmatched")))))</x:f>
      </x:c>
      <x:c r="G559" s="13" t="str">
        <x:f>IF($A559="","",IF($D559&lt;&gt;'Team Setup'!$B$4,"Other sprint",IF($E559="","Unestimated",IF(NOT(ISNUMBER($E559)),"Check estimate in hours",IF($E559&lt;0,"Check estimate in hours",IF($E559=0,"Unestimated","Estimated"))))))</x:f>
      </x:c>
    </x:row>
    <x:row r="560">
      <x:c r="A560" s="12"/>
      <x:c r="B560" s="12"/>
      <x:c r="C560" s="12"/>
      <x:c r="D560" s="12"/>
      <x:c r="E560" s="14"/>
      <x:c r="F560" s="13" t="str">
        <x:f>IF($A560="","",IF($D560&lt;&gt;'Team Setup'!$B$4,"Other sprint",IF($C560="","Unassigned",IF(OR(ISNUMBER(SEARCH(",",$C560)),ISNUMBER(SEARCH(";",$C560))),"Multiple assignees",IF(COUNTIF('Team Setup'!$B$10:$B$34,$C560)=1,"Matched","Unmatched")))))</x:f>
      </x:c>
      <x:c r="G560" s="13" t="str">
        <x:f>IF($A560="","",IF($D560&lt;&gt;'Team Setup'!$B$4,"Other sprint",IF($E560="","Unestimated",IF(NOT(ISNUMBER($E560)),"Check estimate in hours",IF($E560&lt;0,"Check estimate in hours",IF($E560=0,"Unestimated","Estimated"))))))</x:f>
      </x:c>
    </x:row>
    <x:row r="561">
      <x:c r="A561" s="12"/>
      <x:c r="B561" s="12"/>
      <x:c r="C561" s="12"/>
      <x:c r="D561" s="12"/>
      <x:c r="E561" s="14"/>
      <x:c r="F561" s="13" t="str">
        <x:f>IF($A561="","",IF($D561&lt;&gt;'Team Setup'!$B$4,"Other sprint",IF($C561="","Unassigned",IF(OR(ISNUMBER(SEARCH(",",$C561)),ISNUMBER(SEARCH(";",$C561))),"Multiple assignees",IF(COUNTIF('Team Setup'!$B$10:$B$34,$C561)=1,"Matched","Unmatched")))))</x:f>
      </x:c>
      <x:c r="G561" s="13" t="str">
        <x:f>IF($A561="","",IF($D561&lt;&gt;'Team Setup'!$B$4,"Other sprint",IF($E561="","Unestimated",IF(NOT(ISNUMBER($E561)),"Check estimate in hours",IF($E561&lt;0,"Check estimate in hours",IF($E561=0,"Unestimated","Estimated"))))))</x:f>
      </x:c>
    </x:row>
    <x:row r="562">
      <x:c r="A562" s="12"/>
      <x:c r="B562" s="12"/>
      <x:c r="C562" s="12"/>
      <x:c r="D562" s="12"/>
      <x:c r="E562" s="14"/>
      <x:c r="F562" s="13" t="str">
        <x:f>IF($A562="","",IF($D562&lt;&gt;'Team Setup'!$B$4,"Other sprint",IF($C562="","Unassigned",IF(OR(ISNUMBER(SEARCH(",",$C562)),ISNUMBER(SEARCH(";",$C562))),"Multiple assignees",IF(COUNTIF('Team Setup'!$B$10:$B$34,$C562)=1,"Matched","Unmatched")))))</x:f>
      </x:c>
      <x:c r="G562" s="13" t="str">
        <x:f>IF($A562="","",IF($D562&lt;&gt;'Team Setup'!$B$4,"Other sprint",IF($E562="","Unestimated",IF(NOT(ISNUMBER($E562)),"Check estimate in hours",IF($E562&lt;0,"Check estimate in hours",IF($E562=0,"Unestimated","Estimated"))))))</x:f>
      </x:c>
    </x:row>
    <x:row r="563">
      <x:c r="A563" s="12"/>
      <x:c r="B563" s="12"/>
      <x:c r="C563" s="12"/>
      <x:c r="D563" s="12"/>
      <x:c r="E563" s="14"/>
      <x:c r="F563" s="13" t="str">
        <x:f>IF($A563="","",IF($D563&lt;&gt;'Team Setup'!$B$4,"Other sprint",IF($C563="","Unassigned",IF(OR(ISNUMBER(SEARCH(",",$C563)),ISNUMBER(SEARCH(";",$C563))),"Multiple assignees",IF(COUNTIF('Team Setup'!$B$10:$B$34,$C563)=1,"Matched","Unmatched")))))</x:f>
      </x:c>
      <x:c r="G563" s="13" t="str">
        <x:f>IF($A563="","",IF($D563&lt;&gt;'Team Setup'!$B$4,"Other sprint",IF($E563="","Unestimated",IF(NOT(ISNUMBER($E563)),"Check estimate in hours",IF($E563&lt;0,"Check estimate in hours",IF($E563=0,"Unestimated","Estimated"))))))</x:f>
      </x:c>
    </x:row>
    <x:row r="564">
      <x:c r="A564" s="12"/>
      <x:c r="B564" s="12"/>
      <x:c r="C564" s="12"/>
      <x:c r="D564" s="12"/>
      <x:c r="E564" s="14"/>
      <x:c r="F564" s="13" t="str">
        <x:f>IF($A564="","",IF($D564&lt;&gt;'Team Setup'!$B$4,"Other sprint",IF($C564="","Unassigned",IF(OR(ISNUMBER(SEARCH(",",$C564)),ISNUMBER(SEARCH(";",$C564))),"Multiple assignees",IF(COUNTIF('Team Setup'!$B$10:$B$34,$C564)=1,"Matched","Unmatched")))))</x:f>
      </x:c>
      <x:c r="G564" s="13" t="str">
        <x:f>IF($A564="","",IF($D564&lt;&gt;'Team Setup'!$B$4,"Other sprint",IF($E564="","Unestimated",IF(NOT(ISNUMBER($E564)),"Check estimate in hours",IF($E564&lt;0,"Check estimate in hours",IF($E564=0,"Unestimated","Estimated"))))))</x:f>
      </x:c>
    </x:row>
    <x:row r="565">
      <x:c r="A565" s="12"/>
      <x:c r="B565" s="12"/>
      <x:c r="C565" s="12"/>
      <x:c r="D565" s="12"/>
      <x:c r="E565" s="14"/>
      <x:c r="F565" s="13" t="str">
        <x:f>IF($A565="","",IF($D565&lt;&gt;'Team Setup'!$B$4,"Other sprint",IF($C565="","Unassigned",IF(OR(ISNUMBER(SEARCH(",",$C565)),ISNUMBER(SEARCH(";",$C565))),"Multiple assignees",IF(COUNTIF('Team Setup'!$B$10:$B$34,$C565)=1,"Matched","Unmatched")))))</x:f>
      </x:c>
      <x:c r="G565" s="13" t="str">
        <x:f>IF($A565="","",IF($D565&lt;&gt;'Team Setup'!$B$4,"Other sprint",IF($E565="","Unestimated",IF(NOT(ISNUMBER($E565)),"Check estimate in hours",IF($E565&lt;0,"Check estimate in hours",IF($E565=0,"Unestimated","Estimated"))))))</x:f>
      </x:c>
    </x:row>
    <x:row r="566">
      <x:c r="A566" s="12"/>
      <x:c r="B566" s="12"/>
      <x:c r="C566" s="12"/>
      <x:c r="D566" s="12"/>
      <x:c r="E566" s="14"/>
      <x:c r="F566" s="13" t="str">
        <x:f>IF($A566="","",IF($D566&lt;&gt;'Team Setup'!$B$4,"Other sprint",IF($C566="","Unassigned",IF(OR(ISNUMBER(SEARCH(",",$C566)),ISNUMBER(SEARCH(";",$C566))),"Multiple assignees",IF(COUNTIF('Team Setup'!$B$10:$B$34,$C566)=1,"Matched","Unmatched")))))</x:f>
      </x:c>
      <x:c r="G566" s="13" t="str">
        <x:f>IF($A566="","",IF($D566&lt;&gt;'Team Setup'!$B$4,"Other sprint",IF($E566="","Unestimated",IF(NOT(ISNUMBER($E566)),"Check estimate in hours",IF($E566&lt;0,"Check estimate in hours",IF($E566=0,"Unestimated","Estimated"))))))</x:f>
      </x:c>
    </x:row>
    <x:row r="567">
      <x:c r="A567" s="12"/>
      <x:c r="B567" s="12"/>
      <x:c r="C567" s="12"/>
      <x:c r="D567" s="12"/>
      <x:c r="E567" s="14"/>
      <x:c r="F567" s="13" t="str">
        <x:f>IF($A567="","",IF($D567&lt;&gt;'Team Setup'!$B$4,"Other sprint",IF($C567="","Unassigned",IF(OR(ISNUMBER(SEARCH(",",$C567)),ISNUMBER(SEARCH(";",$C567))),"Multiple assignees",IF(COUNTIF('Team Setup'!$B$10:$B$34,$C567)=1,"Matched","Unmatched")))))</x:f>
      </x:c>
      <x:c r="G567" s="13" t="str">
        <x:f>IF($A567="","",IF($D567&lt;&gt;'Team Setup'!$B$4,"Other sprint",IF($E567="","Unestimated",IF(NOT(ISNUMBER($E567)),"Check estimate in hours",IF($E567&lt;0,"Check estimate in hours",IF($E567=0,"Unestimated","Estimated"))))))</x:f>
      </x:c>
    </x:row>
    <x:row r="568">
      <x:c r="A568" s="12"/>
      <x:c r="B568" s="12"/>
      <x:c r="C568" s="12"/>
      <x:c r="D568" s="12"/>
      <x:c r="E568" s="14"/>
      <x:c r="F568" s="13" t="str">
        <x:f>IF($A568="","",IF($D568&lt;&gt;'Team Setup'!$B$4,"Other sprint",IF($C568="","Unassigned",IF(OR(ISNUMBER(SEARCH(",",$C568)),ISNUMBER(SEARCH(";",$C568))),"Multiple assignees",IF(COUNTIF('Team Setup'!$B$10:$B$34,$C568)=1,"Matched","Unmatched")))))</x:f>
      </x:c>
      <x:c r="G568" s="13" t="str">
        <x:f>IF($A568="","",IF($D568&lt;&gt;'Team Setup'!$B$4,"Other sprint",IF($E568="","Unestimated",IF(NOT(ISNUMBER($E568)),"Check estimate in hours",IF($E568&lt;0,"Check estimate in hours",IF($E568=0,"Unestimated","Estimated"))))))</x:f>
      </x:c>
    </x:row>
    <x:row r="569">
      <x:c r="A569" s="12"/>
      <x:c r="B569" s="12"/>
      <x:c r="C569" s="12"/>
      <x:c r="D569" s="12"/>
      <x:c r="E569" s="14"/>
      <x:c r="F569" s="13" t="str">
        <x:f>IF($A569="","",IF($D569&lt;&gt;'Team Setup'!$B$4,"Other sprint",IF($C569="","Unassigned",IF(OR(ISNUMBER(SEARCH(",",$C569)),ISNUMBER(SEARCH(";",$C569))),"Multiple assignees",IF(COUNTIF('Team Setup'!$B$10:$B$34,$C569)=1,"Matched","Unmatched")))))</x:f>
      </x:c>
      <x:c r="G569" s="13" t="str">
        <x:f>IF($A569="","",IF($D569&lt;&gt;'Team Setup'!$B$4,"Other sprint",IF($E569="","Unestimated",IF(NOT(ISNUMBER($E569)),"Check estimate in hours",IF($E569&lt;0,"Check estimate in hours",IF($E569=0,"Unestimated","Estimated"))))))</x:f>
      </x:c>
    </x:row>
    <x:row r="570">
      <x:c r="A570" s="12"/>
      <x:c r="B570" s="12"/>
      <x:c r="C570" s="12"/>
      <x:c r="D570" s="12"/>
      <x:c r="E570" s="14"/>
      <x:c r="F570" s="13" t="str">
        <x:f>IF($A570="","",IF($D570&lt;&gt;'Team Setup'!$B$4,"Other sprint",IF($C570="","Unassigned",IF(OR(ISNUMBER(SEARCH(",",$C570)),ISNUMBER(SEARCH(";",$C570))),"Multiple assignees",IF(COUNTIF('Team Setup'!$B$10:$B$34,$C570)=1,"Matched","Unmatched")))))</x:f>
      </x:c>
      <x:c r="G570" s="13" t="str">
        <x:f>IF($A570="","",IF($D570&lt;&gt;'Team Setup'!$B$4,"Other sprint",IF($E570="","Unestimated",IF(NOT(ISNUMBER($E570)),"Check estimate in hours",IF($E570&lt;0,"Check estimate in hours",IF($E570=0,"Unestimated","Estimated"))))))</x:f>
      </x:c>
    </x:row>
    <x:row r="571">
      <x:c r="A571" s="12"/>
      <x:c r="B571" s="12"/>
      <x:c r="C571" s="12"/>
      <x:c r="D571" s="12"/>
      <x:c r="E571" s="14"/>
      <x:c r="F571" s="13" t="str">
        <x:f>IF($A571="","",IF($D571&lt;&gt;'Team Setup'!$B$4,"Other sprint",IF($C571="","Unassigned",IF(OR(ISNUMBER(SEARCH(",",$C571)),ISNUMBER(SEARCH(";",$C571))),"Multiple assignees",IF(COUNTIF('Team Setup'!$B$10:$B$34,$C571)=1,"Matched","Unmatched")))))</x:f>
      </x:c>
      <x:c r="G571" s="13" t="str">
        <x:f>IF($A571="","",IF($D571&lt;&gt;'Team Setup'!$B$4,"Other sprint",IF($E571="","Unestimated",IF(NOT(ISNUMBER($E571)),"Check estimate in hours",IF($E571&lt;0,"Check estimate in hours",IF($E571=0,"Unestimated","Estimated"))))))</x:f>
      </x:c>
    </x:row>
    <x:row r="572">
      <x:c r="A572" s="12"/>
      <x:c r="B572" s="12"/>
      <x:c r="C572" s="12"/>
      <x:c r="D572" s="12"/>
      <x:c r="E572" s="14"/>
      <x:c r="F572" s="13" t="str">
        <x:f>IF($A572="","",IF($D572&lt;&gt;'Team Setup'!$B$4,"Other sprint",IF($C572="","Unassigned",IF(OR(ISNUMBER(SEARCH(",",$C572)),ISNUMBER(SEARCH(";",$C572))),"Multiple assignees",IF(COUNTIF('Team Setup'!$B$10:$B$34,$C572)=1,"Matched","Unmatched")))))</x:f>
      </x:c>
      <x:c r="G572" s="13" t="str">
        <x:f>IF($A572="","",IF($D572&lt;&gt;'Team Setup'!$B$4,"Other sprint",IF($E572="","Unestimated",IF(NOT(ISNUMBER($E572)),"Check estimate in hours",IF($E572&lt;0,"Check estimate in hours",IF($E572=0,"Unestimated","Estimated"))))))</x:f>
      </x:c>
    </x:row>
    <x:row r="573">
      <x:c r="A573" s="12"/>
      <x:c r="B573" s="12"/>
      <x:c r="C573" s="12"/>
      <x:c r="D573" s="12"/>
      <x:c r="E573" s="14"/>
      <x:c r="F573" s="13" t="str">
        <x:f>IF($A573="","",IF($D573&lt;&gt;'Team Setup'!$B$4,"Other sprint",IF($C573="","Unassigned",IF(OR(ISNUMBER(SEARCH(",",$C573)),ISNUMBER(SEARCH(";",$C573))),"Multiple assignees",IF(COUNTIF('Team Setup'!$B$10:$B$34,$C573)=1,"Matched","Unmatched")))))</x:f>
      </x:c>
      <x:c r="G573" s="13" t="str">
        <x:f>IF($A573="","",IF($D573&lt;&gt;'Team Setup'!$B$4,"Other sprint",IF($E573="","Unestimated",IF(NOT(ISNUMBER($E573)),"Check estimate in hours",IF($E573&lt;0,"Check estimate in hours",IF($E573=0,"Unestimated","Estimated"))))))</x:f>
      </x:c>
    </x:row>
    <x:row r="574">
      <x:c r="A574" s="12"/>
      <x:c r="B574" s="12"/>
      <x:c r="C574" s="12"/>
      <x:c r="D574" s="12"/>
      <x:c r="E574" s="14"/>
      <x:c r="F574" s="13" t="str">
        <x:f>IF($A574="","",IF($D574&lt;&gt;'Team Setup'!$B$4,"Other sprint",IF($C574="","Unassigned",IF(OR(ISNUMBER(SEARCH(",",$C574)),ISNUMBER(SEARCH(";",$C574))),"Multiple assignees",IF(COUNTIF('Team Setup'!$B$10:$B$34,$C574)=1,"Matched","Unmatched")))))</x:f>
      </x:c>
      <x:c r="G574" s="13" t="str">
        <x:f>IF($A574="","",IF($D574&lt;&gt;'Team Setup'!$B$4,"Other sprint",IF($E574="","Unestimated",IF(NOT(ISNUMBER($E574)),"Check estimate in hours",IF($E574&lt;0,"Check estimate in hours",IF($E574=0,"Unestimated","Estimated"))))))</x:f>
      </x:c>
    </x:row>
    <x:row r="575">
      <x:c r="A575" s="12"/>
      <x:c r="B575" s="12"/>
      <x:c r="C575" s="12"/>
      <x:c r="D575" s="12"/>
      <x:c r="E575" s="14"/>
      <x:c r="F575" s="13" t="str">
        <x:f>IF($A575="","",IF($D575&lt;&gt;'Team Setup'!$B$4,"Other sprint",IF($C575="","Unassigned",IF(OR(ISNUMBER(SEARCH(",",$C575)),ISNUMBER(SEARCH(";",$C575))),"Multiple assignees",IF(COUNTIF('Team Setup'!$B$10:$B$34,$C575)=1,"Matched","Unmatched")))))</x:f>
      </x:c>
      <x:c r="G575" s="13" t="str">
        <x:f>IF($A575="","",IF($D575&lt;&gt;'Team Setup'!$B$4,"Other sprint",IF($E575="","Unestimated",IF(NOT(ISNUMBER($E575)),"Check estimate in hours",IF($E575&lt;0,"Check estimate in hours",IF($E575=0,"Unestimated","Estimated"))))))</x:f>
      </x:c>
    </x:row>
    <x:row r="576">
      <x:c r="A576" s="12"/>
      <x:c r="B576" s="12"/>
      <x:c r="C576" s="12"/>
      <x:c r="D576" s="12"/>
      <x:c r="E576" s="14"/>
      <x:c r="F576" s="13" t="str">
        <x:f>IF($A576="","",IF($D576&lt;&gt;'Team Setup'!$B$4,"Other sprint",IF($C576="","Unassigned",IF(OR(ISNUMBER(SEARCH(",",$C576)),ISNUMBER(SEARCH(";",$C576))),"Multiple assignees",IF(COUNTIF('Team Setup'!$B$10:$B$34,$C576)=1,"Matched","Unmatched")))))</x:f>
      </x:c>
      <x:c r="G576" s="13" t="str">
        <x:f>IF($A576="","",IF($D576&lt;&gt;'Team Setup'!$B$4,"Other sprint",IF($E576="","Unestimated",IF(NOT(ISNUMBER($E576)),"Check estimate in hours",IF($E576&lt;0,"Check estimate in hours",IF($E576=0,"Unestimated","Estimated"))))))</x:f>
      </x:c>
    </x:row>
    <x:row r="577">
      <x:c r="A577" s="12"/>
      <x:c r="B577" s="12"/>
      <x:c r="C577" s="12"/>
      <x:c r="D577" s="12"/>
      <x:c r="E577" s="14"/>
      <x:c r="F577" s="13" t="str">
        <x:f>IF($A577="","",IF($D577&lt;&gt;'Team Setup'!$B$4,"Other sprint",IF($C577="","Unassigned",IF(OR(ISNUMBER(SEARCH(",",$C577)),ISNUMBER(SEARCH(";",$C577))),"Multiple assignees",IF(COUNTIF('Team Setup'!$B$10:$B$34,$C577)=1,"Matched","Unmatched")))))</x:f>
      </x:c>
      <x:c r="G577" s="13" t="str">
        <x:f>IF($A577="","",IF($D577&lt;&gt;'Team Setup'!$B$4,"Other sprint",IF($E577="","Unestimated",IF(NOT(ISNUMBER($E577)),"Check estimate in hours",IF($E577&lt;0,"Check estimate in hours",IF($E577=0,"Unestimated","Estimated"))))))</x:f>
      </x:c>
    </x:row>
    <x:row r="578">
      <x:c r="A578" s="12"/>
      <x:c r="B578" s="12"/>
      <x:c r="C578" s="12"/>
      <x:c r="D578" s="12"/>
      <x:c r="E578" s="14"/>
      <x:c r="F578" s="13" t="str">
        <x:f>IF($A578="","",IF($D578&lt;&gt;'Team Setup'!$B$4,"Other sprint",IF($C578="","Unassigned",IF(OR(ISNUMBER(SEARCH(",",$C578)),ISNUMBER(SEARCH(";",$C578))),"Multiple assignees",IF(COUNTIF('Team Setup'!$B$10:$B$34,$C578)=1,"Matched","Unmatched")))))</x:f>
      </x:c>
      <x:c r="G578" s="13" t="str">
        <x:f>IF($A578="","",IF($D578&lt;&gt;'Team Setup'!$B$4,"Other sprint",IF($E578="","Unestimated",IF(NOT(ISNUMBER($E578)),"Check estimate in hours",IF($E578&lt;0,"Check estimate in hours",IF($E578=0,"Unestimated","Estimated"))))))</x:f>
      </x:c>
    </x:row>
    <x:row r="579">
      <x:c r="A579" s="12"/>
      <x:c r="B579" s="12"/>
      <x:c r="C579" s="12"/>
      <x:c r="D579" s="12"/>
      <x:c r="E579" s="14"/>
      <x:c r="F579" s="13" t="str">
        <x:f>IF($A579="","",IF($D579&lt;&gt;'Team Setup'!$B$4,"Other sprint",IF($C579="","Unassigned",IF(OR(ISNUMBER(SEARCH(",",$C579)),ISNUMBER(SEARCH(";",$C579))),"Multiple assignees",IF(COUNTIF('Team Setup'!$B$10:$B$34,$C579)=1,"Matched","Unmatched")))))</x:f>
      </x:c>
      <x:c r="G579" s="13" t="str">
        <x:f>IF($A579="","",IF($D579&lt;&gt;'Team Setup'!$B$4,"Other sprint",IF($E579="","Unestimated",IF(NOT(ISNUMBER($E579)),"Check estimate in hours",IF($E579&lt;0,"Check estimate in hours",IF($E579=0,"Unestimated","Estimated"))))))</x:f>
      </x:c>
    </x:row>
    <x:row r="580">
      <x:c r="A580" s="12"/>
      <x:c r="B580" s="12"/>
      <x:c r="C580" s="12"/>
      <x:c r="D580" s="12"/>
      <x:c r="E580" s="14"/>
      <x:c r="F580" s="13" t="str">
        <x:f>IF($A580="","",IF($D580&lt;&gt;'Team Setup'!$B$4,"Other sprint",IF($C580="","Unassigned",IF(OR(ISNUMBER(SEARCH(",",$C580)),ISNUMBER(SEARCH(";",$C580))),"Multiple assignees",IF(COUNTIF('Team Setup'!$B$10:$B$34,$C580)=1,"Matched","Unmatched")))))</x:f>
      </x:c>
      <x:c r="G580" s="13" t="str">
        <x:f>IF($A580="","",IF($D580&lt;&gt;'Team Setup'!$B$4,"Other sprint",IF($E580="","Unestimated",IF(NOT(ISNUMBER($E580)),"Check estimate in hours",IF($E580&lt;0,"Check estimate in hours",IF($E580=0,"Unestimated","Estimated"))))))</x:f>
      </x:c>
    </x:row>
    <x:row r="581">
      <x:c r="A581" s="12"/>
      <x:c r="B581" s="12"/>
      <x:c r="C581" s="12"/>
      <x:c r="D581" s="12"/>
      <x:c r="E581" s="14"/>
      <x:c r="F581" s="13" t="str">
        <x:f>IF($A581="","",IF($D581&lt;&gt;'Team Setup'!$B$4,"Other sprint",IF($C581="","Unassigned",IF(OR(ISNUMBER(SEARCH(",",$C581)),ISNUMBER(SEARCH(";",$C581))),"Multiple assignees",IF(COUNTIF('Team Setup'!$B$10:$B$34,$C581)=1,"Matched","Unmatched")))))</x:f>
      </x:c>
      <x:c r="G581" s="13" t="str">
        <x:f>IF($A581="","",IF($D581&lt;&gt;'Team Setup'!$B$4,"Other sprint",IF($E581="","Unestimated",IF(NOT(ISNUMBER($E581)),"Check estimate in hours",IF($E581&lt;0,"Check estimate in hours",IF($E581=0,"Unestimated","Estimated"))))))</x:f>
      </x:c>
    </x:row>
    <x:row r="582">
      <x:c r="A582" s="12"/>
      <x:c r="B582" s="12"/>
      <x:c r="C582" s="12"/>
      <x:c r="D582" s="12"/>
      <x:c r="E582" s="14"/>
      <x:c r="F582" s="13" t="str">
        <x:f>IF($A582="","",IF($D582&lt;&gt;'Team Setup'!$B$4,"Other sprint",IF($C582="","Unassigned",IF(OR(ISNUMBER(SEARCH(",",$C582)),ISNUMBER(SEARCH(";",$C582))),"Multiple assignees",IF(COUNTIF('Team Setup'!$B$10:$B$34,$C582)=1,"Matched","Unmatched")))))</x:f>
      </x:c>
      <x:c r="G582" s="13" t="str">
        <x:f>IF($A582="","",IF($D582&lt;&gt;'Team Setup'!$B$4,"Other sprint",IF($E582="","Unestimated",IF(NOT(ISNUMBER($E582)),"Check estimate in hours",IF($E582&lt;0,"Check estimate in hours",IF($E582=0,"Unestimated","Estimated"))))))</x:f>
      </x:c>
    </x:row>
    <x:row r="583">
      <x:c r="A583" s="12"/>
      <x:c r="B583" s="12"/>
      <x:c r="C583" s="12"/>
      <x:c r="D583" s="12"/>
      <x:c r="E583" s="14"/>
      <x:c r="F583" s="13" t="str">
        <x:f>IF($A583="","",IF($D583&lt;&gt;'Team Setup'!$B$4,"Other sprint",IF($C583="","Unassigned",IF(OR(ISNUMBER(SEARCH(",",$C583)),ISNUMBER(SEARCH(";",$C583))),"Multiple assignees",IF(COUNTIF('Team Setup'!$B$10:$B$34,$C583)=1,"Matched","Unmatched")))))</x:f>
      </x:c>
      <x:c r="G583" s="13" t="str">
        <x:f>IF($A583="","",IF($D583&lt;&gt;'Team Setup'!$B$4,"Other sprint",IF($E583="","Unestimated",IF(NOT(ISNUMBER($E583)),"Check estimate in hours",IF($E583&lt;0,"Check estimate in hours",IF($E583=0,"Unestimated","Estimated"))))))</x:f>
      </x:c>
    </x:row>
    <x:row r="584">
      <x:c r="A584" s="12"/>
      <x:c r="B584" s="12"/>
      <x:c r="C584" s="12"/>
      <x:c r="D584" s="12"/>
      <x:c r="E584" s="14"/>
      <x:c r="F584" s="13" t="str">
        <x:f>IF($A584="","",IF($D584&lt;&gt;'Team Setup'!$B$4,"Other sprint",IF($C584="","Unassigned",IF(OR(ISNUMBER(SEARCH(",",$C584)),ISNUMBER(SEARCH(";",$C584))),"Multiple assignees",IF(COUNTIF('Team Setup'!$B$10:$B$34,$C584)=1,"Matched","Unmatched")))))</x:f>
      </x:c>
      <x:c r="G584" s="13" t="str">
        <x:f>IF($A584="","",IF($D584&lt;&gt;'Team Setup'!$B$4,"Other sprint",IF($E584="","Unestimated",IF(NOT(ISNUMBER($E584)),"Check estimate in hours",IF($E584&lt;0,"Check estimate in hours",IF($E584=0,"Unestimated","Estimated"))))))</x:f>
      </x:c>
    </x:row>
    <x:row r="585">
      <x:c r="A585" s="12"/>
      <x:c r="B585" s="12"/>
      <x:c r="C585" s="12"/>
      <x:c r="D585" s="12"/>
      <x:c r="E585" s="14"/>
      <x:c r="F585" s="13" t="str">
        <x:f>IF($A585="","",IF($D585&lt;&gt;'Team Setup'!$B$4,"Other sprint",IF($C585="","Unassigned",IF(OR(ISNUMBER(SEARCH(",",$C585)),ISNUMBER(SEARCH(";",$C585))),"Multiple assignees",IF(COUNTIF('Team Setup'!$B$10:$B$34,$C585)=1,"Matched","Unmatched")))))</x:f>
      </x:c>
      <x:c r="G585" s="13" t="str">
        <x:f>IF($A585="","",IF($D585&lt;&gt;'Team Setup'!$B$4,"Other sprint",IF($E585="","Unestimated",IF(NOT(ISNUMBER($E585)),"Check estimate in hours",IF($E585&lt;0,"Check estimate in hours",IF($E585=0,"Unestimated","Estimated"))))))</x:f>
      </x:c>
    </x:row>
    <x:row r="586">
      <x:c r="A586" s="12"/>
      <x:c r="B586" s="12"/>
      <x:c r="C586" s="12"/>
      <x:c r="D586" s="12"/>
      <x:c r="E586" s="14"/>
      <x:c r="F586" s="13" t="str">
        <x:f>IF($A586="","",IF($D586&lt;&gt;'Team Setup'!$B$4,"Other sprint",IF($C586="","Unassigned",IF(OR(ISNUMBER(SEARCH(",",$C586)),ISNUMBER(SEARCH(";",$C586))),"Multiple assignees",IF(COUNTIF('Team Setup'!$B$10:$B$34,$C586)=1,"Matched","Unmatched")))))</x:f>
      </x:c>
      <x:c r="G586" s="13" t="str">
        <x:f>IF($A586="","",IF($D586&lt;&gt;'Team Setup'!$B$4,"Other sprint",IF($E586="","Unestimated",IF(NOT(ISNUMBER($E586)),"Check estimate in hours",IF($E586&lt;0,"Check estimate in hours",IF($E586=0,"Unestimated","Estimated"))))))</x:f>
      </x:c>
    </x:row>
    <x:row r="587">
      <x:c r="A587" s="12"/>
      <x:c r="B587" s="12"/>
      <x:c r="C587" s="12"/>
      <x:c r="D587" s="12"/>
      <x:c r="E587" s="14"/>
      <x:c r="F587" s="13" t="str">
        <x:f>IF($A587="","",IF($D587&lt;&gt;'Team Setup'!$B$4,"Other sprint",IF($C587="","Unassigned",IF(OR(ISNUMBER(SEARCH(",",$C587)),ISNUMBER(SEARCH(";",$C587))),"Multiple assignees",IF(COUNTIF('Team Setup'!$B$10:$B$34,$C587)=1,"Matched","Unmatched")))))</x:f>
      </x:c>
      <x:c r="G587" s="13" t="str">
        <x:f>IF($A587="","",IF($D587&lt;&gt;'Team Setup'!$B$4,"Other sprint",IF($E587="","Unestimated",IF(NOT(ISNUMBER($E587)),"Check estimate in hours",IF($E587&lt;0,"Check estimate in hours",IF($E587=0,"Unestimated","Estimated"))))))</x:f>
      </x:c>
    </x:row>
    <x:row r="588">
      <x:c r="A588" s="12"/>
      <x:c r="B588" s="12"/>
      <x:c r="C588" s="12"/>
      <x:c r="D588" s="12"/>
      <x:c r="E588" s="14"/>
      <x:c r="F588" s="13" t="str">
        <x:f>IF($A588="","",IF($D588&lt;&gt;'Team Setup'!$B$4,"Other sprint",IF($C588="","Unassigned",IF(OR(ISNUMBER(SEARCH(",",$C588)),ISNUMBER(SEARCH(";",$C588))),"Multiple assignees",IF(COUNTIF('Team Setup'!$B$10:$B$34,$C588)=1,"Matched","Unmatched")))))</x:f>
      </x:c>
      <x:c r="G588" s="13" t="str">
        <x:f>IF($A588="","",IF($D588&lt;&gt;'Team Setup'!$B$4,"Other sprint",IF($E588="","Unestimated",IF(NOT(ISNUMBER($E588)),"Check estimate in hours",IF($E588&lt;0,"Check estimate in hours",IF($E588=0,"Unestimated","Estimated"))))))</x:f>
      </x:c>
    </x:row>
    <x:row r="589">
      <x:c r="A589" s="12"/>
      <x:c r="B589" s="12"/>
      <x:c r="C589" s="12"/>
      <x:c r="D589" s="12"/>
      <x:c r="E589" s="14"/>
      <x:c r="F589" s="13" t="str">
        <x:f>IF($A589="","",IF($D589&lt;&gt;'Team Setup'!$B$4,"Other sprint",IF($C589="","Unassigned",IF(OR(ISNUMBER(SEARCH(",",$C589)),ISNUMBER(SEARCH(";",$C589))),"Multiple assignees",IF(COUNTIF('Team Setup'!$B$10:$B$34,$C589)=1,"Matched","Unmatched")))))</x:f>
      </x:c>
      <x:c r="G589" s="13" t="str">
        <x:f>IF($A589="","",IF($D589&lt;&gt;'Team Setup'!$B$4,"Other sprint",IF($E589="","Unestimated",IF(NOT(ISNUMBER($E589)),"Check estimate in hours",IF($E589&lt;0,"Check estimate in hours",IF($E589=0,"Unestimated","Estimated"))))))</x:f>
      </x:c>
    </x:row>
    <x:row r="590">
      <x:c r="A590" s="12"/>
      <x:c r="B590" s="12"/>
      <x:c r="C590" s="12"/>
      <x:c r="D590" s="12"/>
      <x:c r="E590" s="14"/>
      <x:c r="F590" s="13" t="str">
        <x:f>IF($A590="","",IF($D590&lt;&gt;'Team Setup'!$B$4,"Other sprint",IF($C590="","Unassigned",IF(OR(ISNUMBER(SEARCH(",",$C590)),ISNUMBER(SEARCH(";",$C590))),"Multiple assignees",IF(COUNTIF('Team Setup'!$B$10:$B$34,$C590)=1,"Matched","Unmatched")))))</x:f>
      </x:c>
      <x:c r="G590" s="13" t="str">
        <x:f>IF($A590="","",IF($D590&lt;&gt;'Team Setup'!$B$4,"Other sprint",IF($E590="","Unestimated",IF(NOT(ISNUMBER($E590)),"Check estimate in hours",IF($E590&lt;0,"Check estimate in hours",IF($E590=0,"Unestimated","Estimated"))))))</x:f>
      </x:c>
    </x:row>
    <x:row r="591">
      <x:c r="A591" s="12"/>
      <x:c r="B591" s="12"/>
      <x:c r="C591" s="12"/>
      <x:c r="D591" s="12"/>
      <x:c r="E591" s="14"/>
      <x:c r="F591" s="13" t="str">
        <x:f>IF($A591="","",IF($D591&lt;&gt;'Team Setup'!$B$4,"Other sprint",IF($C591="","Unassigned",IF(OR(ISNUMBER(SEARCH(",",$C591)),ISNUMBER(SEARCH(";",$C591))),"Multiple assignees",IF(COUNTIF('Team Setup'!$B$10:$B$34,$C591)=1,"Matched","Unmatched")))))</x:f>
      </x:c>
      <x:c r="G591" s="13" t="str">
        <x:f>IF($A591="","",IF($D591&lt;&gt;'Team Setup'!$B$4,"Other sprint",IF($E591="","Unestimated",IF(NOT(ISNUMBER($E591)),"Check estimate in hours",IF($E591&lt;0,"Check estimate in hours",IF($E591=0,"Unestimated","Estimated"))))))</x:f>
      </x:c>
    </x:row>
    <x:row r="592">
      <x:c r="A592" s="12"/>
      <x:c r="B592" s="12"/>
      <x:c r="C592" s="12"/>
      <x:c r="D592" s="12"/>
      <x:c r="E592" s="14"/>
      <x:c r="F592" s="13" t="str">
        <x:f>IF($A592="","",IF($D592&lt;&gt;'Team Setup'!$B$4,"Other sprint",IF($C592="","Unassigned",IF(OR(ISNUMBER(SEARCH(",",$C592)),ISNUMBER(SEARCH(";",$C592))),"Multiple assignees",IF(COUNTIF('Team Setup'!$B$10:$B$34,$C592)=1,"Matched","Unmatched")))))</x:f>
      </x:c>
      <x:c r="G592" s="13" t="str">
        <x:f>IF($A592="","",IF($D592&lt;&gt;'Team Setup'!$B$4,"Other sprint",IF($E592="","Unestimated",IF(NOT(ISNUMBER($E592)),"Check estimate in hours",IF($E592&lt;0,"Check estimate in hours",IF($E592=0,"Unestimated","Estimated"))))))</x:f>
      </x:c>
    </x:row>
    <x:row r="593">
      <x:c r="A593" s="12"/>
      <x:c r="B593" s="12"/>
      <x:c r="C593" s="12"/>
      <x:c r="D593" s="12"/>
      <x:c r="E593" s="14"/>
      <x:c r="F593" s="13" t="str">
        <x:f>IF($A593="","",IF($D593&lt;&gt;'Team Setup'!$B$4,"Other sprint",IF($C593="","Unassigned",IF(OR(ISNUMBER(SEARCH(",",$C593)),ISNUMBER(SEARCH(";",$C593))),"Multiple assignees",IF(COUNTIF('Team Setup'!$B$10:$B$34,$C593)=1,"Matched","Unmatched")))))</x:f>
      </x:c>
      <x:c r="G593" s="13" t="str">
        <x:f>IF($A593="","",IF($D593&lt;&gt;'Team Setup'!$B$4,"Other sprint",IF($E593="","Unestimated",IF(NOT(ISNUMBER($E593)),"Check estimate in hours",IF($E593&lt;0,"Check estimate in hours",IF($E593=0,"Unestimated","Estimated"))))))</x:f>
      </x:c>
    </x:row>
    <x:row r="594">
      <x:c r="A594" s="12"/>
      <x:c r="B594" s="12"/>
      <x:c r="C594" s="12"/>
      <x:c r="D594" s="12"/>
      <x:c r="E594" s="14"/>
      <x:c r="F594" s="13" t="str">
        <x:f>IF($A594="","",IF($D594&lt;&gt;'Team Setup'!$B$4,"Other sprint",IF($C594="","Unassigned",IF(OR(ISNUMBER(SEARCH(",",$C594)),ISNUMBER(SEARCH(";",$C594))),"Multiple assignees",IF(COUNTIF('Team Setup'!$B$10:$B$34,$C594)=1,"Matched","Unmatched")))))</x:f>
      </x:c>
      <x:c r="G594" s="13" t="str">
        <x:f>IF($A594="","",IF($D594&lt;&gt;'Team Setup'!$B$4,"Other sprint",IF($E594="","Unestimated",IF(NOT(ISNUMBER($E594)),"Check estimate in hours",IF($E594&lt;0,"Check estimate in hours",IF($E594=0,"Unestimated","Estimated"))))))</x:f>
      </x:c>
    </x:row>
    <x:row r="595">
      <x:c r="A595" s="12"/>
      <x:c r="B595" s="12"/>
      <x:c r="C595" s="12"/>
      <x:c r="D595" s="12"/>
      <x:c r="E595" s="14"/>
      <x:c r="F595" s="13" t="str">
        <x:f>IF($A595="","",IF($D595&lt;&gt;'Team Setup'!$B$4,"Other sprint",IF($C595="","Unassigned",IF(OR(ISNUMBER(SEARCH(",",$C595)),ISNUMBER(SEARCH(";",$C595))),"Multiple assignees",IF(COUNTIF('Team Setup'!$B$10:$B$34,$C595)=1,"Matched","Unmatched")))))</x:f>
      </x:c>
      <x:c r="G595" s="13" t="str">
        <x:f>IF($A595="","",IF($D595&lt;&gt;'Team Setup'!$B$4,"Other sprint",IF($E595="","Unestimated",IF(NOT(ISNUMBER($E595)),"Check estimate in hours",IF($E595&lt;0,"Check estimate in hours",IF($E595=0,"Unestimated","Estimated"))))))</x:f>
      </x:c>
    </x:row>
    <x:row r="596">
      <x:c r="A596" s="12"/>
      <x:c r="B596" s="12"/>
      <x:c r="C596" s="12"/>
      <x:c r="D596" s="12"/>
      <x:c r="E596" s="14"/>
      <x:c r="F596" s="13" t="str">
        <x:f>IF($A596="","",IF($D596&lt;&gt;'Team Setup'!$B$4,"Other sprint",IF($C596="","Unassigned",IF(OR(ISNUMBER(SEARCH(",",$C596)),ISNUMBER(SEARCH(";",$C596))),"Multiple assignees",IF(COUNTIF('Team Setup'!$B$10:$B$34,$C596)=1,"Matched","Unmatched")))))</x:f>
      </x:c>
      <x:c r="G596" s="13" t="str">
        <x:f>IF($A596="","",IF($D596&lt;&gt;'Team Setup'!$B$4,"Other sprint",IF($E596="","Unestimated",IF(NOT(ISNUMBER($E596)),"Check estimate in hours",IF($E596&lt;0,"Check estimate in hours",IF($E596=0,"Unestimated","Estimated"))))))</x:f>
      </x:c>
    </x:row>
    <x:row r="597">
      <x:c r="A597" s="12"/>
      <x:c r="B597" s="12"/>
      <x:c r="C597" s="12"/>
      <x:c r="D597" s="12"/>
      <x:c r="E597" s="14"/>
      <x:c r="F597" s="13" t="str">
        <x:f>IF($A597="","",IF($D597&lt;&gt;'Team Setup'!$B$4,"Other sprint",IF($C597="","Unassigned",IF(OR(ISNUMBER(SEARCH(",",$C597)),ISNUMBER(SEARCH(";",$C597))),"Multiple assignees",IF(COUNTIF('Team Setup'!$B$10:$B$34,$C597)=1,"Matched","Unmatched")))))</x:f>
      </x:c>
      <x:c r="G597" s="13" t="str">
        <x:f>IF($A597="","",IF($D597&lt;&gt;'Team Setup'!$B$4,"Other sprint",IF($E597="","Unestimated",IF(NOT(ISNUMBER($E597)),"Check estimate in hours",IF($E597&lt;0,"Check estimate in hours",IF($E597=0,"Unestimated","Estimated"))))))</x:f>
      </x:c>
    </x:row>
    <x:row r="598">
      <x:c r="A598" s="12"/>
      <x:c r="B598" s="12"/>
      <x:c r="C598" s="12"/>
      <x:c r="D598" s="12"/>
      <x:c r="E598" s="14"/>
      <x:c r="F598" s="13" t="str">
        <x:f>IF($A598="","",IF($D598&lt;&gt;'Team Setup'!$B$4,"Other sprint",IF($C598="","Unassigned",IF(OR(ISNUMBER(SEARCH(",",$C598)),ISNUMBER(SEARCH(";",$C598))),"Multiple assignees",IF(COUNTIF('Team Setup'!$B$10:$B$34,$C598)=1,"Matched","Unmatched")))))</x:f>
      </x:c>
      <x:c r="G598" s="13" t="str">
        <x:f>IF($A598="","",IF($D598&lt;&gt;'Team Setup'!$B$4,"Other sprint",IF($E598="","Unestimated",IF(NOT(ISNUMBER($E598)),"Check estimate in hours",IF($E598&lt;0,"Check estimate in hours",IF($E598=0,"Unestimated","Estimated"))))))</x:f>
      </x:c>
    </x:row>
    <x:row r="599">
      <x:c r="A599" s="12"/>
      <x:c r="B599" s="12"/>
      <x:c r="C599" s="12"/>
      <x:c r="D599" s="12"/>
      <x:c r="E599" s="14"/>
      <x:c r="F599" s="13" t="str">
        <x:f>IF($A599="","",IF($D599&lt;&gt;'Team Setup'!$B$4,"Other sprint",IF($C599="","Unassigned",IF(OR(ISNUMBER(SEARCH(",",$C599)),ISNUMBER(SEARCH(";",$C599))),"Multiple assignees",IF(COUNTIF('Team Setup'!$B$10:$B$34,$C599)=1,"Matched","Unmatched")))))</x:f>
      </x:c>
      <x:c r="G599" s="13" t="str">
        <x:f>IF($A599="","",IF($D599&lt;&gt;'Team Setup'!$B$4,"Other sprint",IF($E599="","Unestimated",IF(NOT(ISNUMBER($E599)),"Check estimate in hours",IF($E599&lt;0,"Check estimate in hours",IF($E599=0,"Unestimated","Estimated"))))))</x:f>
      </x:c>
    </x:row>
    <x:row r="600">
      <x:c r="A600" s="12"/>
      <x:c r="B600" s="12"/>
      <x:c r="C600" s="12"/>
      <x:c r="D600" s="12"/>
      <x:c r="E600" s="14"/>
      <x:c r="F600" s="13" t="str">
        <x:f>IF($A600="","",IF($D600&lt;&gt;'Team Setup'!$B$4,"Other sprint",IF($C600="","Unassigned",IF(OR(ISNUMBER(SEARCH(",",$C600)),ISNUMBER(SEARCH(";",$C600))),"Multiple assignees",IF(COUNTIF('Team Setup'!$B$10:$B$34,$C600)=1,"Matched","Unmatched")))))</x:f>
      </x:c>
      <x:c r="G600" s="13" t="str">
        <x:f>IF($A600="","",IF($D600&lt;&gt;'Team Setup'!$B$4,"Other sprint",IF($E600="","Unestimated",IF(NOT(ISNUMBER($E600)),"Check estimate in hours",IF($E600&lt;0,"Check estimate in hours",IF($E600=0,"Unestimated","Estimated"))))))</x:f>
      </x:c>
    </x:row>
    <x:row r="601">
      <x:c r="A601" s="12"/>
      <x:c r="B601" s="12"/>
      <x:c r="C601" s="12"/>
      <x:c r="D601" s="12"/>
      <x:c r="E601" s="14"/>
      <x:c r="F601" s="13" t="str">
        <x:f>IF($A601="","",IF($D601&lt;&gt;'Team Setup'!$B$4,"Other sprint",IF($C601="","Unassigned",IF(OR(ISNUMBER(SEARCH(",",$C601)),ISNUMBER(SEARCH(";",$C601))),"Multiple assignees",IF(COUNTIF('Team Setup'!$B$10:$B$34,$C601)=1,"Matched","Unmatched")))))</x:f>
      </x:c>
      <x:c r="G601" s="13" t="str">
        <x:f>IF($A601="","",IF($D601&lt;&gt;'Team Setup'!$B$4,"Other sprint",IF($E601="","Unestimated",IF(NOT(ISNUMBER($E601)),"Check estimate in hours",IF($E601&lt;0,"Check estimate in hours",IF($E601=0,"Unestimated","Estimated"))))))</x:f>
      </x:c>
    </x:row>
    <x:row r="602">
      <x:c r="A602" s="12"/>
      <x:c r="B602" s="12"/>
      <x:c r="C602" s="12"/>
      <x:c r="D602" s="12"/>
      <x:c r="E602" s="14"/>
      <x:c r="F602" s="13" t="str">
        <x:f>IF($A602="","",IF($D602&lt;&gt;'Team Setup'!$B$4,"Other sprint",IF($C602="","Unassigned",IF(OR(ISNUMBER(SEARCH(",",$C602)),ISNUMBER(SEARCH(";",$C602))),"Multiple assignees",IF(COUNTIF('Team Setup'!$B$10:$B$34,$C602)=1,"Matched","Unmatched")))))</x:f>
      </x:c>
      <x:c r="G602" s="13" t="str">
        <x:f>IF($A602="","",IF($D602&lt;&gt;'Team Setup'!$B$4,"Other sprint",IF($E602="","Unestimated",IF(NOT(ISNUMBER($E602)),"Check estimate in hours",IF($E602&lt;0,"Check estimate in hours",IF($E602=0,"Unestimated","Estimated"))))))</x:f>
      </x:c>
    </x:row>
    <x:row r="603">
      <x:c r="A603" s="12"/>
      <x:c r="B603" s="12"/>
      <x:c r="C603" s="12"/>
      <x:c r="D603" s="12"/>
      <x:c r="E603" s="14"/>
      <x:c r="F603" s="13" t="str">
        <x:f>IF($A603="","",IF($D603&lt;&gt;'Team Setup'!$B$4,"Other sprint",IF($C603="","Unassigned",IF(OR(ISNUMBER(SEARCH(",",$C603)),ISNUMBER(SEARCH(";",$C603))),"Multiple assignees",IF(COUNTIF('Team Setup'!$B$10:$B$34,$C603)=1,"Matched","Unmatched")))))</x:f>
      </x:c>
      <x:c r="G603" s="13" t="str">
        <x:f>IF($A603="","",IF($D603&lt;&gt;'Team Setup'!$B$4,"Other sprint",IF($E603="","Unestimated",IF(NOT(ISNUMBER($E603)),"Check estimate in hours",IF($E603&lt;0,"Check estimate in hours",IF($E603=0,"Unestimated","Estimated"))))))</x:f>
      </x:c>
    </x:row>
    <x:row r="604">
      <x:c r="A604" s="12"/>
      <x:c r="B604" s="12"/>
      <x:c r="C604" s="12"/>
      <x:c r="D604" s="12"/>
      <x:c r="E604" s="14"/>
      <x:c r="F604" s="13" t="str">
        <x:f>IF($A604="","",IF($D604&lt;&gt;'Team Setup'!$B$4,"Other sprint",IF($C604="","Unassigned",IF(OR(ISNUMBER(SEARCH(",",$C604)),ISNUMBER(SEARCH(";",$C604))),"Multiple assignees",IF(COUNTIF('Team Setup'!$B$10:$B$34,$C604)=1,"Matched","Unmatched")))))</x:f>
      </x:c>
      <x:c r="G604" s="13" t="str">
        <x:f>IF($A604="","",IF($D604&lt;&gt;'Team Setup'!$B$4,"Other sprint",IF($E604="","Unestimated",IF(NOT(ISNUMBER($E604)),"Check estimate in hours",IF($E604&lt;0,"Check estimate in hours",IF($E604=0,"Unestimated","Estimated"))))))</x:f>
      </x:c>
    </x:row>
    <x:row r="605">
      <x:c r="A605" s="12"/>
      <x:c r="B605" s="12"/>
      <x:c r="C605" s="12"/>
      <x:c r="D605" s="12"/>
      <x:c r="E605" s="14"/>
      <x:c r="F605" s="13" t="str">
        <x:f>IF($A605="","",IF($D605&lt;&gt;'Team Setup'!$B$4,"Other sprint",IF($C605="","Unassigned",IF(OR(ISNUMBER(SEARCH(",",$C605)),ISNUMBER(SEARCH(";",$C605))),"Multiple assignees",IF(COUNTIF('Team Setup'!$B$10:$B$34,$C605)=1,"Matched","Unmatched")))))</x:f>
      </x:c>
      <x:c r="G605" s="13" t="str">
        <x:f>IF($A605="","",IF($D605&lt;&gt;'Team Setup'!$B$4,"Other sprint",IF($E605="","Unestimated",IF(NOT(ISNUMBER($E605)),"Check estimate in hours",IF($E605&lt;0,"Check estimate in hours",IF($E605=0,"Unestimated","Estimated"))))))</x:f>
      </x:c>
    </x:row>
    <x:row r="606">
      <x:c r="A606" s="12"/>
      <x:c r="B606" s="12"/>
      <x:c r="C606" s="12"/>
      <x:c r="D606" s="12"/>
      <x:c r="E606" s="14"/>
      <x:c r="F606" s="13" t="str">
        <x:f>IF($A606="","",IF($D606&lt;&gt;'Team Setup'!$B$4,"Other sprint",IF($C606="","Unassigned",IF(OR(ISNUMBER(SEARCH(",",$C606)),ISNUMBER(SEARCH(";",$C606))),"Multiple assignees",IF(COUNTIF('Team Setup'!$B$10:$B$34,$C606)=1,"Matched","Unmatched")))))</x:f>
      </x:c>
      <x:c r="G606" s="13" t="str">
        <x:f>IF($A606="","",IF($D606&lt;&gt;'Team Setup'!$B$4,"Other sprint",IF($E606="","Unestimated",IF(NOT(ISNUMBER($E606)),"Check estimate in hours",IF($E606&lt;0,"Check estimate in hours",IF($E606=0,"Unestimated","Estimated"))))))</x:f>
      </x:c>
    </x:row>
    <x:row r="607">
      <x:c r="A607" s="12"/>
      <x:c r="B607" s="12"/>
      <x:c r="C607" s="12"/>
      <x:c r="D607" s="12"/>
      <x:c r="E607" s="14"/>
      <x:c r="F607" s="13" t="str">
        <x:f>IF($A607="","",IF($D607&lt;&gt;'Team Setup'!$B$4,"Other sprint",IF($C607="","Unassigned",IF(OR(ISNUMBER(SEARCH(",",$C607)),ISNUMBER(SEARCH(";",$C607))),"Multiple assignees",IF(COUNTIF('Team Setup'!$B$10:$B$34,$C607)=1,"Matched","Unmatched")))))</x:f>
      </x:c>
      <x:c r="G607" s="13" t="str">
        <x:f>IF($A607="","",IF($D607&lt;&gt;'Team Setup'!$B$4,"Other sprint",IF($E607="","Unestimated",IF(NOT(ISNUMBER($E607)),"Check estimate in hours",IF($E607&lt;0,"Check estimate in hours",IF($E607=0,"Unestimated","Estimated"))))))</x:f>
      </x:c>
    </x:row>
    <x:row r="608">
      <x:c r="A608" s="12"/>
      <x:c r="B608" s="12"/>
      <x:c r="C608" s="12"/>
      <x:c r="D608" s="12"/>
      <x:c r="E608" s="14"/>
      <x:c r="F608" s="13" t="str">
        <x:f>IF($A608="","",IF($D608&lt;&gt;'Team Setup'!$B$4,"Other sprint",IF($C608="","Unassigned",IF(OR(ISNUMBER(SEARCH(",",$C608)),ISNUMBER(SEARCH(";",$C608))),"Multiple assignees",IF(COUNTIF('Team Setup'!$B$10:$B$34,$C608)=1,"Matched","Unmatched")))))</x:f>
      </x:c>
      <x:c r="G608" s="13" t="str">
        <x:f>IF($A608="","",IF($D608&lt;&gt;'Team Setup'!$B$4,"Other sprint",IF($E608="","Unestimated",IF(NOT(ISNUMBER($E608)),"Check estimate in hours",IF($E608&lt;0,"Check estimate in hours",IF($E608=0,"Unestimated","Estimated"))))))</x:f>
      </x:c>
    </x:row>
    <x:row r="609">
      <x:c r="A609" s="12"/>
      <x:c r="B609" s="12"/>
      <x:c r="C609" s="12"/>
      <x:c r="D609" s="12"/>
      <x:c r="E609" s="14"/>
      <x:c r="F609" s="13" t="str">
        <x:f>IF($A609="","",IF($D609&lt;&gt;'Team Setup'!$B$4,"Other sprint",IF($C609="","Unassigned",IF(OR(ISNUMBER(SEARCH(",",$C609)),ISNUMBER(SEARCH(";",$C609))),"Multiple assignees",IF(COUNTIF('Team Setup'!$B$10:$B$34,$C609)=1,"Matched","Unmatched")))))</x:f>
      </x:c>
      <x:c r="G609" s="13" t="str">
        <x:f>IF($A609="","",IF($D609&lt;&gt;'Team Setup'!$B$4,"Other sprint",IF($E609="","Unestimated",IF(NOT(ISNUMBER($E609)),"Check estimate in hours",IF($E609&lt;0,"Check estimate in hours",IF($E609=0,"Unestimated","Estimated"))))))</x:f>
      </x:c>
    </x:row>
    <x:row r="610">
      <x:c r="A610" s="12"/>
      <x:c r="B610" s="12"/>
      <x:c r="C610" s="12"/>
      <x:c r="D610" s="12"/>
      <x:c r="E610" s="14"/>
      <x:c r="F610" s="13" t="str">
        <x:f>IF($A610="","",IF($D610&lt;&gt;'Team Setup'!$B$4,"Other sprint",IF($C610="","Unassigned",IF(OR(ISNUMBER(SEARCH(",",$C610)),ISNUMBER(SEARCH(";",$C610))),"Multiple assignees",IF(COUNTIF('Team Setup'!$B$10:$B$34,$C610)=1,"Matched","Unmatched")))))</x:f>
      </x:c>
      <x:c r="G610" s="13" t="str">
        <x:f>IF($A610="","",IF($D610&lt;&gt;'Team Setup'!$B$4,"Other sprint",IF($E610="","Unestimated",IF(NOT(ISNUMBER($E610)),"Check estimate in hours",IF($E610&lt;0,"Check estimate in hours",IF($E610=0,"Unestimated","Estimated"))))))</x:f>
      </x:c>
    </x:row>
    <x:row r="611">
      <x:c r="A611" s="12"/>
      <x:c r="B611" s="12"/>
      <x:c r="C611" s="12"/>
      <x:c r="D611" s="12"/>
      <x:c r="E611" s="14"/>
      <x:c r="F611" s="13" t="str">
        <x:f>IF($A611="","",IF($D611&lt;&gt;'Team Setup'!$B$4,"Other sprint",IF($C611="","Unassigned",IF(OR(ISNUMBER(SEARCH(",",$C611)),ISNUMBER(SEARCH(";",$C611))),"Multiple assignees",IF(COUNTIF('Team Setup'!$B$10:$B$34,$C611)=1,"Matched","Unmatched")))))</x:f>
      </x:c>
      <x:c r="G611" s="13" t="str">
        <x:f>IF($A611="","",IF($D611&lt;&gt;'Team Setup'!$B$4,"Other sprint",IF($E611="","Unestimated",IF(NOT(ISNUMBER($E611)),"Check estimate in hours",IF($E611&lt;0,"Check estimate in hours",IF($E611=0,"Unestimated","Estimated"))))))</x:f>
      </x:c>
    </x:row>
    <x:row r="612">
      <x:c r="A612" s="12"/>
      <x:c r="B612" s="12"/>
      <x:c r="C612" s="12"/>
      <x:c r="D612" s="12"/>
      <x:c r="E612" s="14"/>
      <x:c r="F612" s="13" t="str">
        <x:f>IF($A612="","",IF($D612&lt;&gt;'Team Setup'!$B$4,"Other sprint",IF($C612="","Unassigned",IF(OR(ISNUMBER(SEARCH(",",$C612)),ISNUMBER(SEARCH(";",$C612))),"Multiple assignees",IF(COUNTIF('Team Setup'!$B$10:$B$34,$C612)=1,"Matched","Unmatched")))))</x:f>
      </x:c>
      <x:c r="G612" s="13" t="str">
        <x:f>IF($A612="","",IF($D612&lt;&gt;'Team Setup'!$B$4,"Other sprint",IF($E612="","Unestimated",IF(NOT(ISNUMBER($E612)),"Check estimate in hours",IF($E612&lt;0,"Check estimate in hours",IF($E612=0,"Unestimated","Estimated"))))))</x:f>
      </x:c>
    </x:row>
    <x:row r="613">
      <x:c r="A613" s="12"/>
      <x:c r="B613" s="12"/>
      <x:c r="C613" s="12"/>
      <x:c r="D613" s="12"/>
      <x:c r="E613" s="14"/>
      <x:c r="F613" s="13" t="str">
        <x:f>IF($A613="","",IF($D613&lt;&gt;'Team Setup'!$B$4,"Other sprint",IF($C613="","Unassigned",IF(OR(ISNUMBER(SEARCH(",",$C613)),ISNUMBER(SEARCH(";",$C613))),"Multiple assignees",IF(COUNTIF('Team Setup'!$B$10:$B$34,$C613)=1,"Matched","Unmatched")))))</x:f>
      </x:c>
      <x:c r="G613" s="13" t="str">
        <x:f>IF($A613="","",IF($D613&lt;&gt;'Team Setup'!$B$4,"Other sprint",IF($E613="","Unestimated",IF(NOT(ISNUMBER($E613)),"Check estimate in hours",IF($E613&lt;0,"Check estimate in hours",IF($E613=0,"Unestimated","Estimated"))))))</x:f>
      </x:c>
    </x:row>
    <x:row r="614">
      <x:c r="A614" s="12"/>
      <x:c r="B614" s="12"/>
      <x:c r="C614" s="12"/>
      <x:c r="D614" s="12"/>
      <x:c r="E614" s="14"/>
      <x:c r="F614" s="13" t="str">
        <x:f>IF($A614="","",IF($D614&lt;&gt;'Team Setup'!$B$4,"Other sprint",IF($C614="","Unassigned",IF(OR(ISNUMBER(SEARCH(",",$C614)),ISNUMBER(SEARCH(";",$C614))),"Multiple assignees",IF(COUNTIF('Team Setup'!$B$10:$B$34,$C614)=1,"Matched","Unmatched")))))</x:f>
      </x:c>
      <x:c r="G614" s="13" t="str">
        <x:f>IF($A614="","",IF($D614&lt;&gt;'Team Setup'!$B$4,"Other sprint",IF($E614="","Unestimated",IF(NOT(ISNUMBER($E614)),"Check estimate in hours",IF($E614&lt;0,"Check estimate in hours",IF($E614=0,"Unestimated","Estimated"))))))</x:f>
      </x:c>
    </x:row>
    <x:row r="615">
      <x:c r="A615" s="12"/>
      <x:c r="B615" s="12"/>
      <x:c r="C615" s="12"/>
      <x:c r="D615" s="12"/>
      <x:c r="E615" s="14"/>
      <x:c r="F615" s="13" t="str">
        <x:f>IF($A615="","",IF($D615&lt;&gt;'Team Setup'!$B$4,"Other sprint",IF($C615="","Unassigned",IF(OR(ISNUMBER(SEARCH(",",$C615)),ISNUMBER(SEARCH(";",$C615))),"Multiple assignees",IF(COUNTIF('Team Setup'!$B$10:$B$34,$C615)=1,"Matched","Unmatched")))))</x:f>
      </x:c>
      <x:c r="G615" s="13" t="str">
        <x:f>IF($A615="","",IF($D615&lt;&gt;'Team Setup'!$B$4,"Other sprint",IF($E615="","Unestimated",IF(NOT(ISNUMBER($E615)),"Check estimate in hours",IF($E615&lt;0,"Check estimate in hours",IF($E615=0,"Unestimated","Estimated"))))))</x:f>
      </x:c>
    </x:row>
    <x:row r="616">
      <x:c r="A616" s="12"/>
      <x:c r="B616" s="12"/>
      <x:c r="C616" s="12"/>
      <x:c r="D616" s="12"/>
      <x:c r="E616" s="14"/>
      <x:c r="F616" s="13" t="str">
        <x:f>IF($A616="","",IF($D616&lt;&gt;'Team Setup'!$B$4,"Other sprint",IF($C616="","Unassigned",IF(OR(ISNUMBER(SEARCH(",",$C616)),ISNUMBER(SEARCH(";",$C616))),"Multiple assignees",IF(COUNTIF('Team Setup'!$B$10:$B$34,$C616)=1,"Matched","Unmatched")))))</x:f>
      </x:c>
      <x:c r="G616" s="13" t="str">
        <x:f>IF($A616="","",IF($D616&lt;&gt;'Team Setup'!$B$4,"Other sprint",IF($E616="","Unestimated",IF(NOT(ISNUMBER($E616)),"Check estimate in hours",IF($E616&lt;0,"Check estimate in hours",IF($E616=0,"Unestimated","Estimated"))))))</x:f>
      </x:c>
    </x:row>
    <x:row r="617">
      <x:c r="A617" s="12"/>
      <x:c r="B617" s="12"/>
      <x:c r="C617" s="12"/>
      <x:c r="D617" s="12"/>
      <x:c r="E617" s="14"/>
      <x:c r="F617" s="13" t="str">
        <x:f>IF($A617="","",IF($D617&lt;&gt;'Team Setup'!$B$4,"Other sprint",IF($C617="","Unassigned",IF(OR(ISNUMBER(SEARCH(",",$C617)),ISNUMBER(SEARCH(";",$C617))),"Multiple assignees",IF(COUNTIF('Team Setup'!$B$10:$B$34,$C617)=1,"Matched","Unmatched")))))</x:f>
      </x:c>
      <x:c r="G617" s="13" t="str">
        <x:f>IF($A617="","",IF($D617&lt;&gt;'Team Setup'!$B$4,"Other sprint",IF($E617="","Unestimated",IF(NOT(ISNUMBER($E617)),"Check estimate in hours",IF($E617&lt;0,"Check estimate in hours",IF($E617=0,"Unestimated","Estimated"))))))</x:f>
      </x:c>
    </x:row>
    <x:row r="618">
      <x:c r="A618" s="12"/>
      <x:c r="B618" s="12"/>
      <x:c r="C618" s="12"/>
      <x:c r="D618" s="12"/>
      <x:c r="E618" s="14"/>
      <x:c r="F618" s="13" t="str">
        <x:f>IF($A618="","",IF($D618&lt;&gt;'Team Setup'!$B$4,"Other sprint",IF($C618="","Unassigned",IF(OR(ISNUMBER(SEARCH(",",$C618)),ISNUMBER(SEARCH(";",$C618))),"Multiple assignees",IF(COUNTIF('Team Setup'!$B$10:$B$34,$C618)=1,"Matched","Unmatched")))))</x:f>
      </x:c>
      <x:c r="G618" s="13" t="str">
        <x:f>IF($A618="","",IF($D618&lt;&gt;'Team Setup'!$B$4,"Other sprint",IF($E618="","Unestimated",IF(NOT(ISNUMBER($E618)),"Check estimate in hours",IF($E618&lt;0,"Check estimate in hours",IF($E618=0,"Unestimated","Estimated"))))))</x:f>
      </x:c>
    </x:row>
    <x:row r="619">
      <x:c r="A619" s="12"/>
      <x:c r="B619" s="12"/>
      <x:c r="C619" s="12"/>
      <x:c r="D619" s="12"/>
      <x:c r="E619" s="14"/>
      <x:c r="F619" s="13" t="str">
        <x:f>IF($A619="","",IF($D619&lt;&gt;'Team Setup'!$B$4,"Other sprint",IF($C619="","Unassigned",IF(OR(ISNUMBER(SEARCH(",",$C619)),ISNUMBER(SEARCH(";",$C619))),"Multiple assignees",IF(COUNTIF('Team Setup'!$B$10:$B$34,$C619)=1,"Matched","Unmatched")))))</x:f>
      </x:c>
      <x:c r="G619" s="13" t="str">
        <x:f>IF($A619="","",IF($D619&lt;&gt;'Team Setup'!$B$4,"Other sprint",IF($E619="","Unestimated",IF(NOT(ISNUMBER($E619)),"Check estimate in hours",IF($E619&lt;0,"Check estimate in hours",IF($E619=0,"Unestimated","Estimated"))))))</x:f>
      </x:c>
    </x:row>
    <x:row r="620">
      <x:c r="A620" s="12"/>
      <x:c r="B620" s="12"/>
      <x:c r="C620" s="12"/>
      <x:c r="D620" s="12"/>
      <x:c r="E620" s="14"/>
      <x:c r="F620" s="13" t="str">
        <x:f>IF($A620="","",IF($D620&lt;&gt;'Team Setup'!$B$4,"Other sprint",IF($C620="","Unassigned",IF(OR(ISNUMBER(SEARCH(",",$C620)),ISNUMBER(SEARCH(";",$C620))),"Multiple assignees",IF(COUNTIF('Team Setup'!$B$10:$B$34,$C620)=1,"Matched","Unmatched")))))</x:f>
      </x:c>
      <x:c r="G620" s="13" t="str">
        <x:f>IF($A620="","",IF($D620&lt;&gt;'Team Setup'!$B$4,"Other sprint",IF($E620="","Unestimated",IF(NOT(ISNUMBER($E620)),"Check estimate in hours",IF($E620&lt;0,"Check estimate in hours",IF($E620=0,"Unestimated","Estimated"))))))</x:f>
      </x:c>
    </x:row>
    <x:row r="621">
      <x:c r="A621" s="12"/>
      <x:c r="B621" s="12"/>
      <x:c r="C621" s="12"/>
      <x:c r="D621" s="12"/>
      <x:c r="E621" s="14"/>
      <x:c r="F621" s="13" t="str">
        <x:f>IF($A621="","",IF($D621&lt;&gt;'Team Setup'!$B$4,"Other sprint",IF($C621="","Unassigned",IF(OR(ISNUMBER(SEARCH(",",$C621)),ISNUMBER(SEARCH(";",$C621))),"Multiple assignees",IF(COUNTIF('Team Setup'!$B$10:$B$34,$C621)=1,"Matched","Unmatched")))))</x:f>
      </x:c>
      <x:c r="G621" s="13" t="str">
        <x:f>IF($A621="","",IF($D621&lt;&gt;'Team Setup'!$B$4,"Other sprint",IF($E621="","Unestimated",IF(NOT(ISNUMBER($E621)),"Check estimate in hours",IF($E621&lt;0,"Check estimate in hours",IF($E621=0,"Unestimated","Estimated"))))))</x:f>
      </x:c>
    </x:row>
    <x:row r="622">
      <x:c r="A622" s="12"/>
      <x:c r="B622" s="12"/>
      <x:c r="C622" s="12"/>
      <x:c r="D622" s="12"/>
      <x:c r="E622" s="14"/>
      <x:c r="F622" s="13" t="str">
        <x:f>IF($A622="","",IF($D622&lt;&gt;'Team Setup'!$B$4,"Other sprint",IF($C622="","Unassigned",IF(OR(ISNUMBER(SEARCH(",",$C622)),ISNUMBER(SEARCH(";",$C622))),"Multiple assignees",IF(COUNTIF('Team Setup'!$B$10:$B$34,$C622)=1,"Matched","Unmatched")))))</x:f>
      </x:c>
      <x:c r="G622" s="13" t="str">
        <x:f>IF($A622="","",IF($D622&lt;&gt;'Team Setup'!$B$4,"Other sprint",IF($E622="","Unestimated",IF(NOT(ISNUMBER($E622)),"Check estimate in hours",IF($E622&lt;0,"Check estimate in hours",IF($E622=0,"Unestimated","Estimated"))))))</x:f>
      </x:c>
    </x:row>
    <x:row r="623">
      <x:c r="A623" s="12"/>
      <x:c r="B623" s="12"/>
      <x:c r="C623" s="12"/>
      <x:c r="D623" s="12"/>
      <x:c r="E623" s="14"/>
      <x:c r="F623" s="13" t="str">
        <x:f>IF($A623="","",IF($D623&lt;&gt;'Team Setup'!$B$4,"Other sprint",IF($C623="","Unassigned",IF(OR(ISNUMBER(SEARCH(",",$C623)),ISNUMBER(SEARCH(";",$C623))),"Multiple assignees",IF(COUNTIF('Team Setup'!$B$10:$B$34,$C623)=1,"Matched","Unmatched")))))</x:f>
      </x:c>
      <x:c r="G623" s="13" t="str">
        <x:f>IF($A623="","",IF($D623&lt;&gt;'Team Setup'!$B$4,"Other sprint",IF($E623="","Unestimated",IF(NOT(ISNUMBER($E623)),"Check estimate in hours",IF($E623&lt;0,"Check estimate in hours",IF($E623=0,"Unestimated","Estimated"))))))</x:f>
      </x:c>
    </x:row>
    <x:row r="624">
      <x:c r="A624" s="12"/>
      <x:c r="B624" s="12"/>
      <x:c r="C624" s="12"/>
      <x:c r="D624" s="12"/>
      <x:c r="E624" s="14"/>
      <x:c r="F624" s="13" t="str">
        <x:f>IF($A624="","",IF($D624&lt;&gt;'Team Setup'!$B$4,"Other sprint",IF($C624="","Unassigned",IF(OR(ISNUMBER(SEARCH(",",$C624)),ISNUMBER(SEARCH(";",$C624))),"Multiple assignees",IF(COUNTIF('Team Setup'!$B$10:$B$34,$C624)=1,"Matched","Unmatched")))))</x:f>
      </x:c>
      <x:c r="G624" s="13" t="str">
        <x:f>IF($A624="","",IF($D624&lt;&gt;'Team Setup'!$B$4,"Other sprint",IF($E624="","Unestimated",IF(NOT(ISNUMBER($E624)),"Check estimate in hours",IF($E624&lt;0,"Check estimate in hours",IF($E624=0,"Unestimated","Estimated"))))))</x:f>
      </x:c>
    </x:row>
    <x:row r="625">
      <x:c r="A625" s="12"/>
      <x:c r="B625" s="12"/>
      <x:c r="C625" s="12"/>
      <x:c r="D625" s="12"/>
      <x:c r="E625" s="14"/>
      <x:c r="F625" s="13" t="str">
        <x:f>IF($A625="","",IF($D625&lt;&gt;'Team Setup'!$B$4,"Other sprint",IF($C625="","Unassigned",IF(OR(ISNUMBER(SEARCH(",",$C625)),ISNUMBER(SEARCH(";",$C625))),"Multiple assignees",IF(COUNTIF('Team Setup'!$B$10:$B$34,$C625)=1,"Matched","Unmatched")))))</x:f>
      </x:c>
      <x:c r="G625" s="13" t="str">
        <x:f>IF($A625="","",IF($D625&lt;&gt;'Team Setup'!$B$4,"Other sprint",IF($E625="","Unestimated",IF(NOT(ISNUMBER($E625)),"Check estimate in hours",IF($E625&lt;0,"Check estimate in hours",IF($E625=0,"Unestimated","Estimated"))))))</x:f>
      </x:c>
    </x:row>
    <x:row r="626">
      <x:c r="A626" s="12"/>
      <x:c r="B626" s="12"/>
      <x:c r="C626" s="12"/>
      <x:c r="D626" s="12"/>
      <x:c r="E626" s="14"/>
      <x:c r="F626" s="13" t="str">
        <x:f>IF($A626="","",IF($D626&lt;&gt;'Team Setup'!$B$4,"Other sprint",IF($C626="","Unassigned",IF(OR(ISNUMBER(SEARCH(",",$C626)),ISNUMBER(SEARCH(";",$C626))),"Multiple assignees",IF(COUNTIF('Team Setup'!$B$10:$B$34,$C626)=1,"Matched","Unmatched")))))</x:f>
      </x:c>
      <x:c r="G626" s="13" t="str">
        <x:f>IF($A626="","",IF($D626&lt;&gt;'Team Setup'!$B$4,"Other sprint",IF($E626="","Unestimated",IF(NOT(ISNUMBER($E626)),"Check estimate in hours",IF($E626&lt;0,"Check estimate in hours",IF($E626=0,"Unestimated","Estimated"))))))</x:f>
      </x:c>
    </x:row>
    <x:row r="627">
      <x:c r="A627" s="12"/>
      <x:c r="B627" s="12"/>
      <x:c r="C627" s="12"/>
      <x:c r="D627" s="12"/>
      <x:c r="E627" s="14"/>
      <x:c r="F627" s="13" t="str">
        <x:f>IF($A627="","",IF($D627&lt;&gt;'Team Setup'!$B$4,"Other sprint",IF($C627="","Unassigned",IF(OR(ISNUMBER(SEARCH(",",$C627)),ISNUMBER(SEARCH(";",$C627))),"Multiple assignees",IF(COUNTIF('Team Setup'!$B$10:$B$34,$C627)=1,"Matched","Unmatched")))))</x:f>
      </x:c>
      <x:c r="G627" s="13" t="str">
        <x:f>IF($A627="","",IF($D627&lt;&gt;'Team Setup'!$B$4,"Other sprint",IF($E627="","Unestimated",IF(NOT(ISNUMBER($E627)),"Check estimate in hours",IF($E627&lt;0,"Check estimate in hours",IF($E627=0,"Unestimated","Estimated"))))))</x:f>
      </x:c>
    </x:row>
    <x:row r="628">
      <x:c r="A628" s="12"/>
      <x:c r="B628" s="12"/>
      <x:c r="C628" s="12"/>
      <x:c r="D628" s="12"/>
      <x:c r="E628" s="14"/>
      <x:c r="F628" s="13" t="str">
        <x:f>IF($A628="","",IF($D628&lt;&gt;'Team Setup'!$B$4,"Other sprint",IF($C628="","Unassigned",IF(OR(ISNUMBER(SEARCH(",",$C628)),ISNUMBER(SEARCH(";",$C628))),"Multiple assignees",IF(COUNTIF('Team Setup'!$B$10:$B$34,$C628)=1,"Matched","Unmatched")))))</x:f>
      </x:c>
      <x:c r="G628" s="13" t="str">
        <x:f>IF($A628="","",IF($D628&lt;&gt;'Team Setup'!$B$4,"Other sprint",IF($E628="","Unestimated",IF(NOT(ISNUMBER($E628)),"Check estimate in hours",IF($E628&lt;0,"Check estimate in hours",IF($E628=0,"Unestimated","Estimated"))))))</x:f>
      </x:c>
    </x:row>
    <x:row r="629">
      <x:c r="A629" s="12"/>
      <x:c r="B629" s="12"/>
      <x:c r="C629" s="12"/>
      <x:c r="D629" s="12"/>
      <x:c r="E629" s="14"/>
      <x:c r="F629" s="13" t="str">
        <x:f>IF($A629="","",IF($D629&lt;&gt;'Team Setup'!$B$4,"Other sprint",IF($C629="","Unassigned",IF(OR(ISNUMBER(SEARCH(",",$C629)),ISNUMBER(SEARCH(";",$C629))),"Multiple assignees",IF(COUNTIF('Team Setup'!$B$10:$B$34,$C629)=1,"Matched","Unmatched")))))</x:f>
      </x:c>
      <x:c r="G629" s="13" t="str">
        <x:f>IF($A629="","",IF($D629&lt;&gt;'Team Setup'!$B$4,"Other sprint",IF($E629="","Unestimated",IF(NOT(ISNUMBER($E629)),"Check estimate in hours",IF($E629&lt;0,"Check estimate in hours",IF($E629=0,"Unestimated","Estimated"))))))</x:f>
      </x:c>
    </x:row>
    <x:row r="630">
      <x:c r="A630" s="12"/>
      <x:c r="B630" s="12"/>
      <x:c r="C630" s="12"/>
      <x:c r="D630" s="12"/>
      <x:c r="E630" s="14"/>
      <x:c r="F630" s="13" t="str">
        <x:f>IF($A630="","",IF($D630&lt;&gt;'Team Setup'!$B$4,"Other sprint",IF($C630="","Unassigned",IF(OR(ISNUMBER(SEARCH(",",$C630)),ISNUMBER(SEARCH(";",$C630))),"Multiple assignees",IF(COUNTIF('Team Setup'!$B$10:$B$34,$C630)=1,"Matched","Unmatched")))))</x:f>
      </x:c>
      <x:c r="G630" s="13" t="str">
        <x:f>IF($A630="","",IF($D630&lt;&gt;'Team Setup'!$B$4,"Other sprint",IF($E630="","Unestimated",IF(NOT(ISNUMBER($E630)),"Check estimate in hours",IF($E630&lt;0,"Check estimate in hours",IF($E630=0,"Unestimated","Estimated"))))))</x:f>
      </x:c>
    </x:row>
    <x:row r="631">
      <x:c r="A631" s="12"/>
      <x:c r="B631" s="12"/>
      <x:c r="C631" s="12"/>
      <x:c r="D631" s="12"/>
      <x:c r="E631" s="14"/>
      <x:c r="F631" s="13" t="str">
        <x:f>IF($A631="","",IF($D631&lt;&gt;'Team Setup'!$B$4,"Other sprint",IF($C631="","Unassigned",IF(OR(ISNUMBER(SEARCH(",",$C631)),ISNUMBER(SEARCH(";",$C631))),"Multiple assignees",IF(COUNTIF('Team Setup'!$B$10:$B$34,$C631)=1,"Matched","Unmatched")))))</x:f>
      </x:c>
      <x:c r="G631" s="13" t="str">
        <x:f>IF($A631="","",IF($D631&lt;&gt;'Team Setup'!$B$4,"Other sprint",IF($E631="","Unestimated",IF(NOT(ISNUMBER($E631)),"Check estimate in hours",IF($E631&lt;0,"Check estimate in hours",IF($E631=0,"Unestimated","Estimated"))))))</x:f>
      </x:c>
    </x:row>
    <x:row r="632">
      <x:c r="A632" s="12"/>
      <x:c r="B632" s="12"/>
      <x:c r="C632" s="12"/>
      <x:c r="D632" s="12"/>
      <x:c r="E632" s="14"/>
      <x:c r="F632" s="13" t="str">
        <x:f>IF($A632="","",IF($D632&lt;&gt;'Team Setup'!$B$4,"Other sprint",IF($C632="","Unassigned",IF(OR(ISNUMBER(SEARCH(",",$C632)),ISNUMBER(SEARCH(";",$C632))),"Multiple assignees",IF(COUNTIF('Team Setup'!$B$10:$B$34,$C632)=1,"Matched","Unmatched")))))</x:f>
      </x:c>
      <x:c r="G632" s="13" t="str">
        <x:f>IF($A632="","",IF($D632&lt;&gt;'Team Setup'!$B$4,"Other sprint",IF($E632="","Unestimated",IF(NOT(ISNUMBER($E632)),"Check estimate in hours",IF($E632&lt;0,"Check estimate in hours",IF($E632=0,"Unestimated","Estimated"))))))</x:f>
      </x:c>
    </x:row>
    <x:row r="633">
      <x:c r="A633" s="12"/>
      <x:c r="B633" s="12"/>
      <x:c r="C633" s="12"/>
      <x:c r="D633" s="12"/>
      <x:c r="E633" s="14"/>
      <x:c r="F633" s="13" t="str">
        <x:f>IF($A633="","",IF($D633&lt;&gt;'Team Setup'!$B$4,"Other sprint",IF($C633="","Unassigned",IF(OR(ISNUMBER(SEARCH(",",$C633)),ISNUMBER(SEARCH(";",$C633))),"Multiple assignees",IF(COUNTIF('Team Setup'!$B$10:$B$34,$C633)=1,"Matched","Unmatched")))))</x:f>
      </x:c>
      <x:c r="G633" s="13" t="str">
        <x:f>IF($A633="","",IF($D633&lt;&gt;'Team Setup'!$B$4,"Other sprint",IF($E633="","Unestimated",IF(NOT(ISNUMBER($E633)),"Check estimate in hours",IF($E633&lt;0,"Check estimate in hours",IF($E633=0,"Unestimated","Estimated"))))))</x:f>
      </x:c>
    </x:row>
    <x:row r="634">
      <x:c r="A634" s="12"/>
      <x:c r="B634" s="12"/>
      <x:c r="C634" s="12"/>
      <x:c r="D634" s="12"/>
      <x:c r="E634" s="14"/>
      <x:c r="F634" s="13" t="str">
        <x:f>IF($A634="","",IF($D634&lt;&gt;'Team Setup'!$B$4,"Other sprint",IF($C634="","Unassigned",IF(OR(ISNUMBER(SEARCH(",",$C634)),ISNUMBER(SEARCH(";",$C634))),"Multiple assignees",IF(COUNTIF('Team Setup'!$B$10:$B$34,$C634)=1,"Matched","Unmatched")))))</x:f>
      </x:c>
      <x:c r="G634" s="13" t="str">
        <x:f>IF($A634="","",IF($D634&lt;&gt;'Team Setup'!$B$4,"Other sprint",IF($E634="","Unestimated",IF(NOT(ISNUMBER($E634)),"Check estimate in hours",IF($E634&lt;0,"Check estimate in hours",IF($E634=0,"Unestimated","Estimated"))))))</x:f>
      </x:c>
    </x:row>
    <x:row r="635">
      <x:c r="A635" s="12"/>
      <x:c r="B635" s="12"/>
      <x:c r="C635" s="12"/>
      <x:c r="D635" s="12"/>
      <x:c r="E635" s="14"/>
      <x:c r="F635" s="13" t="str">
        <x:f>IF($A635="","",IF($D635&lt;&gt;'Team Setup'!$B$4,"Other sprint",IF($C635="","Unassigned",IF(OR(ISNUMBER(SEARCH(",",$C635)),ISNUMBER(SEARCH(";",$C635))),"Multiple assignees",IF(COUNTIF('Team Setup'!$B$10:$B$34,$C635)=1,"Matched","Unmatched")))))</x:f>
      </x:c>
      <x:c r="G635" s="13" t="str">
        <x:f>IF($A635="","",IF($D635&lt;&gt;'Team Setup'!$B$4,"Other sprint",IF($E635="","Unestimated",IF(NOT(ISNUMBER($E635)),"Check estimate in hours",IF($E635&lt;0,"Check estimate in hours",IF($E635=0,"Unestimated","Estimated"))))))</x:f>
      </x:c>
    </x:row>
    <x:row r="636">
      <x:c r="A636" s="12"/>
      <x:c r="B636" s="12"/>
      <x:c r="C636" s="12"/>
      <x:c r="D636" s="12"/>
      <x:c r="E636" s="14"/>
      <x:c r="F636" s="13" t="str">
        <x:f>IF($A636="","",IF($D636&lt;&gt;'Team Setup'!$B$4,"Other sprint",IF($C636="","Unassigned",IF(OR(ISNUMBER(SEARCH(",",$C636)),ISNUMBER(SEARCH(";",$C636))),"Multiple assignees",IF(COUNTIF('Team Setup'!$B$10:$B$34,$C636)=1,"Matched","Unmatched")))))</x:f>
      </x:c>
      <x:c r="G636" s="13" t="str">
        <x:f>IF($A636="","",IF($D636&lt;&gt;'Team Setup'!$B$4,"Other sprint",IF($E636="","Unestimated",IF(NOT(ISNUMBER($E636)),"Check estimate in hours",IF($E636&lt;0,"Check estimate in hours",IF($E636=0,"Unestimated","Estimated"))))))</x:f>
      </x:c>
    </x:row>
    <x:row r="637">
      <x:c r="A637" s="12"/>
      <x:c r="B637" s="12"/>
      <x:c r="C637" s="12"/>
      <x:c r="D637" s="12"/>
      <x:c r="E637" s="14"/>
      <x:c r="F637" s="13" t="str">
        <x:f>IF($A637="","",IF($D637&lt;&gt;'Team Setup'!$B$4,"Other sprint",IF($C637="","Unassigned",IF(OR(ISNUMBER(SEARCH(",",$C637)),ISNUMBER(SEARCH(";",$C637))),"Multiple assignees",IF(COUNTIF('Team Setup'!$B$10:$B$34,$C637)=1,"Matched","Unmatched")))))</x:f>
      </x:c>
      <x:c r="G637" s="13" t="str">
        <x:f>IF($A637="","",IF($D637&lt;&gt;'Team Setup'!$B$4,"Other sprint",IF($E637="","Unestimated",IF(NOT(ISNUMBER($E637)),"Check estimate in hours",IF($E637&lt;0,"Check estimate in hours",IF($E637=0,"Unestimated","Estimated"))))))</x:f>
      </x:c>
    </x:row>
    <x:row r="638">
      <x:c r="A638" s="12"/>
      <x:c r="B638" s="12"/>
      <x:c r="C638" s="12"/>
      <x:c r="D638" s="12"/>
      <x:c r="E638" s="14"/>
      <x:c r="F638" s="13" t="str">
        <x:f>IF($A638="","",IF($D638&lt;&gt;'Team Setup'!$B$4,"Other sprint",IF($C638="","Unassigned",IF(OR(ISNUMBER(SEARCH(",",$C638)),ISNUMBER(SEARCH(";",$C638))),"Multiple assignees",IF(COUNTIF('Team Setup'!$B$10:$B$34,$C638)=1,"Matched","Unmatched")))))</x:f>
      </x:c>
      <x:c r="G638" s="13" t="str">
        <x:f>IF($A638="","",IF($D638&lt;&gt;'Team Setup'!$B$4,"Other sprint",IF($E638="","Unestimated",IF(NOT(ISNUMBER($E638)),"Check estimate in hours",IF($E638&lt;0,"Check estimate in hours",IF($E638=0,"Unestimated","Estimated"))))))</x:f>
      </x:c>
    </x:row>
    <x:row r="639">
      <x:c r="A639" s="12"/>
      <x:c r="B639" s="12"/>
      <x:c r="C639" s="12"/>
      <x:c r="D639" s="12"/>
      <x:c r="E639" s="14"/>
      <x:c r="F639" s="13" t="str">
        <x:f>IF($A639="","",IF($D639&lt;&gt;'Team Setup'!$B$4,"Other sprint",IF($C639="","Unassigned",IF(OR(ISNUMBER(SEARCH(",",$C639)),ISNUMBER(SEARCH(";",$C639))),"Multiple assignees",IF(COUNTIF('Team Setup'!$B$10:$B$34,$C639)=1,"Matched","Unmatched")))))</x:f>
      </x:c>
      <x:c r="G639" s="13" t="str">
        <x:f>IF($A639="","",IF($D639&lt;&gt;'Team Setup'!$B$4,"Other sprint",IF($E639="","Unestimated",IF(NOT(ISNUMBER($E639)),"Check estimate in hours",IF($E639&lt;0,"Check estimate in hours",IF($E639=0,"Unestimated","Estimated"))))))</x:f>
      </x:c>
    </x:row>
    <x:row r="640">
      <x:c r="A640" s="12"/>
      <x:c r="B640" s="12"/>
      <x:c r="C640" s="12"/>
      <x:c r="D640" s="12"/>
      <x:c r="E640" s="14"/>
      <x:c r="F640" s="13" t="str">
        <x:f>IF($A640="","",IF($D640&lt;&gt;'Team Setup'!$B$4,"Other sprint",IF($C640="","Unassigned",IF(OR(ISNUMBER(SEARCH(",",$C640)),ISNUMBER(SEARCH(";",$C640))),"Multiple assignees",IF(COUNTIF('Team Setup'!$B$10:$B$34,$C640)=1,"Matched","Unmatched")))))</x:f>
      </x:c>
      <x:c r="G640" s="13" t="str">
        <x:f>IF($A640="","",IF($D640&lt;&gt;'Team Setup'!$B$4,"Other sprint",IF($E640="","Unestimated",IF(NOT(ISNUMBER($E640)),"Check estimate in hours",IF($E640&lt;0,"Check estimate in hours",IF($E640=0,"Unestimated","Estimated"))))))</x:f>
      </x:c>
    </x:row>
    <x:row r="641">
      <x:c r="A641" s="12"/>
      <x:c r="B641" s="12"/>
      <x:c r="C641" s="12"/>
      <x:c r="D641" s="12"/>
      <x:c r="E641" s="14"/>
      <x:c r="F641" s="13" t="str">
        <x:f>IF($A641="","",IF($D641&lt;&gt;'Team Setup'!$B$4,"Other sprint",IF($C641="","Unassigned",IF(OR(ISNUMBER(SEARCH(",",$C641)),ISNUMBER(SEARCH(";",$C641))),"Multiple assignees",IF(COUNTIF('Team Setup'!$B$10:$B$34,$C641)=1,"Matched","Unmatched")))))</x:f>
      </x:c>
      <x:c r="G641" s="13" t="str">
        <x:f>IF($A641="","",IF($D641&lt;&gt;'Team Setup'!$B$4,"Other sprint",IF($E641="","Unestimated",IF(NOT(ISNUMBER($E641)),"Check estimate in hours",IF($E641&lt;0,"Check estimate in hours",IF($E641=0,"Unestimated","Estimated"))))))</x:f>
      </x:c>
    </x:row>
    <x:row r="642">
      <x:c r="A642" s="12"/>
      <x:c r="B642" s="12"/>
      <x:c r="C642" s="12"/>
      <x:c r="D642" s="12"/>
      <x:c r="E642" s="14"/>
      <x:c r="F642" s="13" t="str">
        <x:f>IF($A642="","",IF($D642&lt;&gt;'Team Setup'!$B$4,"Other sprint",IF($C642="","Unassigned",IF(OR(ISNUMBER(SEARCH(",",$C642)),ISNUMBER(SEARCH(";",$C642))),"Multiple assignees",IF(COUNTIF('Team Setup'!$B$10:$B$34,$C642)=1,"Matched","Unmatched")))))</x:f>
      </x:c>
      <x:c r="G642" s="13" t="str">
        <x:f>IF($A642="","",IF($D642&lt;&gt;'Team Setup'!$B$4,"Other sprint",IF($E642="","Unestimated",IF(NOT(ISNUMBER($E642)),"Check estimate in hours",IF($E642&lt;0,"Check estimate in hours",IF($E642=0,"Unestimated","Estimated"))))))</x:f>
      </x:c>
    </x:row>
    <x:row r="643">
      <x:c r="A643" s="12"/>
      <x:c r="B643" s="12"/>
      <x:c r="C643" s="12"/>
      <x:c r="D643" s="12"/>
      <x:c r="E643" s="14"/>
      <x:c r="F643" s="13" t="str">
        <x:f>IF($A643="","",IF($D643&lt;&gt;'Team Setup'!$B$4,"Other sprint",IF($C643="","Unassigned",IF(OR(ISNUMBER(SEARCH(",",$C643)),ISNUMBER(SEARCH(";",$C643))),"Multiple assignees",IF(COUNTIF('Team Setup'!$B$10:$B$34,$C643)=1,"Matched","Unmatched")))))</x:f>
      </x:c>
      <x:c r="G643" s="13" t="str">
        <x:f>IF($A643="","",IF($D643&lt;&gt;'Team Setup'!$B$4,"Other sprint",IF($E643="","Unestimated",IF(NOT(ISNUMBER($E643)),"Check estimate in hours",IF($E643&lt;0,"Check estimate in hours",IF($E643=0,"Unestimated","Estimated"))))))</x:f>
      </x:c>
    </x:row>
    <x:row r="644">
      <x:c r="A644" s="12"/>
      <x:c r="B644" s="12"/>
      <x:c r="C644" s="12"/>
      <x:c r="D644" s="12"/>
      <x:c r="E644" s="14"/>
      <x:c r="F644" s="13" t="str">
        <x:f>IF($A644="","",IF($D644&lt;&gt;'Team Setup'!$B$4,"Other sprint",IF($C644="","Unassigned",IF(OR(ISNUMBER(SEARCH(",",$C644)),ISNUMBER(SEARCH(";",$C644))),"Multiple assignees",IF(COUNTIF('Team Setup'!$B$10:$B$34,$C644)=1,"Matched","Unmatched")))))</x:f>
      </x:c>
      <x:c r="G644" s="13" t="str">
        <x:f>IF($A644="","",IF($D644&lt;&gt;'Team Setup'!$B$4,"Other sprint",IF($E644="","Unestimated",IF(NOT(ISNUMBER($E644)),"Check estimate in hours",IF($E644&lt;0,"Check estimate in hours",IF($E644=0,"Unestimated","Estimated"))))))</x:f>
      </x:c>
    </x:row>
    <x:row r="645">
      <x:c r="A645" s="12"/>
      <x:c r="B645" s="12"/>
      <x:c r="C645" s="12"/>
      <x:c r="D645" s="12"/>
      <x:c r="E645" s="14"/>
      <x:c r="F645" s="13" t="str">
        <x:f>IF($A645="","",IF($D645&lt;&gt;'Team Setup'!$B$4,"Other sprint",IF($C645="","Unassigned",IF(OR(ISNUMBER(SEARCH(",",$C645)),ISNUMBER(SEARCH(";",$C645))),"Multiple assignees",IF(COUNTIF('Team Setup'!$B$10:$B$34,$C645)=1,"Matched","Unmatched")))))</x:f>
      </x:c>
      <x:c r="G645" s="13" t="str">
        <x:f>IF($A645="","",IF($D645&lt;&gt;'Team Setup'!$B$4,"Other sprint",IF($E645="","Unestimated",IF(NOT(ISNUMBER($E645)),"Check estimate in hours",IF($E645&lt;0,"Check estimate in hours",IF($E645=0,"Unestimated","Estimated"))))))</x:f>
      </x:c>
    </x:row>
    <x:row r="646">
      <x:c r="A646" s="12"/>
      <x:c r="B646" s="12"/>
      <x:c r="C646" s="12"/>
      <x:c r="D646" s="12"/>
      <x:c r="E646" s="14"/>
      <x:c r="F646" s="13" t="str">
        <x:f>IF($A646="","",IF($D646&lt;&gt;'Team Setup'!$B$4,"Other sprint",IF($C646="","Unassigned",IF(OR(ISNUMBER(SEARCH(",",$C646)),ISNUMBER(SEARCH(";",$C646))),"Multiple assignees",IF(COUNTIF('Team Setup'!$B$10:$B$34,$C646)=1,"Matched","Unmatched")))))</x:f>
      </x:c>
      <x:c r="G646" s="13" t="str">
        <x:f>IF($A646="","",IF($D646&lt;&gt;'Team Setup'!$B$4,"Other sprint",IF($E646="","Unestimated",IF(NOT(ISNUMBER($E646)),"Check estimate in hours",IF($E646&lt;0,"Check estimate in hours",IF($E646=0,"Unestimated","Estimated"))))))</x:f>
      </x:c>
    </x:row>
    <x:row r="647">
      <x:c r="A647" s="12"/>
      <x:c r="B647" s="12"/>
      <x:c r="C647" s="12"/>
      <x:c r="D647" s="12"/>
      <x:c r="E647" s="14"/>
      <x:c r="F647" s="13" t="str">
        <x:f>IF($A647="","",IF($D647&lt;&gt;'Team Setup'!$B$4,"Other sprint",IF($C647="","Unassigned",IF(OR(ISNUMBER(SEARCH(",",$C647)),ISNUMBER(SEARCH(";",$C647))),"Multiple assignees",IF(COUNTIF('Team Setup'!$B$10:$B$34,$C647)=1,"Matched","Unmatched")))))</x:f>
      </x:c>
      <x:c r="G647" s="13" t="str">
        <x:f>IF($A647="","",IF($D647&lt;&gt;'Team Setup'!$B$4,"Other sprint",IF($E647="","Unestimated",IF(NOT(ISNUMBER($E647)),"Check estimate in hours",IF($E647&lt;0,"Check estimate in hours",IF($E647=0,"Unestimated","Estimated"))))))</x:f>
      </x:c>
    </x:row>
    <x:row r="648">
      <x:c r="A648" s="12"/>
      <x:c r="B648" s="12"/>
      <x:c r="C648" s="12"/>
      <x:c r="D648" s="12"/>
      <x:c r="E648" s="14"/>
      <x:c r="F648" s="13" t="str">
        <x:f>IF($A648="","",IF($D648&lt;&gt;'Team Setup'!$B$4,"Other sprint",IF($C648="","Unassigned",IF(OR(ISNUMBER(SEARCH(",",$C648)),ISNUMBER(SEARCH(";",$C648))),"Multiple assignees",IF(COUNTIF('Team Setup'!$B$10:$B$34,$C648)=1,"Matched","Unmatched")))))</x:f>
      </x:c>
      <x:c r="G648" s="13" t="str">
        <x:f>IF($A648="","",IF($D648&lt;&gt;'Team Setup'!$B$4,"Other sprint",IF($E648="","Unestimated",IF(NOT(ISNUMBER($E648)),"Check estimate in hours",IF($E648&lt;0,"Check estimate in hours",IF($E648=0,"Unestimated","Estimated"))))))</x:f>
      </x:c>
    </x:row>
    <x:row r="649">
      <x:c r="A649" s="12"/>
      <x:c r="B649" s="12"/>
      <x:c r="C649" s="12"/>
      <x:c r="D649" s="12"/>
      <x:c r="E649" s="14"/>
      <x:c r="F649" s="13" t="str">
        <x:f>IF($A649="","",IF($D649&lt;&gt;'Team Setup'!$B$4,"Other sprint",IF($C649="","Unassigned",IF(OR(ISNUMBER(SEARCH(",",$C649)),ISNUMBER(SEARCH(";",$C649))),"Multiple assignees",IF(COUNTIF('Team Setup'!$B$10:$B$34,$C649)=1,"Matched","Unmatched")))))</x:f>
      </x:c>
      <x:c r="G649" s="13" t="str">
        <x:f>IF($A649="","",IF($D649&lt;&gt;'Team Setup'!$B$4,"Other sprint",IF($E649="","Unestimated",IF(NOT(ISNUMBER($E649)),"Check estimate in hours",IF($E649&lt;0,"Check estimate in hours",IF($E649=0,"Unestimated","Estimated"))))))</x:f>
      </x:c>
    </x:row>
    <x:row r="650">
      <x:c r="A650" s="12"/>
      <x:c r="B650" s="12"/>
      <x:c r="C650" s="12"/>
      <x:c r="D650" s="12"/>
      <x:c r="E650" s="14"/>
      <x:c r="F650" s="13" t="str">
        <x:f>IF($A650="","",IF($D650&lt;&gt;'Team Setup'!$B$4,"Other sprint",IF($C650="","Unassigned",IF(OR(ISNUMBER(SEARCH(",",$C650)),ISNUMBER(SEARCH(";",$C650))),"Multiple assignees",IF(COUNTIF('Team Setup'!$B$10:$B$34,$C650)=1,"Matched","Unmatched")))))</x:f>
      </x:c>
      <x:c r="G650" s="13" t="str">
        <x:f>IF($A650="","",IF($D650&lt;&gt;'Team Setup'!$B$4,"Other sprint",IF($E650="","Unestimated",IF(NOT(ISNUMBER($E650)),"Check estimate in hours",IF($E650&lt;0,"Check estimate in hours",IF($E650=0,"Unestimated","Estimated"))))))</x:f>
      </x:c>
    </x:row>
    <x:row r="651">
      <x:c r="A651" s="12"/>
      <x:c r="B651" s="12"/>
      <x:c r="C651" s="12"/>
      <x:c r="D651" s="12"/>
      <x:c r="E651" s="14"/>
      <x:c r="F651" s="13" t="str">
        <x:f>IF($A651="","",IF($D651&lt;&gt;'Team Setup'!$B$4,"Other sprint",IF($C651="","Unassigned",IF(OR(ISNUMBER(SEARCH(",",$C651)),ISNUMBER(SEARCH(";",$C651))),"Multiple assignees",IF(COUNTIF('Team Setup'!$B$10:$B$34,$C651)=1,"Matched","Unmatched")))))</x:f>
      </x:c>
      <x:c r="G651" s="13" t="str">
        <x:f>IF($A651="","",IF($D651&lt;&gt;'Team Setup'!$B$4,"Other sprint",IF($E651="","Unestimated",IF(NOT(ISNUMBER($E651)),"Check estimate in hours",IF($E651&lt;0,"Check estimate in hours",IF($E651=0,"Unestimated","Estimated"))))))</x:f>
      </x:c>
    </x:row>
    <x:row r="652">
      <x:c r="A652" s="12"/>
      <x:c r="B652" s="12"/>
      <x:c r="C652" s="12"/>
      <x:c r="D652" s="12"/>
      <x:c r="E652" s="14"/>
      <x:c r="F652" s="13" t="str">
        <x:f>IF($A652="","",IF($D652&lt;&gt;'Team Setup'!$B$4,"Other sprint",IF($C652="","Unassigned",IF(OR(ISNUMBER(SEARCH(",",$C652)),ISNUMBER(SEARCH(";",$C652))),"Multiple assignees",IF(COUNTIF('Team Setup'!$B$10:$B$34,$C652)=1,"Matched","Unmatched")))))</x:f>
      </x:c>
      <x:c r="G652" s="13" t="str">
        <x:f>IF($A652="","",IF($D652&lt;&gt;'Team Setup'!$B$4,"Other sprint",IF($E652="","Unestimated",IF(NOT(ISNUMBER($E652)),"Check estimate in hours",IF($E652&lt;0,"Check estimate in hours",IF($E652=0,"Unestimated","Estimated"))))))</x:f>
      </x:c>
    </x:row>
    <x:row r="653">
      <x:c r="A653" s="12"/>
      <x:c r="B653" s="12"/>
      <x:c r="C653" s="12"/>
      <x:c r="D653" s="12"/>
      <x:c r="E653" s="14"/>
      <x:c r="F653" s="13" t="str">
        <x:f>IF($A653="","",IF($D653&lt;&gt;'Team Setup'!$B$4,"Other sprint",IF($C653="","Unassigned",IF(OR(ISNUMBER(SEARCH(",",$C653)),ISNUMBER(SEARCH(";",$C653))),"Multiple assignees",IF(COUNTIF('Team Setup'!$B$10:$B$34,$C653)=1,"Matched","Unmatched")))))</x:f>
      </x:c>
      <x:c r="G653" s="13" t="str">
        <x:f>IF($A653="","",IF($D653&lt;&gt;'Team Setup'!$B$4,"Other sprint",IF($E653="","Unestimated",IF(NOT(ISNUMBER($E653)),"Check estimate in hours",IF($E653&lt;0,"Check estimate in hours",IF($E653=0,"Unestimated","Estimated"))))))</x:f>
      </x:c>
    </x:row>
    <x:row r="654">
      <x:c r="A654" s="12"/>
      <x:c r="B654" s="12"/>
      <x:c r="C654" s="12"/>
      <x:c r="D654" s="12"/>
      <x:c r="E654" s="14"/>
      <x:c r="F654" s="13" t="str">
        <x:f>IF($A654="","",IF($D654&lt;&gt;'Team Setup'!$B$4,"Other sprint",IF($C654="","Unassigned",IF(OR(ISNUMBER(SEARCH(",",$C654)),ISNUMBER(SEARCH(";",$C654))),"Multiple assignees",IF(COUNTIF('Team Setup'!$B$10:$B$34,$C654)=1,"Matched","Unmatched")))))</x:f>
      </x:c>
      <x:c r="G654" s="13" t="str">
        <x:f>IF($A654="","",IF($D654&lt;&gt;'Team Setup'!$B$4,"Other sprint",IF($E654="","Unestimated",IF(NOT(ISNUMBER($E654)),"Check estimate in hours",IF($E654&lt;0,"Check estimate in hours",IF($E654=0,"Unestimated","Estimated"))))))</x:f>
      </x:c>
    </x:row>
    <x:row r="655">
      <x:c r="A655" s="12"/>
      <x:c r="B655" s="12"/>
      <x:c r="C655" s="12"/>
      <x:c r="D655" s="12"/>
      <x:c r="E655" s="14"/>
      <x:c r="F655" s="13" t="str">
        <x:f>IF($A655="","",IF($D655&lt;&gt;'Team Setup'!$B$4,"Other sprint",IF($C655="","Unassigned",IF(OR(ISNUMBER(SEARCH(",",$C655)),ISNUMBER(SEARCH(";",$C655))),"Multiple assignees",IF(COUNTIF('Team Setup'!$B$10:$B$34,$C655)=1,"Matched","Unmatched")))))</x:f>
      </x:c>
      <x:c r="G655" s="13" t="str">
        <x:f>IF($A655="","",IF($D655&lt;&gt;'Team Setup'!$B$4,"Other sprint",IF($E655="","Unestimated",IF(NOT(ISNUMBER($E655)),"Check estimate in hours",IF($E655&lt;0,"Check estimate in hours",IF($E655=0,"Unestimated","Estimated"))))))</x:f>
      </x:c>
    </x:row>
    <x:row r="656">
      <x:c r="A656" s="12"/>
      <x:c r="B656" s="12"/>
      <x:c r="C656" s="12"/>
      <x:c r="D656" s="12"/>
      <x:c r="E656" s="14"/>
      <x:c r="F656" s="13" t="str">
        <x:f>IF($A656="","",IF($D656&lt;&gt;'Team Setup'!$B$4,"Other sprint",IF($C656="","Unassigned",IF(OR(ISNUMBER(SEARCH(",",$C656)),ISNUMBER(SEARCH(";",$C656))),"Multiple assignees",IF(COUNTIF('Team Setup'!$B$10:$B$34,$C656)=1,"Matched","Unmatched")))))</x:f>
      </x:c>
      <x:c r="G656" s="13" t="str">
        <x:f>IF($A656="","",IF($D656&lt;&gt;'Team Setup'!$B$4,"Other sprint",IF($E656="","Unestimated",IF(NOT(ISNUMBER($E656)),"Check estimate in hours",IF($E656&lt;0,"Check estimate in hours",IF($E656=0,"Unestimated","Estimated"))))))</x:f>
      </x:c>
    </x:row>
    <x:row r="657">
      <x:c r="A657" s="12"/>
      <x:c r="B657" s="12"/>
      <x:c r="C657" s="12"/>
      <x:c r="D657" s="12"/>
      <x:c r="E657" s="14"/>
      <x:c r="F657" s="13" t="str">
        <x:f>IF($A657="","",IF($D657&lt;&gt;'Team Setup'!$B$4,"Other sprint",IF($C657="","Unassigned",IF(OR(ISNUMBER(SEARCH(",",$C657)),ISNUMBER(SEARCH(";",$C657))),"Multiple assignees",IF(COUNTIF('Team Setup'!$B$10:$B$34,$C657)=1,"Matched","Unmatched")))))</x:f>
      </x:c>
      <x:c r="G657" s="13" t="str">
        <x:f>IF($A657="","",IF($D657&lt;&gt;'Team Setup'!$B$4,"Other sprint",IF($E657="","Unestimated",IF(NOT(ISNUMBER($E657)),"Check estimate in hours",IF($E657&lt;0,"Check estimate in hours",IF($E657=0,"Unestimated","Estimated"))))))</x:f>
      </x:c>
    </x:row>
    <x:row r="658">
      <x:c r="A658" s="12"/>
      <x:c r="B658" s="12"/>
      <x:c r="C658" s="12"/>
      <x:c r="D658" s="12"/>
      <x:c r="E658" s="14"/>
      <x:c r="F658" s="13" t="str">
        <x:f>IF($A658="","",IF($D658&lt;&gt;'Team Setup'!$B$4,"Other sprint",IF($C658="","Unassigned",IF(OR(ISNUMBER(SEARCH(",",$C658)),ISNUMBER(SEARCH(";",$C658))),"Multiple assignees",IF(COUNTIF('Team Setup'!$B$10:$B$34,$C658)=1,"Matched","Unmatched")))))</x:f>
      </x:c>
      <x:c r="G658" s="13" t="str">
        <x:f>IF($A658="","",IF($D658&lt;&gt;'Team Setup'!$B$4,"Other sprint",IF($E658="","Unestimated",IF(NOT(ISNUMBER($E658)),"Check estimate in hours",IF($E658&lt;0,"Check estimate in hours",IF($E658=0,"Unestimated","Estimated"))))))</x:f>
      </x:c>
    </x:row>
    <x:row r="659">
      <x:c r="A659" s="12"/>
      <x:c r="B659" s="12"/>
      <x:c r="C659" s="12"/>
      <x:c r="D659" s="12"/>
      <x:c r="E659" s="14"/>
      <x:c r="F659" s="13" t="str">
        <x:f>IF($A659="","",IF($D659&lt;&gt;'Team Setup'!$B$4,"Other sprint",IF($C659="","Unassigned",IF(OR(ISNUMBER(SEARCH(",",$C659)),ISNUMBER(SEARCH(";",$C659))),"Multiple assignees",IF(COUNTIF('Team Setup'!$B$10:$B$34,$C659)=1,"Matched","Unmatched")))))</x:f>
      </x:c>
      <x:c r="G659" s="13" t="str">
        <x:f>IF($A659="","",IF($D659&lt;&gt;'Team Setup'!$B$4,"Other sprint",IF($E659="","Unestimated",IF(NOT(ISNUMBER($E659)),"Check estimate in hours",IF($E659&lt;0,"Check estimate in hours",IF($E659=0,"Unestimated","Estimated"))))))</x:f>
      </x:c>
    </x:row>
    <x:row r="660">
      <x:c r="A660" s="12"/>
      <x:c r="B660" s="12"/>
      <x:c r="C660" s="12"/>
      <x:c r="D660" s="12"/>
      <x:c r="E660" s="14"/>
      <x:c r="F660" s="13" t="str">
        <x:f>IF($A660="","",IF($D660&lt;&gt;'Team Setup'!$B$4,"Other sprint",IF($C660="","Unassigned",IF(OR(ISNUMBER(SEARCH(",",$C660)),ISNUMBER(SEARCH(";",$C660))),"Multiple assignees",IF(COUNTIF('Team Setup'!$B$10:$B$34,$C660)=1,"Matched","Unmatched")))))</x:f>
      </x:c>
      <x:c r="G660" s="13" t="str">
        <x:f>IF($A660="","",IF($D660&lt;&gt;'Team Setup'!$B$4,"Other sprint",IF($E660="","Unestimated",IF(NOT(ISNUMBER($E660)),"Check estimate in hours",IF($E660&lt;0,"Check estimate in hours",IF($E660=0,"Unestimated","Estimated"))))))</x:f>
      </x:c>
    </x:row>
    <x:row r="661">
      <x:c r="A661" s="12"/>
      <x:c r="B661" s="12"/>
      <x:c r="C661" s="12"/>
      <x:c r="D661" s="12"/>
      <x:c r="E661" s="14"/>
      <x:c r="F661" s="13" t="str">
        <x:f>IF($A661="","",IF($D661&lt;&gt;'Team Setup'!$B$4,"Other sprint",IF($C661="","Unassigned",IF(OR(ISNUMBER(SEARCH(",",$C661)),ISNUMBER(SEARCH(";",$C661))),"Multiple assignees",IF(COUNTIF('Team Setup'!$B$10:$B$34,$C661)=1,"Matched","Unmatched")))))</x:f>
      </x:c>
      <x:c r="G661" s="13" t="str">
        <x:f>IF($A661="","",IF($D661&lt;&gt;'Team Setup'!$B$4,"Other sprint",IF($E661="","Unestimated",IF(NOT(ISNUMBER($E661)),"Check estimate in hours",IF($E661&lt;0,"Check estimate in hours",IF($E661=0,"Unestimated","Estimated"))))))</x:f>
      </x:c>
    </x:row>
    <x:row r="662">
      <x:c r="A662" s="12"/>
      <x:c r="B662" s="12"/>
      <x:c r="C662" s="12"/>
      <x:c r="D662" s="12"/>
      <x:c r="E662" s="14"/>
      <x:c r="F662" s="13" t="str">
        <x:f>IF($A662="","",IF($D662&lt;&gt;'Team Setup'!$B$4,"Other sprint",IF($C662="","Unassigned",IF(OR(ISNUMBER(SEARCH(",",$C662)),ISNUMBER(SEARCH(";",$C662))),"Multiple assignees",IF(COUNTIF('Team Setup'!$B$10:$B$34,$C662)=1,"Matched","Unmatched")))))</x:f>
      </x:c>
      <x:c r="G662" s="13" t="str">
        <x:f>IF($A662="","",IF($D662&lt;&gt;'Team Setup'!$B$4,"Other sprint",IF($E662="","Unestimated",IF(NOT(ISNUMBER($E662)),"Check estimate in hours",IF($E662&lt;0,"Check estimate in hours",IF($E662=0,"Unestimated","Estimated"))))))</x:f>
      </x:c>
    </x:row>
    <x:row r="663">
      <x:c r="A663" s="12"/>
      <x:c r="B663" s="12"/>
      <x:c r="C663" s="12"/>
      <x:c r="D663" s="12"/>
      <x:c r="E663" s="14"/>
      <x:c r="F663" s="13" t="str">
        <x:f>IF($A663="","",IF($D663&lt;&gt;'Team Setup'!$B$4,"Other sprint",IF($C663="","Unassigned",IF(OR(ISNUMBER(SEARCH(",",$C663)),ISNUMBER(SEARCH(";",$C663))),"Multiple assignees",IF(COUNTIF('Team Setup'!$B$10:$B$34,$C663)=1,"Matched","Unmatched")))))</x:f>
      </x:c>
      <x:c r="G663" s="13" t="str">
        <x:f>IF($A663="","",IF($D663&lt;&gt;'Team Setup'!$B$4,"Other sprint",IF($E663="","Unestimated",IF(NOT(ISNUMBER($E663)),"Check estimate in hours",IF($E663&lt;0,"Check estimate in hours",IF($E663=0,"Unestimated","Estimated"))))))</x:f>
      </x:c>
    </x:row>
    <x:row r="664">
      <x:c r="A664" s="12"/>
      <x:c r="B664" s="12"/>
      <x:c r="C664" s="12"/>
      <x:c r="D664" s="12"/>
      <x:c r="E664" s="14"/>
      <x:c r="F664" s="13" t="str">
        <x:f>IF($A664="","",IF($D664&lt;&gt;'Team Setup'!$B$4,"Other sprint",IF($C664="","Unassigned",IF(OR(ISNUMBER(SEARCH(",",$C664)),ISNUMBER(SEARCH(";",$C664))),"Multiple assignees",IF(COUNTIF('Team Setup'!$B$10:$B$34,$C664)=1,"Matched","Unmatched")))))</x:f>
      </x:c>
      <x:c r="G664" s="13" t="str">
        <x:f>IF($A664="","",IF($D664&lt;&gt;'Team Setup'!$B$4,"Other sprint",IF($E664="","Unestimated",IF(NOT(ISNUMBER($E664)),"Check estimate in hours",IF($E664&lt;0,"Check estimate in hours",IF($E664=0,"Unestimated","Estimated"))))))</x:f>
      </x:c>
    </x:row>
    <x:row r="665">
      <x:c r="A665" s="12"/>
      <x:c r="B665" s="12"/>
      <x:c r="C665" s="12"/>
      <x:c r="D665" s="12"/>
      <x:c r="E665" s="14"/>
      <x:c r="F665" s="13" t="str">
        <x:f>IF($A665="","",IF($D665&lt;&gt;'Team Setup'!$B$4,"Other sprint",IF($C665="","Unassigned",IF(OR(ISNUMBER(SEARCH(",",$C665)),ISNUMBER(SEARCH(";",$C665))),"Multiple assignees",IF(COUNTIF('Team Setup'!$B$10:$B$34,$C665)=1,"Matched","Unmatched")))))</x:f>
      </x:c>
      <x:c r="G665" s="13" t="str">
        <x:f>IF($A665="","",IF($D665&lt;&gt;'Team Setup'!$B$4,"Other sprint",IF($E665="","Unestimated",IF(NOT(ISNUMBER($E665)),"Check estimate in hours",IF($E665&lt;0,"Check estimate in hours",IF($E665=0,"Unestimated","Estimated"))))))</x:f>
      </x:c>
    </x:row>
    <x:row r="666">
      <x:c r="A666" s="12"/>
      <x:c r="B666" s="12"/>
      <x:c r="C666" s="12"/>
      <x:c r="D666" s="12"/>
      <x:c r="E666" s="14"/>
      <x:c r="F666" s="13" t="str">
        <x:f>IF($A666="","",IF($D666&lt;&gt;'Team Setup'!$B$4,"Other sprint",IF($C666="","Unassigned",IF(OR(ISNUMBER(SEARCH(",",$C666)),ISNUMBER(SEARCH(";",$C666))),"Multiple assignees",IF(COUNTIF('Team Setup'!$B$10:$B$34,$C666)=1,"Matched","Unmatched")))))</x:f>
      </x:c>
      <x:c r="G666" s="13" t="str">
        <x:f>IF($A666="","",IF($D666&lt;&gt;'Team Setup'!$B$4,"Other sprint",IF($E666="","Unestimated",IF(NOT(ISNUMBER($E666)),"Check estimate in hours",IF($E666&lt;0,"Check estimate in hours",IF($E666=0,"Unestimated","Estimated"))))))</x:f>
      </x:c>
    </x:row>
    <x:row r="667">
      <x:c r="A667" s="12"/>
      <x:c r="B667" s="12"/>
      <x:c r="C667" s="12"/>
      <x:c r="D667" s="12"/>
      <x:c r="E667" s="14"/>
      <x:c r="F667" s="13" t="str">
        <x:f>IF($A667="","",IF($D667&lt;&gt;'Team Setup'!$B$4,"Other sprint",IF($C667="","Unassigned",IF(OR(ISNUMBER(SEARCH(",",$C667)),ISNUMBER(SEARCH(";",$C667))),"Multiple assignees",IF(COUNTIF('Team Setup'!$B$10:$B$34,$C667)=1,"Matched","Unmatched")))))</x:f>
      </x:c>
      <x:c r="G667" s="13" t="str">
        <x:f>IF($A667="","",IF($D667&lt;&gt;'Team Setup'!$B$4,"Other sprint",IF($E667="","Unestimated",IF(NOT(ISNUMBER($E667)),"Check estimate in hours",IF($E667&lt;0,"Check estimate in hours",IF($E667=0,"Unestimated","Estimated"))))))</x:f>
      </x:c>
    </x:row>
    <x:row r="668">
      <x:c r="A668" s="12"/>
      <x:c r="B668" s="12"/>
      <x:c r="C668" s="12"/>
      <x:c r="D668" s="12"/>
      <x:c r="E668" s="14"/>
      <x:c r="F668" s="13" t="str">
        <x:f>IF($A668="","",IF($D668&lt;&gt;'Team Setup'!$B$4,"Other sprint",IF($C668="","Unassigned",IF(OR(ISNUMBER(SEARCH(",",$C668)),ISNUMBER(SEARCH(";",$C668))),"Multiple assignees",IF(COUNTIF('Team Setup'!$B$10:$B$34,$C668)=1,"Matched","Unmatched")))))</x:f>
      </x:c>
      <x:c r="G668" s="13" t="str">
        <x:f>IF($A668="","",IF($D668&lt;&gt;'Team Setup'!$B$4,"Other sprint",IF($E668="","Unestimated",IF(NOT(ISNUMBER($E668)),"Check estimate in hours",IF($E668&lt;0,"Check estimate in hours",IF($E668=0,"Unestimated","Estimated"))))))</x:f>
      </x:c>
    </x:row>
    <x:row r="669">
      <x:c r="A669" s="12"/>
      <x:c r="B669" s="12"/>
      <x:c r="C669" s="12"/>
      <x:c r="D669" s="12"/>
      <x:c r="E669" s="14"/>
      <x:c r="F669" s="13" t="str">
        <x:f>IF($A669="","",IF($D669&lt;&gt;'Team Setup'!$B$4,"Other sprint",IF($C669="","Unassigned",IF(OR(ISNUMBER(SEARCH(",",$C669)),ISNUMBER(SEARCH(";",$C669))),"Multiple assignees",IF(COUNTIF('Team Setup'!$B$10:$B$34,$C669)=1,"Matched","Unmatched")))))</x:f>
      </x:c>
      <x:c r="G669" s="13" t="str">
        <x:f>IF($A669="","",IF($D669&lt;&gt;'Team Setup'!$B$4,"Other sprint",IF($E669="","Unestimated",IF(NOT(ISNUMBER($E669)),"Check estimate in hours",IF($E669&lt;0,"Check estimate in hours",IF($E669=0,"Unestimated","Estimated"))))))</x:f>
      </x:c>
    </x:row>
    <x:row r="670">
      <x:c r="A670" s="12"/>
      <x:c r="B670" s="12"/>
      <x:c r="C670" s="12"/>
      <x:c r="D670" s="12"/>
      <x:c r="E670" s="14"/>
      <x:c r="F670" s="13" t="str">
        <x:f>IF($A670="","",IF($D670&lt;&gt;'Team Setup'!$B$4,"Other sprint",IF($C670="","Unassigned",IF(OR(ISNUMBER(SEARCH(",",$C670)),ISNUMBER(SEARCH(";",$C670))),"Multiple assignees",IF(COUNTIF('Team Setup'!$B$10:$B$34,$C670)=1,"Matched","Unmatched")))))</x:f>
      </x:c>
      <x:c r="G670" s="13" t="str">
        <x:f>IF($A670="","",IF($D670&lt;&gt;'Team Setup'!$B$4,"Other sprint",IF($E670="","Unestimated",IF(NOT(ISNUMBER($E670)),"Check estimate in hours",IF($E670&lt;0,"Check estimate in hours",IF($E670=0,"Unestimated","Estimated"))))))</x:f>
      </x:c>
    </x:row>
    <x:row r="671">
      <x:c r="A671" s="12"/>
      <x:c r="B671" s="12"/>
      <x:c r="C671" s="12"/>
      <x:c r="D671" s="12"/>
      <x:c r="E671" s="14"/>
      <x:c r="F671" s="13" t="str">
        <x:f>IF($A671="","",IF($D671&lt;&gt;'Team Setup'!$B$4,"Other sprint",IF($C671="","Unassigned",IF(OR(ISNUMBER(SEARCH(",",$C671)),ISNUMBER(SEARCH(";",$C671))),"Multiple assignees",IF(COUNTIF('Team Setup'!$B$10:$B$34,$C671)=1,"Matched","Unmatched")))))</x:f>
      </x:c>
      <x:c r="G671" s="13" t="str">
        <x:f>IF($A671="","",IF($D671&lt;&gt;'Team Setup'!$B$4,"Other sprint",IF($E671="","Unestimated",IF(NOT(ISNUMBER($E671)),"Check estimate in hours",IF($E671&lt;0,"Check estimate in hours",IF($E671=0,"Unestimated","Estimated"))))))</x:f>
      </x:c>
    </x:row>
    <x:row r="672">
      <x:c r="A672" s="12"/>
      <x:c r="B672" s="12"/>
      <x:c r="C672" s="12"/>
      <x:c r="D672" s="12"/>
      <x:c r="E672" s="14"/>
      <x:c r="F672" s="13" t="str">
        <x:f>IF($A672="","",IF($D672&lt;&gt;'Team Setup'!$B$4,"Other sprint",IF($C672="","Unassigned",IF(OR(ISNUMBER(SEARCH(",",$C672)),ISNUMBER(SEARCH(";",$C672))),"Multiple assignees",IF(COUNTIF('Team Setup'!$B$10:$B$34,$C672)=1,"Matched","Unmatched")))))</x:f>
      </x:c>
      <x:c r="G672" s="13" t="str">
        <x:f>IF($A672="","",IF($D672&lt;&gt;'Team Setup'!$B$4,"Other sprint",IF($E672="","Unestimated",IF(NOT(ISNUMBER($E672)),"Check estimate in hours",IF($E672&lt;0,"Check estimate in hours",IF($E672=0,"Unestimated","Estimated"))))))</x:f>
      </x:c>
    </x:row>
    <x:row r="673">
      <x:c r="A673" s="12"/>
      <x:c r="B673" s="12"/>
      <x:c r="C673" s="12"/>
      <x:c r="D673" s="12"/>
      <x:c r="E673" s="14"/>
      <x:c r="F673" s="13" t="str">
        <x:f>IF($A673="","",IF($D673&lt;&gt;'Team Setup'!$B$4,"Other sprint",IF($C673="","Unassigned",IF(OR(ISNUMBER(SEARCH(",",$C673)),ISNUMBER(SEARCH(";",$C673))),"Multiple assignees",IF(COUNTIF('Team Setup'!$B$10:$B$34,$C673)=1,"Matched","Unmatched")))))</x:f>
      </x:c>
      <x:c r="G673" s="13" t="str">
        <x:f>IF($A673="","",IF($D673&lt;&gt;'Team Setup'!$B$4,"Other sprint",IF($E673="","Unestimated",IF(NOT(ISNUMBER($E673)),"Check estimate in hours",IF($E673&lt;0,"Check estimate in hours",IF($E673=0,"Unestimated","Estimated"))))))</x:f>
      </x:c>
    </x:row>
    <x:row r="674">
      <x:c r="A674" s="12"/>
      <x:c r="B674" s="12"/>
      <x:c r="C674" s="12"/>
      <x:c r="D674" s="12"/>
      <x:c r="E674" s="14"/>
      <x:c r="F674" s="13" t="str">
        <x:f>IF($A674="","",IF($D674&lt;&gt;'Team Setup'!$B$4,"Other sprint",IF($C674="","Unassigned",IF(OR(ISNUMBER(SEARCH(",",$C674)),ISNUMBER(SEARCH(";",$C674))),"Multiple assignees",IF(COUNTIF('Team Setup'!$B$10:$B$34,$C674)=1,"Matched","Unmatched")))))</x:f>
      </x:c>
      <x:c r="G674" s="13" t="str">
        <x:f>IF($A674="","",IF($D674&lt;&gt;'Team Setup'!$B$4,"Other sprint",IF($E674="","Unestimated",IF(NOT(ISNUMBER($E674)),"Check estimate in hours",IF($E674&lt;0,"Check estimate in hours",IF($E674=0,"Unestimated","Estimated"))))))</x:f>
      </x:c>
    </x:row>
    <x:row r="675">
      <x:c r="A675" s="12"/>
      <x:c r="B675" s="12"/>
      <x:c r="C675" s="12"/>
      <x:c r="D675" s="12"/>
      <x:c r="E675" s="14"/>
      <x:c r="F675" s="13" t="str">
        <x:f>IF($A675="","",IF($D675&lt;&gt;'Team Setup'!$B$4,"Other sprint",IF($C675="","Unassigned",IF(OR(ISNUMBER(SEARCH(",",$C675)),ISNUMBER(SEARCH(";",$C675))),"Multiple assignees",IF(COUNTIF('Team Setup'!$B$10:$B$34,$C675)=1,"Matched","Unmatched")))))</x:f>
      </x:c>
      <x:c r="G675" s="13" t="str">
        <x:f>IF($A675="","",IF($D675&lt;&gt;'Team Setup'!$B$4,"Other sprint",IF($E675="","Unestimated",IF(NOT(ISNUMBER($E675)),"Check estimate in hours",IF($E675&lt;0,"Check estimate in hours",IF($E675=0,"Unestimated","Estimated"))))))</x:f>
      </x:c>
    </x:row>
    <x:row r="676">
      <x:c r="A676" s="12"/>
      <x:c r="B676" s="12"/>
      <x:c r="C676" s="12"/>
      <x:c r="D676" s="12"/>
      <x:c r="E676" s="14"/>
      <x:c r="F676" s="13" t="str">
        <x:f>IF($A676="","",IF($D676&lt;&gt;'Team Setup'!$B$4,"Other sprint",IF($C676="","Unassigned",IF(OR(ISNUMBER(SEARCH(",",$C676)),ISNUMBER(SEARCH(";",$C676))),"Multiple assignees",IF(COUNTIF('Team Setup'!$B$10:$B$34,$C676)=1,"Matched","Unmatched")))))</x:f>
      </x:c>
      <x:c r="G676" s="13" t="str">
        <x:f>IF($A676="","",IF($D676&lt;&gt;'Team Setup'!$B$4,"Other sprint",IF($E676="","Unestimated",IF(NOT(ISNUMBER($E676)),"Check estimate in hours",IF($E676&lt;0,"Check estimate in hours",IF($E676=0,"Unestimated","Estimated"))))))</x:f>
      </x:c>
    </x:row>
    <x:row r="677">
      <x:c r="A677" s="12"/>
      <x:c r="B677" s="12"/>
      <x:c r="C677" s="12"/>
      <x:c r="D677" s="12"/>
      <x:c r="E677" s="14"/>
      <x:c r="F677" s="13" t="str">
        <x:f>IF($A677="","",IF($D677&lt;&gt;'Team Setup'!$B$4,"Other sprint",IF($C677="","Unassigned",IF(OR(ISNUMBER(SEARCH(",",$C677)),ISNUMBER(SEARCH(";",$C677))),"Multiple assignees",IF(COUNTIF('Team Setup'!$B$10:$B$34,$C677)=1,"Matched","Unmatched")))))</x:f>
      </x:c>
      <x:c r="G677" s="13" t="str">
        <x:f>IF($A677="","",IF($D677&lt;&gt;'Team Setup'!$B$4,"Other sprint",IF($E677="","Unestimated",IF(NOT(ISNUMBER($E677)),"Check estimate in hours",IF($E677&lt;0,"Check estimate in hours",IF($E677=0,"Unestimated","Estimated"))))))</x:f>
      </x:c>
    </x:row>
    <x:row r="678">
      <x:c r="A678" s="12"/>
      <x:c r="B678" s="12"/>
      <x:c r="C678" s="12"/>
      <x:c r="D678" s="12"/>
      <x:c r="E678" s="14"/>
      <x:c r="F678" s="13" t="str">
        <x:f>IF($A678="","",IF($D678&lt;&gt;'Team Setup'!$B$4,"Other sprint",IF($C678="","Unassigned",IF(OR(ISNUMBER(SEARCH(",",$C678)),ISNUMBER(SEARCH(";",$C678))),"Multiple assignees",IF(COUNTIF('Team Setup'!$B$10:$B$34,$C678)=1,"Matched","Unmatched")))))</x:f>
      </x:c>
      <x:c r="G678" s="13" t="str">
        <x:f>IF($A678="","",IF($D678&lt;&gt;'Team Setup'!$B$4,"Other sprint",IF($E678="","Unestimated",IF(NOT(ISNUMBER($E678)),"Check estimate in hours",IF($E678&lt;0,"Check estimate in hours",IF($E678=0,"Unestimated","Estimated"))))))</x:f>
      </x:c>
    </x:row>
    <x:row r="679">
      <x:c r="A679" s="12"/>
      <x:c r="B679" s="12"/>
      <x:c r="C679" s="12"/>
      <x:c r="D679" s="12"/>
      <x:c r="E679" s="14"/>
      <x:c r="F679" s="13" t="str">
        <x:f>IF($A679="","",IF($D679&lt;&gt;'Team Setup'!$B$4,"Other sprint",IF($C679="","Unassigned",IF(OR(ISNUMBER(SEARCH(",",$C679)),ISNUMBER(SEARCH(";",$C679))),"Multiple assignees",IF(COUNTIF('Team Setup'!$B$10:$B$34,$C679)=1,"Matched","Unmatched")))))</x:f>
      </x:c>
      <x:c r="G679" s="13" t="str">
        <x:f>IF($A679="","",IF($D679&lt;&gt;'Team Setup'!$B$4,"Other sprint",IF($E679="","Unestimated",IF(NOT(ISNUMBER($E679)),"Check estimate in hours",IF($E679&lt;0,"Check estimate in hours",IF($E679=0,"Unestimated","Estimated"))))))</x:f>
      </x:c>
    </x:row>
    <x:row r="680">
      <x:c r="A680" s="12"/>
      <x:c r="B680" s="12"/>
      <x:c r="C680" s="12"/>
      <x:c r="D680" s="12"/>
      <x:c r="E680" s="14"/>
      <x:c r="F680" s="13" t="str">
        <x:f>IF($A680="","",IF($D680&lt;&gt;'Team Setup'!$B$4,"Other sprint",IF($C680="","Unassigned",IF(OR(ISNUMBER(SEARCH(",",$C680)),ISNUMBER(SEARCH(";",$C680))),"Multiple assignees",IF(COUNTIF('Team Setup'!$B$10:$B$34,$C680)=1,"Matched","Unmatched")))))</x:f>
      </x:c>
      <x:c r="G680" s="13" t="str">
        <x:f>IF($A680="","",IF($D680&lt;&gt;'Team Setup'!$B$4,"Other sprint",IF($E680="","Unestimated",IF(NOT(ISNUMBER($E680)),"Check estimate in hours",IF($E680&lt;0,"Check estimate in hours",IF($E680=0,"Unestimated","Estimated"))))))</x:f>
      </x:c>
    </x:row>
    <x:row r="681">
      <x:c r="A681" s="12"/>
      <x:c r="B681" s="12"/>
      <x:c r="C681" s="12"/>
      <x:c r="D681" s="12"/>
      <x:c r="E681" s="14"/>
      <x:c r="F681" s="13" t="str">
        <x:f>IF($A681="","",IF($D681&lt;&gt;'Team Setup'!$B$4,"Other sprint",IF($C681="","Unassigned",IF(OR(ISNUMBER(SEARCH(",",$C681)),ISNUMBER(SEARCH(";",$C681))),"Multiple assignees",IF(COUNTIF('Team Setup'!$B$10:$B$34,$C681)=1,"Matched","Unmatched")))))</x:f>
      </x:c>
      <x:c r="G681" s="13" t="str">
        <x:f>IF($A681="","",IF($D681&lt;&gt;'Team Setup'!$B$4,"Other sprint",IF($E681="","Unestimated",IF(NOT(ISNUMBER($E681)),"Check estimate in hours",IF($E681&lt;0,"Check estimate in hours",IF($E681=0,"Unestimated","Estimated"))))))</x:f>
      </x:c>
    </x:row>
    <x:row r="682">
      <x:c r="A682" s="12"/>
      <x:c r="B682" s="12"/>
      <x:c r="C682" s="12"/>
      <x:c r="D682" s="12"/>
      <x:c r="E682" s="14"/>
      <x:c r="F682" s="13" t="str">
        <x:f>IF($A682="","",IF($D682&lt;&gt;'Team Setup'!$B$4,"Other sprint",IF($C682="","Unassigned",IF(OR(ISNUMBER(SEARCH(",",$C682)),ISNUMBER(SEARCH(";",$C682))),"Multiple assignees",IF(COUNTIF('Team Setup'!$B$10:$B$34,$C682)=1,"Matched","Unmatched")))))</x:f>
      </x:c>
      <x:c r="G682" s="13" t="str">
        <x:f>IF($A682="","",IF($D682&lt;&gt;'Team Setup'!$B$4,"Other sprint",IF($E682="","Unestimated",IF(NOT(ISNUMBER($E682)),"Check estimate in hours",IF($E682&lt;0,"Check estimate in hours",IF($E682=0,"Unestimated","Estimated"))))))</x:f>
      </x:c>
    </x:row>
    <x:row r="683">
      <x:c r="A683" s="12"/>
      <x:c r="B683" s="12"/>
      <x:c r="C683" s="12"/>
      <x:c r="D683" s="12"/>
      <x:c r="E683" s="14"/>
      <x:c r="F683" s="13" t="str">
        <x:f>IF($A683="","",IF($D683&lt;&gt;'Team Setup'!$B$4,"Other sprint",IF($C683="","Unassigned",IF(OR(ISNUMBER(SEARCH(",",$C683)),ISNUMBER(SEARCH(";",$C683))),"Multiple assignees",IF(COUNTIF('Team Setup'!$B$10:$B$34,$C683)=1,"Matched","Unmatched")))))</x:f>
      </x:c>
      <x:c r="G683" s="13" t="str">
        <x:f>IF($A683="","",IF($D683&lt;&gt;'Team Setup'!$B$4,"Other sprint",IF($E683="","Unestimated",IF(NOT(ISNUMBER($E683)),"Check estimate in hours",IF($E683&lt;0,"Check estimate in hours",IF($E683=0,"Unestimated","Estimated"))))))</x:f>
      </x:c>
    </x:row>
    <x:row r="684">
      <x:c r="A684" s="12"/>
      <x:c r="B684" s="12"/>
      <x:c r="C684" s="12"/>
      <x:c r="D684" s="12"/>
      <x:c r="E684" s="14"/>
      <x:c r="F684" s="13" t="str">
        <x:f>IF($A684="","",IF($D684&lt;&gt;'Team Setup'!$B$4,"Other sprint",IF($C684="","Unassigned",IF(OR(ISNUMBER(SEARCH(",",$C684)),ISNUMBER(SEARCH(";",$C684))),"Multiple assignees",IF(COUNTIF('Team Setup'!$B$10:$B$34,$C684)=1,"Matched","Unmatched")))))</x:f>
      </x:c>
      <x:c r="G684" s="13" t="str">
        <x:f>IF($A684="","",IF($D684&lt;&gt;'Team Setup'!$B$4,"Other sprint",IF($E684="","Unestimated",IF(NOT(ISNUMBER($E684)),"Check estimate in hours",IF($E684&lt;0,"Check estimate in hours",IF($E684=0,"Unestimated","Estimated"))))))</x:f>
      </x:c>
    </x:row>
    <x:row r="685">
      <x:c r="A685" s="12"/>
      <x:c r="B685" s="12"/>
      <x:c r="C685" s="12"/>
      <x:c r="D685" s="12"/>
      <x:c r="E685" s="14"/>
      <x:c r="F685" s="13" t="str">
        <x:f>IF($A685="","",IF($D685&lt;&gt;'Team Setup'!$B$4,"Other sprint",IF($C685="","Unassigned",IF(OR(ISNUMBER(SEARCH(",",$C685)),ISNUMBER(SEARCH(";",$C685))),"Multiple assignees",IF(COUNTIF('Team Setup'!$B$10:$B$34,$C685)=1,"Matched","Unmatched")))))</x:f>
      </x:c>
      <x:c r="G685" s="13" t="str">
        <x:f>IF($A685="","",IF($D685&lt;&gt;'Team Setup'!$B$4,"Other sprint",IF($E685="","Unestimated",IF(NOT(ISNUMBER($E685)),"Check estimate in hours",IF($E685&lt;0,"Check estimate in hours",IF($E685=0,"Unestimated","Estimated"))))))</x:f>
      </x:c>
    </x:row>
    <x:row r="686">
      <x:c r="A686" s="12"/>
      <x:c r="B686" s="12"/>
      <x:c r="C686" s="12"/>
      <x:c r="D686" s="12"/>
      <x:c r="E686" s="14"/>
      <x:c r="F686" s="13" t="str">
        <x:f>IF($A686="","",IF($D686&lt;&gt;'Team Setup'!$B$4,"Other sprint",IF($C686="","Unassigned",IF(OR(ISNUMBER(SEARCH(",",$C686)),ISNUMBER(SEARCH(";",$C686))),"Multiple assignees",IF(COUNTIF('Team Setup'!$B$10:$B$34,$C686)=1,"Matched","Unmatched")))))</x:f>
      </x:c>
      <x:c r="G686" s="13" t="str">
        <x:f>IF($A686="","",IF($D686&lt;&gt;'Team Setup'!$B$4,"Other sprint",IF($E686="","Unestimated",IF(NOT(ISNUMBER($E686)),"Check estimate in hours",IF($E686&lt;0,"Check estimate in hours",IF($E686=0,"Unestimated","Estimated"))))))</x:f>
      </x:c>
    </x:row>
    <x:row r="687">
      <x:c r="A687" s="12"/>
      <x:c r="B687" s="12"/>
      <x:c r="C687" s="12"/>
      <x:c r="D687" s="12"/>
      <x:c r="E687" s="14"/>
      <x:c r="F687" s="13" t="str">
        <x:f>IF($A687="","",IF($D687&lt;&gt;'Team Setup'!$B$4,"Other sprint",IF($C687="","Unassigned",IF(OR(ISNUMBER(SEARCH(",",$C687)),ISNUMBER(SEARCH(";",$C687))),"Multiple assignees",IF(COUNTIF('Team Setup'!$B$10:$B$34,$C687)=1,"Matched","Unmatched")))))</x:f>
      </x:c>
      <x:c r="G687" s="13" t="str">
        <x:f>IF($A687="","",IF($D687&lt;&gt;'Team Setup'!$B$4,"Other sprint",IF($E687="","Unestimated",IF(NOT(ISNUMBER($E687)),"Check estimate in hours",IF($E687&lt;0,"Check estimate in hours",IF($E687=0,"Unestimated","Estimated"))))))</x:f>
      </x:c>
    </x:row>
    <x:row r="688">
      <x:c r="A688" s="12"/>
      <x:c r="B688" s="12"/>
      <x:c r="C688" s="12"/>
      <x:c r="D688" s="12"/>
      <x:c r="E688" s="14"/>
      <x:c r="F688" s="13" t="str">
        <x:f>IF($A688="","",IF($D688&lt;&gt;'Team Setup'!$B$4,"Other sprint",IF($C688="","Unassigned",IF(OR(ISNUMBER(SEARCH(",",$C688)),ISNUMBER(SEARCH(";",$C688))),"Multiple assignees",IF(COUNTIF('Team Setup'!$B$10:$B$34,$C688)=1,"Matched","Unmatched")))))</x:f>
      </x:c>
      <x:c r="G688" s="13" t="str">
        <x:f>IF($A688="","",IF($D688&lt;&gt;'Team Setup'!$B$4,"Other sprint",IF($E688="","Unestimated",IF(NOT(ISNUMBER($E688)),"Check estimate in hours",IF($E688&lt;0,"Check estimate in hours",IF($E688=0,"Unestimated","Estimated"))))))</x:f>
      </x:c>
    </x:row>
    <x:row r="689">
      <x:c r="A689" s="12"/>
      <x:c r="B689" s="12"/>
      <x:c r="C689" s="12"/>
      <x:c r="D689" s="12"/>
      <x:c r="E689" s="14"/>
      <x:c r="F689" s="13" t="str">
        <x:f>IF($A689="","",IF($D689&lt;&gt;'Team Setup'!$B$4,"Other sprint",IF($C689="","Unassigned",IF(OR(ISNUMBER(SEARCH(",",$C689)),ISNUMBER(SEARCH(";",$C689))),"Multiple assignees",IF(COUNTIF('Team Setup'!$B$10:$B$34,$C689)=1,"Matched","Unmatched")))))</x:f>
      </x:c>
      <x:c r="G689" s="13" t="str">
        <x:f>IF($A689="","",IF($D689&lt;&gt;'Team Setup'!$B$4,"Other sprint",IF($E689="","Unestimated",IF(NOT(ISNUMBER($E689)),"Check estimate in hours",IF($E689&lt;0,"Check estimate in hours",IF($E689=0,"Unestimated","Estimated"))))))</x:f>
      </x:c>
    </x:row>
    <x:row r="690">
      <x:c r="A690" s="12"/>
      <x:c r="B690" s="12"/>
      <x:c r="C690" s="12"/>
      <x:c r="D690" s="12"/>
      <x:c r="E690" s="14"/>
      <x:c r="F690" s="13" t="str">
        <x:f>IF($A690="","",IF($D690&lt;&gt;'Team Setup'!$B$4,"Other sprint",IF($C690="","Unassigned",IF(OR(ISNUMBER(SEARCH(",",$C690)),ISNUMBER(SEARCH(";",$C690))),"Multiple assignees",IF(COUNTIF('Team Setup'!$B$10:$B$34,$C690)=1,"Matched","Unmatched")))))</x:f>
      </x:c>
      <x:c r="G690" s="13" t="str">
        <x:f>IF($A690="","",IF($D690&lt;&gt;'Team Setup'!$B$4,"Other sprint",IF($E690="","Unestimated",IF(NOT(ISNUMBER($E690)),"Check estimate in hours",IF($E690&lt;0,"Check estimate in hours",IF($E690=0,"Unestimated","Estimated"))))))</x:f>
      </x:c>
    </x:row>
    <x:row r="691">
      <x:c r="A691" s="12"/>
      <x:c r="B691" s="12"/>
      <x:c r="C691" s="12"/>
      <x:c r="D691" s="12"/>
      <x:c r="E691" s="14"/>
      <x:c r="F691" s="13" t="str">
        <x:f>IF($A691="","",IF($D691&lt;&gt;'Team Setup'!$B$4,"Other sprint",IF($C691="","Unassigned",IF(OR(ISNUMBER(SEARCH(",",$C691)),ISNUMBER(SEARCH(";",$C691))),"Multiple assignees",IF(COUNTIF('Team Setup'!$B$10:$B$34,$C691)=1,"Matched","Unmatched")))))</x:f>
      </x:c>
      <x:c r="G691" s="13" t="str">
        <x:f>IF($A691="","",IF($D691&lt;&gt;'Team Setup'!$B$4,"Other sprint",IF($E691="","Unestimated",IF(NOT(ISNUMBER($E691)),"Check estimate in hours",IF($E691&lt;0,"Check estimate in hours",IF($E691=0,"Unestimated","Estimated"))))))</x:f>
      </x:c>
    </x:row>
    <x:row r="692">
      <x:c r="A692" s="12"/>
      <x:c r="B692" s="12"/>
      <x:c r="C692" s="12"/>
      <x:c r="D692" s="12"/>
      <x:c r="E692" s="14"/>
      <x:c r="F692" s="13" t="str">
        <x:f>IF($A692="","",IF($D692&lt;&gt;'Team Setup'!$B$4,"Other sprint",IF($C692="","Unassigned",IF(OR(ISNUMBER(SEARCH(",",$C692)),ISNUMBER(SEARCH(";",$C692))),"Multiple assignees",IF(COUNTIF('Team Setup'!$B$10:$B$34,$C692)=1,"Matched","Unmatched")))))</x:f>
      </x:c>
      <x:c r="G692" s="13" t="str">
        <x:f>IF($A692="","",IF($D692&lt;&gt;'Team Setup'!$B$4,"Other sprint",IF($E692="","Unestimated",IF(NOT(ISNUMBER($E692)),"Check estimate in hours",IF($E692&lt;0,"Check estimate in hours",IF($E692=0,"Unestimated","Estimated"))))))</x:f>
      </x:c>
    </x:row>
    <x:row r="693">
      <x:c r="A693" s="12"/>
      <x:c r="B693" s="12"/>
      <x:c r="C693" s="12"/>
      <x:c r="D693" s="12"/>
      <x:c r="E693" s="14"/>
      <x:c r="F693" s="13" t="str">
        <x:f>IF($A693="","",IF($D693&lt;&gt;'Team Setup'!$B$4,"Other sprint",IF($C693="","Unassigned",IF(OR(ISNUMBER(SEARCH(",",$C693)),ISNUMBER(SEARCH(";",$C693))),"Multiple assignees",IF(COUNTIF('Team Setup'!$B$10:$B$34,$C693)=1,"Matched","Unmatched")))))</x:f>
      </x:c>
      <x:c r="G693" s="13" t="str">
        <x:f>IF($A693="","",IF($D693&lt;&gt;'Team Setup'!$B$4,"Other sprint",IF($E693="","Unestimated",IF(NOT(ISNUMBER($E693)),"Check estimate in hours",IF($E693&lt;0,"Check estimate in hours",IF($E693=0,"Unestimated","Estimated"))))))</x:f>
      </x:c>
    </x:row>
    <x:row r="694">
      <x:c r="A694" s="12"/>
      <x:c r="B694" s="12"/>
      <x:c r="C694" s="12"/>
      <x:c r="D694" s="12"/>
      <x:c r="E694" s="14"/>
      <x:c r="F694" s="13" t="str">
        <x:f>IF($A694="","",IF($D694&lt;&gt;'Team Setup'!$B$4,"Other sprint",IF($C694="","Unassigned",IF(OR(ISNUMBER(SEARCH(",",$C694)),ISNUMBER(SEARCH(";",$C694))),"Multiple assignees",IF(COUNTIF('Team Setup'!$B$10:$B$34,$C694)=1,"Matched","Unmatched")))))</x:f>
      </x:c>
      <x:c r="G694" s="13" t="str">
        <x:f>IF($A694="","",IF($D694&lt;&gt;'Team Setup'!$B$4,"Other sprint",IF($E694="","Unestimated",IF(NOT(ISNUMBER($E694)),"Check estimate in hours",IF($E694&lt;0,"Check estimate in hours",IF($E694=0,"Unestimated","Estimated"))))))</x:f>
      </x:c>
    </x:row>
    <x:row r="695">
      <x:c r="A695" s="12"/>
      <x:c r="B695" s="12"/>
      <x:c r="C695" s="12"/>
      <x:c r="D695" s="12"/>
      <x:c r="E695" s="14"/>
      <x:c r="F695" s="13" t="str">
        <x:f>IF($A695="","",IF($D695&lt;&gt;'Team Setup'!$B$4,"Other sprint",IF($C695="","Unassigned",IF(OR(ISNUMBER(SEARCH(",",$C695)),ISNUMBER(SEARCH(";",$C695))),"Multiple assignees",IF(COUNTIF('Team Setup'!$B$10:$B$34,$C695)=1,"Matched","Unmatched")))))</x:f>
      </x:c>
      <x:c r="G695" s="13" t="str">
        <x:f>IF($A695="","",IF($D695&lt;&gt;'Team Setup'!$B$4,"Other sprint",IF($E695="","Unestimated",IF(NOT(ISNUMBER($E695)),"Check estimate in hours",IF($E695&lt;0,"Check estimate in hours",IF($E695=0,"Unestimated","Estimated"))))))</x:f>
      </x:c>
    </x:row>
    <x:row r="696">
      <x:c r="A696" s="12"/>
      <x:c r="B696" s="12"/>
      <x:c r="C696" s="12"/>
      <x:c r="D696" s="12"/>
      <x:c r="E696" s="14"/>
      <x:c r="F696" s="13" t="str">
        <x:f>IF($A696="","",IF($D696&lt;&gt;'Team Setup'!$B$4,"Other sprint",IF($C696="","Unassigned",IF(OR(ISNUMBER(SEARCH(",",$C696)),ISNUMBER(SEARCH(";",$C696))),"Multiple assignees",IF(COUNTIF('Team Setup'!$B$10:$B$34,$C696)=1,"Matched","Unmatched")))))</x:f>
      </x:c>
      <x:c r="G696" s="13" t="str">
        <x:f>IF($A696="","",IF($D696&lt;&gt;'Team Setup'!$B$4,"Other sprint",IF($E696="","Unestimated",IF(NOT(ISNUMBER($E696)),"Check estimate in hours",IF($E696&lt;0,"Check estimate in hours",IF($E696=0,"Unestimated","Estimated"))))))</x:f>
      </x:c>
    </x:row>
    <x:row r="697">
      <x:c r="A697" s="12"/>
      <x:c r="B697" s="12"/>
      <x:c r="C697" s="12"/>
      <x:c r="D697" s="12"/>
      <x:c r="E697" s="14"/>
      <x:c r="F697" s="13" t="str">
        <x:f>IF($A697="","",IF($D697&lt;&gt;'Team Setup'!$B$4,"Other sprint",IF($C697="","Unassigned",IF(OR(ISNUMBER(SEARCH(",",$C697)),ISNUMBER(SEARCH(";",$C697))),"Multiple assignees",IF(COUNTIF('Team Setup'!$B$10:$B$34,$C697)=1,"Matched","Unmatched")))))</x:f>
      </x:c>
      <x:c r="G697" s="13" t="str">
        <x:f>IF($A697="","",IF($D697&lt;&gt;'Team Setup'!$B$4,"Other sprint",IF($E697="","Unestimated",IF(NOT(ISNUMBER($E697)),"Check estimate in hours",IF($E697&lt;0,"Check estimate in hours",IF($E697=0,"Unestimated","Estimated"))))))</x:f>
      </x:c>
    </x:row>
    <x:row r="698">
      <x:c r="A698" s="12"/>
      <x:c r="B698" s="12"/>
      <x:c r="C698" s="12"/>
      <x:c r="D698" s="12"/>
      <x:c r="E698" s="14"/>
      <x:c r="F698" s="13" t="str">
        <x:f>IF($A698="","",IF($D698&lt;&gt;'Team Setup'!$B$4,"Other sprint",IF($C698="","Unassigned",IF(OR(ISNUMBER(SEARCH(",",$C698)),ISNUMBER(SEARCH(";",$C698))),"Multiple assignees",IF(COUNTIF('Team Setup'!$B$10:$B$34,$C698)=1,"Matched","Unmatched")))))</x:f>
      </x:c>
      <x:c r="G698" s="13" t="str">
        <x:f>IF($A698="","",IF($D698&lt;&gt;'Team Setup'!$B$4,"Other sprint",IF($E698="","Unestimated",IF(NOT(ISNUMBER($E698)),"Check estimate in hours",IF($E698&lt;0,"Check estimate in hours",IF($E698=0,"Unestimated","Estimated"))))))</x:f>
      </x:c>
    </x:row>
    <x:row r="699">
      <x:c r="A699" s="12"/>
      <x:c r="B699" s="12"/>
      <x:c r="C699" s="12"/>
      <x:c r="D699" s="12"/>
      <x:c r="E699" s="14"/>
      <x:c r="F699" s="13" t="str">
        <x:f>IF($A699="","",IF($D699&lt;&gt;'Team Setup'!$B$4,"Other sprint",IF($C699="","Unassigned",IF(OR(ISNUMBER(SEARCH(",",$C699)),ISNUMBER(SEARCH(";",$C699))),"Multiple assignees",IF(COUNTIF('Team Setup'!$B$10:$B$34,$C699)=1,"Matched","Unmatched")))))</x:f>
      </x:c>
      <x:c r="G699" s="13" t="str">
        <x:f>IF($A699="","",IF($D699&lt;&gt;'Team Setup'!$B$4,"Other sprint",IF($E699="","Unestimated",IF(NOT(ISNUMBER($E699)),"Check estimate in hours",IF($E699&lt;0,"Check estimate in hours",IF($E699=0,"Unestimated","Estimated"))))))</x:f>
      </x:c>
    </x:row>
    <x:row r="700">
      <x:c r="A700" s="12"/>
      <x:c r="B700" s="12"/>
      <x:c r="C700" s="12"/>
      <x:c r="D700" s="12"/>
      <x:c r="E700" s="14"/>
      <x:c r="F700" s="13" t="str">
        <x:f>IF($A700="","",IF($D700&lt;&gt;'Team Setup'!$B$4,"Other sprint",IF($C700="","Unassigned",IF(OR(ISNUMBER(SEARCH(",",$C700)),ISNUMBER(SEARCH(";",$C700))),"Multiple assignees",IF(COUNTIF('Team Setup'!$B$10:$B$34,$C700)=1,"Matched","Unmatched")))))</x:f>
      </x:c>
      <x:c r="G700" s="13" t="str">
        <x:f>IF($A700="","",IF($D700&lt;&gt;'Team Setup'!$B$4,"Other sprint",IF($E700="","Unestimated",IF(NOT(ISNUMBER($E700)),"Check estimate in hours",IF($E700&lt;0,"Check estimate in hours",IF($E700=0,"Unestimated","Estimated"))))))</x:f>
      </x:c>
    </x:row>
    <x:row r="701">
      <x:c r="A701" s="12"/>
      <x:c r="B701" s="12"/>
      <x:c r="C701" s="12"/>
      <x:c r="D701" s="12"/>
      <x:c r="E701" s="14"/>
      <x:c r="F701" s="13" t="str">
        <x:f>IF($A701="","",IF($D701&lt;&gt;'Team Setup'!$B$4,"Other sprint",IF($C701="","Unassigned",IF(OR(ISNUMBER(SEARCH(",",$C701)),ISNUMBER(SEARCH(";",$C701))),"Multiple assignees",IF(COUNTIF('Team Setup'!$B$10:$B$34,$C701)=1,"Matched","Unmatched")))))</x:f>
      </x:c>
      <x:c r="G701" s="13" t="str">
        <x:f>IF($A701="","",IF($D701&lt;&gt;'Team Setup'!$B$4,"Other sprint",IF($E701="","Unestimated",IF(NOT(ISNUMBER($E701)),"Check estimate in hours",IF($E701&lt;0,"Check estimate in hours",IF($E701=0,"Unestimated","Estimated"))))))</x:f>
      </x:c>
    </x:row>
    <x:row r="702">
      <x:c r="A702" s="12"/>
      <x:c r="B702" s="12"/>
      <x:c r="C702" s="12"/>
      <x:c r="D702" s="12"/>
      <x:c r="E702" s="14"/>
      <x:c r="F702" s="13" t="str">
        <x:f>IF($A702="","",IF($D702&lt;&gt;'Team Setup'!$B$4,"Other sprint",IF($C702="","Unassigned",IF(OR(ISNUMBER(SEARCH(",",$C702)),ISNUMBER(SEARCH(";",$C702))),"Multiple assignees",IF(COUNTIF('Team Setup'!$B$10:$B$34,$C702)=1,"Matched","Unmatched")))))</x:f>
      </x:c>
      <x:c r="G702" s="13" t="str">
        <x:f>IF($A702="","",IF($D702&lt;&gt;'Team Setup'!$B$4,"Other sprint",IF($E702="","Unestimated",IF(NOT(ISNUMBER($E702)),"Check estimate in hours",IF($E702&lt;0,"Check estimate in hours",IF($E702=0,"Unestimated","Estimated"))))))</x:f>
      </x:c>
    </x:row>
    <x:row r="703">
      <x:c r="A703" s="12"/>
      <x:c r="B703" s="12"/>
      <x:c r="C703" s="12"/>
      <x:c r="D703" s="12"/>
      <x:c r="E703" s="14"/>
      <x:c r="F703" s="13" t="str">
        <x:f>IF($A703="","",IF($D703&lt;&gt;'Team Setup'!$B$4,"Other sprint",IF($C703="","Unassigned",IF(OR(ISNUMBER(SEARCH(",",$C703)),ISNUMBER(SEARCH(";",$C703))),"Multiple assignees",IF(COUNTIF('Team Setup'!$B$10:$B$34,$C703)=1,"Matched","Unmatched")))))</x:f>
      </x:c>
      <x:c r="G703" s="13" t="str">
        <x:f>IF($A703="","",IF($D703&lt;&gt;'Team Setup'!$B$4,"Other sprint",IF($E703="","Unestimated",IF(NOT(ISNUMBER($E703)),"Check estimate in hours",IF($E703&lt;0,"Check estimate in hours",IF($E703=0,"Unestimated","Estimated"))))))</x:f>
      </x:c>
    </x:row>
    <x:row r="704">
      <x:c r="A704" s="12"/>
      <x:c r="B704" s="12"/>
      <x:c r="C704" s="12"/>
      <x:c r="D704" s="12"/>
      <x:c r="E704" s="14"/>
      <x:c r="F704" s="13" t="str">
        <x:f>IF($A704="","",IF($D704&lt;&gt;'Team Setup'!$B$4,"Other sprint",IF($C704="","Unassigned",IF(OR(ISNUMBER(SEARCH(",",$C704)),ISNUMBER(SEARCH(";",$C704))),"Multiple assignees",IF(COUNTIF('Team Setup'!$B$10:$B$34,$C704)=1,"Matched","Unmatched")))))</x:f>
      </x:c>
      <x:c r="G704" s="13" t="str">
        <x:f>IF($A704="","",IF($D704&lt;&gt;'Team Setup'!$B$4,"Other sprint",IF($E704="","Unestimated",IF(NOT(ISNUMBER($E704)),"Check estimate in hours",IF($E704&lt;0,"Check estimate in hours",IF($E704=0,"Unestimated","Estimated"))))))</x:f>
      </x:c>
    </x:row>
    <x:row r="705">
      <x:c r="A705" s="12"/>
      <x:c r="B705" s="12"/>
      <x:c r="C705" s="12"/>
      <x:c r="D705" s="12"/>
      <x:c r="E705" s="14"/>
      <x:c r="F705" s="13" t="str">
        <x:f>IF($A705="","",IF($D705&lt;&gt;'Team Setup'!$B$4,"Other sprint",IF($C705="","Unassigned",IF(OR(ISNUMBER(SEARCH(",",$C705)),ISNUMBER(SEARCH(";",$C705))),"Multiple assignees",IF(COUNTIF('Team Setup'!$B$10:$B$34,$C705)=1,"Matched","Unmatched")))))</x:f>
      </x:c>
      <x:c r="G705" s="13" t="str">
        <x:f>IF($A705="","",IF($D705&lt;&gt;'Team Setup'!$B$4,"Other sprint",IF($E705="","Unestimated",IF(NOT(ISNUMBER($E705)),"Check estimate in hours",IF($E705&lt;0,"Check estimate in hours",IF($E705=0,"Unestimated","Estimated"))))))</x:f>
      </x:c>
    </x:row>
    <x:row r="706">
      <x:c r="A706" s="12"/>
      <x:c r="B706" s="12"/>
      <x:c r="C706" s="12"/>
      <x:c r="D706" s="12"/>
      <x:c r="E706" s="14"/>
      <x:c r="F706" s="13" t="str">
        <x:f>IF($A706="","",IF($D706&lt;&gt;'Team Setup'!$B$4,"Other sprint",IF($C706="","Unassigned",IF(OR(ISNUMBER(SEARCH(",",$C706)),ISNUMBER(SEARCH(";",$C706))),"Multiple assignees",IF(COUNTIF('Team Setup'!$B$10:$B$34,$C706)=1,"Matched","Unmatched")))))</x:f>
      </x:c>
      <x:c r="G706" s="13" t="str">
        <x:f>IF($A706="","",IF($D706&lt;&gt;'Team Setup'!$B$4,"Other sprint",IF($E706="","Unestimated",IF(NOT(ISNUMBER($E706)),"Check estimate in hours",IF($E706&lt;0,"Check estimate in hours",IF($E706=0,"Unestimated","Estimated"))))))</x:f>
      </x:c>
    </x:row>
    <x:row r="707">
      <x:c r="A707" s="12"/>
      <x:c r="B707" s="12"/>
      <x:c r="C707" s="12"/>
      <x:c r="D707" s="12"/>
      <x:c r="E707" s="14"/>
      <x:c r="F707" s="13" t="str">
        <x:f>IF($A707="","",IF($D707&lt;&gt;'Team Setup'!$B$4,"Other sprint",IF($C707="","Unassigned",IF(OR(ISNUMBER(SEARCH(",",$C707)),ISNUMBER(SEARCH(";",$C707))),"Multiple assignees",IF(COUNTIF('Team Setup'!$B$10:$B$34,$C707)=1,"Matched","Unmatched")))))</x:f>
      </x:c>
      <x:c r="G707" s="13" t="str">
        <x:f>IF($A707="","",IF($D707&lt;&gt;'Team Setup'!$B$4,"Other sprint",IF($E707="","Unestimated",IF(NOT(ISNUMBER($E707)),"Check estimate in hours",IF($E707&lt;0,"Check estimate in hours",IF($E707=0,"Unestimated","Estimated"))))))</x:f>
      </x:c>
    </x:row>
    <x:row r="708">
      <x:c r="A708" s="12"/>
      <x:c r="B708" s="12"/>
      <x:c r="C708" s="12"/>
      <x:c r="D708" s="12"/>
      <x:c r="E708" s="14"/>
      <x:c r="F708" s="13" t="str">
        <x:f>IF($A708="","",IF($D708&lt;&gt;'Team Setup'!$B$4,"Other sprint",IF($C708="","Unassigned",IF(OR(ISNUMBER(SEARCH(",",$C708)),ISNUMBER(SEARCH(";",$C708))),"Multiple assignees",IF(COUNTIF('Team Setup'!$B$10:$B$34,$C708)=1,"Matched","Unmatched")))))</x:f>
      </x:c>
      <x:c r="G708" s="13" t="str">
        <x:f>IF($A708="","",IF($D708&lt;&gt;'Team Setup'!$B$4,"Other sprint",IF($E708="","Unestimated",IF(NOT(ISNUMBER($E708)),"Check estimate in hours",IF($E708&lt;0,"Check estimate in hours",IF($E708=0,"Unestimated","Estimated"))))))</x:f>
      </x:c>
    </x:row>
    <x:row r="709">
      <x:c r="A709" s="12"/>
      <x:c r="B709" s="12"/>
      <x:c r="C709" s="12"/>
      <x:c r="D709" s="12"/>
      <x:c r="E709" s="14"/>
      <x:c r="F709" s="13" t="str">
        <x:f>IF($A709="","",IF($D709&lt;&gt;'Team Setup'!$B$4,"Other sprint",IF($C709="","Unassigned",IF(OR(ISNUMBER(SEARCH(",",$C709)),ISNUMBER(SEARCH(";",$C709))),"Multiple assignees",IF(COUNTIF('Team Setup'!$B$10:$B$34,$C709)=1,"Matched","Unmatched")))))</x:f>
      </x:c>
      <x:c r="G709" s="13" t="str">
        <x:f>IF($A709="","",IF($D709&lt;&gt;'Team Setup'!$B$4,"Other sprint",IF($E709="","Unestimated",IF(NOT(ISNUMBER($E709)),"Check estimate in hours",IF($E709&lt;0,"Check estimate in hours",IF($E709=0,"Unestimated","Estimated"))))))</x:f>
      </x:c>
    </x:row>
    <x:row r="710">
      <x:c r="A710" s="12"/>
      <x:c r="B710" s="12"/>
      <x:c r="C710" s="12"/>
      <x:c r="D710" s="12"/>
      <x:c r="E710" s="14"/>
      <x:c r="F710" s="13" t="str">
        <x:f>IF($A710="","",IF($D710&lt;&gt;'Team Setup'!$B$4,"Other sprint",IF($C710="","Unassigned",IF(OR(ISNUMBER(SEARCH(",",$C710)),ISNUMBER(SEARCH(";",$C710))),"Multiple assignees",IF(COUNTIF('Team Setup'!$B$10:$B$34,$C710)=1,"Matched","Unmatched")))))</x:f>
      </x:c>
      <x:c r="G710" s="13" t="str">
        <x:f>IF($A710="","",IF($D710&lt;&gt;'Team Setup'!$B$4,"Other sprint",IF($E710="","Unestimated",IF(NOT(ISNUMBER($E710)),"Check estimate in hours",IF($E710&lt;0,"Check estimate in hours",IF($E710=0,"Unestimated","Estimated"))))))</x:f>
      </x:c>
    </x:row>
    <x:row r="711">
      <x:c r="A711" s="12"/>
      <x:c r="B711" s="12"/>
      <x:c r="C711" s="12"/>
      <x:c r="D711" s="12"/>
      <x:c r="E711" s="14"/>
      <x:c r="F711" s="13" t="str">
        <x:f>IF($A711="","",IF($D711&lt;&gt;'Team Setup'!$B$4,"Other sprint",IF($C711="","Unassigned",IF(OR(ISNUMBER(SEARCH(",",$C711)),ISNUMBER(SEARCH(";",$C711))),"Multiple assignees",IF(COUNTIF('Team Setup'!$B$10:$B$34,$C711)=1,"Matched","Unmatched")))))</x:f>
      </x:c>
      <x:c r="G711" s="13" t="str">
        <x:f>IF($A711="","",IF($D711&lt;&gt;'Team Setup'!$B$4,"Other sprint",IF($E711="","Unestimated",IF(NOT(ISNUMBER($E711)),"Check estimate in hours",IF($E711&lt;0,"Check estimate in hours",IF($E711=0,"Unestimated","Estimated"))))))</x:f>
      </x:c>
    </x:row>
    <x:row r="712">
      <x:c r="A712" s="12"/>
      <x:c r="B712" s="12"/>
      <x:c r="C712" s="12"/>
      <x:c r="D712" s="12"/>
      <x:c r="E712" s="14"/>
      <x:c r="F712" s="13" t="str">
        <x:f>IF($A712="","",IF($D712&lt;&gt;'Team Setup'!$B$4,"Other sprint",IF($C712="","Unassigned",IF(OR(ISNUMBER(SEARCH(",",$C712)),ISNUMBER(SEARCH(";",$C712))),"Multiple assignees",IF(COUNTIF('Team Setup'!$B$10:$B$34,$C712)=1,"Matched","Unmatched")))))</x:f>
      </x:c>
      <x:c r="G712" s="13" t="str">
        <x:f>IF($A712="","",IF($D712&lt;&gt;'Team Setup'!$B$4,"Other sprint",IF($E712="","Unestimated",IF(NOT(ISNUMBER($E712)),"Check estimate in hours",IF($E712&lt;0,"Check estimate in hours",IF($E712=0,"Unestimated","Estimated"))))))</x:f>
      </x:c>
    </x:row>
    <x:row r="713">
      <x:c r="A713" s="12"/>
      <x:c r="B713" s="12"/>
      <x:c r="C713" s="12"/>
      <x:c r="D713" s="12"/>
      <x:c r="E713" s="14"/>
      <x:c r="F713" s="13" t="str">
        <x:f>IF($A713="","",IF($D713&lt;&gt;'Team Setup'!$B$4,"Other sprint",IF($C713="","Unassigned",IF(OR(ISNUMBER(SEARCH(",",$C713)),ISNUMBER(SEARCH(";",$C713))),"Multiple assignees",IF(COUNTIF('Team Setup'!$B$10:$B$34,$C713)=1,"Matched","Unmatched")))))</x:f>
      </x:c>
      <x:c r="G713" s="13" t="str">
        <x:f>IF($A713="","",IF($D713&lt;&gt;'Team Setup'!$B$4,"Other sprint",IF($E713="","Unestimated",IF(NOT(ISNUMBER($E713)),"Check estimate in hours",IF($E713&lt;0,"Check estimate in hours",IF($E713=0,"Unestimated","Estimated"))))))</x:f>
      </x:c>
    </x:row>
    <x:row r="714">
      <x:c r="A714" s="12"/>
      <x:c r="B714" s="12"/>
      <x:c r="C714" s="12"/>
      <x:c r="D714" s="12"/>
      <x:c r="E714" s="14"/>
      <x:c r="F714" s="13" t="str">
        <x:f>IF($A714="","",IF($D714&lt;&gt;'Team Setup'!$B$4,"Other sprint",IF($C714="","Unassigned",IF(OR(ISNUMBER(SEARCH(",",$C714)),ISNUMBER(SEARCH(";",$C714))),"Multiple assignees",IF(COUNTIF('Team Setup'!$B$10:$B$34,$C714)=1,"Matched","Unmatched")))))</x:f>
      </x:c>
      <x:c r="G714" s="13" t="str">
        <x:f>IF($A714="","",IF($D714&lt;&gt;'Team Setup'!$B$4,"Other sprint",IF($E714="","Unestimated",IF(NOT(ISNUMBER($E714)),"Check estimate in hours",IF($E714&lt;0,"Check estimate in hours",IF($E714=0,"Unestimated","Estimated"))))))</x:f>
      </x:c>
    </x:row>
    <x:row r="715">
      <x:c r="A715" s="12"/>
      <x:c r="B715" s="12"/>
      <x:c r="C715" s="12"/>
      <x:c r="D715" s="12"/>
      <x:c r="E715" s="14"/>
      <x:c r="F715" s="13" t="str">
        <x:f>IF($A715="","",IF($D715&lt;&gt;'Team Setup'!$B$4,"Other sprint",IF($C715="","Unassigned",IF(OR(ISNUMBER(SEARCH(",",$C715)),ISNUMBER(SEARCH(";",$C715))),"Multiple assignees",IF(COUNTIF('Team Setup'!$B$10:$B$34,$C715)=1,"Matched","Unmatched")))))</x:f>
      </x:c>
      <x:c r="G715" s="13" t="str">
        <x:f>IF($A715="","",IF($D715&lt;&gt;'Team Setup'!$B$4,"Other sprint",IF($E715="","Unestimated",IF(NOT(ISNUMBER($E715)),"Check estimate in hours",IF($E715&lt;0,"Check estimate in hours",IF($E715=0,"Unestimated","Estimated"))))))</x:f>
      </x:c>
    </x:row>
    <x:row r="716">
      <x:c r="A716" s="12"/>
      <x:c r="B716" s="12"/>
      <x:c r="C716" s="12"/>
      <x:c r="D716" s="12"/>
      <x:c r="E716" s="14"/>
      <x:c r="F716" s="13" t="str">
        <x:f>IF($A716="","",IF($D716&lt;&gt;'Team Setup'!$B$4,"Other sprint",IF($C716="","Unassigned",IF(OR(ISNUMBER(SEARCH(",",$C716)),ISNUMBER(SEARCH(";",$C716))),"Multiple assignees",IF(COUNTIF('Team Setup'!$B$10:$B$34,$C716)=1,"Matched","Unmatched")))))</x:f>
      </x:c>
      <x:c r="G716" s="13" t="str">
        <x:f>IF($A716="","",IF($D716&lt;&gt;'Team Setup'!$B$4,"Other sprint",IF($E716="","Unestimated",IF(NOT(ISNUMBER($E716)),"Check estimate in hours",IF($E716&lt;0,"Check estimate in hours",IF($E716=0,"Unestimated","Estimated"))))))</x:f>
      </x:c>
    </x:row>
    <x:row r="717">
      <x:c r="A717" s="12"/>
      <x:c r="B717" s="12"/>
      <x:c r="C717" s="12"/>
      <x:c r="D717" s="12"/>
      <x:c r="E717" s="14"/>
      <x:c r="F717" s="13" t="str">
        <x:f>IF($A717="","",IF($D717&lt;&gt;'Team Setup'!$B$4,"Other sprint",IF($C717="","Unassigned",IF(OR(ISNUMBER(SEARCH(",",$C717)),ISNUMBER(SEARCH(";",$C717))),"Multiple assignees",IF(COUNTIF('Team Setup'!$B$10:$B$34,$C717)=1,"Matched","Unmatched")))))</x:f>
      </x:c>
      <x:c r="G717" s="13" t="str">
        <x:f>IF($A717="","",IF($D717&lt;&gt;'Team Setup'!$B$4,"Other sprint",IF($E717="","Unestimated",IF(NOT(ISNUMBER($E717)),"Check estimate in hours",IF($E717&lt;0,"Check estimate in hours",IF($E717=0,"Unestimated","Estimated"))))))</x:f>
      </x:c>
    </x:row>
    <x:row r="718">
      <x:c r="A718" s="12"/>
      <x:c r="B718" s="12"/>
      <x:c r="C718" s="12"/>
      <x:c r="D718" s="12"/>
      <x:c r="E718" s="14"/>
      <x:c r="F718" s="13" t="str">
        <x:f>IF($A718="","",IF($D718&lt;&gt;'Team Setup'!$B$4,"Other sprint",IF($C718="","Unassigned",IF(OR(ISNUMBER(SEARCH(",",$C718)),ISNUMBER(SEARCH(";",$C718))),"Multiple assignees",IF(COUNTIF('Team Setup'!$B$10:$B$34,$C718)=1,"Matched","Unmatched")))))</x:f>
      </x:c>
      <x:c r="G718" s="13" t="str">
        <x:f>IF($A718="","",IF($D718&lt;&gt;'Team Setup'!$B$4,"Other sprint",IF($E718="","Unestimated",IF(NOT(ISNUMBER($E718)),"Check estimate in hours",IF($E718&lt;0,"Check estimate in hours",IF($E718=0,"Unestimated","Estimated"))))))</x:f>
      </x:c>
    </x:row>
    <x:row r="719">
      <x:c r="A719" s="12"/>
      <x:c r="B719" s="12"/>
      <x:c r="C719" s="12"/>
      <x:c r="D719" s="12"/>
      <x:c r="E719" s="14"/>
      <x:c r="F719" s="13" t="str">
        <x:f>IF($A719="","",IF($D719&lt;&gt;'Team Setup'!$B$4,"Other sprint",IF($C719="","Unassigned",IF(OR(ISNUMBER(SEARCH(",",$C719)),ISNUMBER(SEARCH(";",$C719))),"Multiple assignees",IF(COUNTIF('Team Setup'!$B$10:$B$34,$C719)=1,"Matched","Unmatched")))))</x:f>
      </x:c>
      <x:c r="G719" s="13" t="str">
        <x:f>IF($A719="","",IF($D719&lt;&gt;'Team Setup'!$B$4,"Other sprint",IF($E719="","Unestimated",IF(NOT(ISNUMBER($E719)),"Check estimate in hours",IF($E719&lt;0,"Check estimate in hours",IF($E719=0,"Unestimated","Estimated"))))))</x:f>
      </x:c>
    </x:row>
    <x:row r="720">
      <x:c r="A720" s="12"/>
      <x:c r="B720" s="12"/>
      <x:c r="C720" s="12"/>
      <x:c r="D720" s="12"/>
      <x:c r="E720" s="14"/>
      <x:c r="F720" s="13" t="str">
        <x:f>IF($A720="","",IF($D720&lt;&gt;'Team Setup'!$B$4,"Other sprint",IF($C720="","Unassigned",IF(OR(ISNUMBER(SEARCH(",",$C720)),ISNUMBER(SEARCH(";",$C720))),"Multiple assignees",IF(COUNTIF('Team Setup'!$B$10:$B$34,$C720)=1,"Matched","Unmatched")))))</x:f>
      </x:c>
      <x:c r="G720" s="13" t="str">
        <x:f>IF($A720="","",IF($D720&lt;&gt;'Team Setup'!$B$4,"Other sprint",IF($E720="","Unestimated",IF(NOT(ISNUMBER($E720)),"Check estimate in hours",IF($E720&lt;0,"Check estimate in hours",IF($E720=0,"Unestimated","Estimated"))))))</x:f>
      </x:c>
    </x:row>
    <x:row r="721">
      <x:c r="A721" s="12"/>
      <x:c r="B721" s="12"/>
      <x:c r="C721" s="12"/>
      <x:c r="D721" s="12"/>
      <x:c r="E721" s="14"/>
      <x:c r="F721" s="13" t="str">
        <x:f>IF($A721="","",IF($D721&lt;&gt;'Team Setup'!$B$4,"Other sprint",IF($C721="","Unassigned",IF(OR(ISNUMBER(SEARCH(",",$C721)),ISNUMBER(SEARCH(";",$C721))),"Multiple assignees",IF(COUNTIF('Team Setup'!$B$10:$B$34,$C721)=1,"Matched","Unmatched")))))</x:f>
      </x:c>
      <x:c r="G721" s="13" t="str">
        <x:f>IF($A721="","",IF($D721&lt;&gt;'Team Setup'!$B$4,"Other sprint",IF($E721="","Unestimated",IF(NOT(ISNUMBER($E721)),"Check estimate in hours",IF($E721&lt;0,"Check estimate in hours",IF($E721=0,"Unestimated","Estimated"))))))</x:f>
      </x:c>
    </x:row>
    <x:row r="722">
      <x:c r="A722" s="12"/>
      <x:c r="B722" s="12"/>
      <x:c r="C722" s="12"/>
      <x:c r="D722" s="12"/>
      <x:c r="E722" s="14"/>
      <x:c r="F722" s="13" t="str">
        <x:f>IF($A722="","",IF($D722&lt;&gt;'Team Setup'!$B$4,"Other sprint",IF($C722="","Unassigned",IF(OR(ISNUMBER(SEARCH(",",$C722)),ISNUMBER(SEARCH(";",$C722))),"Multiple assignees",IF(COUNTIF('Team Setup'!$B$10:$B$34,$C722)=1,"Matched","Unmatched")))))</x:f>
      </x:c>
      <x:c r="G722" s="13" t="str">
        <x:f>IF($A722="","",IF($D722&lt;&gt;'Team Setup'!$B$4,"Other sprint",IF($E722="","Unestimated",IF(NOT(ISNUMBER($E722)),"Check estimate in hours",IF($E722&lt;0,"Check estimate in hours",IF($E722=0,"Unestimated","Estimated"))))))</x:f>
      </x:c>
    </x:row>
    <x:row r="723">
      <x:c r="A723" s="12"/>
      <x:c r="B723" s="12"/>
      <x:c r="C723" s="12"/>
      <x:c r="D723" s="12"/>
      <x:c r="E723" s="14"/>
      <x:c r="F723" s="13" t="str">
        <x:f>IF($A723="","",IF($D723&lt;&gt;'Team Setup'!$B$4,"Other sprint",IF($C723="","Unassigned",IF(OR(ISNUMBER(SEARCH(",",$C723)),ISNUMBER(SEARCH(";",$C723))),"Multiple assignees",IF(COUNTIF('Team Setup'!$B$10:$B$34,$C723)=1,"Matched","Unmatched")))))</x:f>
      </x:c>
      <x:c r="G723" s="13" t="str">
        <x:f>IF($A723="","",IF($D723&lt;&gt;'Team Setup'!$B$4,"Other sprint",IF($E723="","Unestimated",IF(NOT(ISNUMBER($E723)),"Check estimate in hours",IF($E723&lt;0,"Check estimate in hours",IF($E723=0,"Unestimated","Estimated"))))))</x:f>
      </x:c>
    </x:row>
    <x:row r="724">
      <x:c r="A724" s="12"/>
      <x:c r="B724" s="12"/>
      <x:c r="C724" s="12"/>
      <x:c r="D724" s="12"/>
      <x:c r="E724" s="14"/>
      <x:c r="F724" s="13" t="str">
        <x:f>IF($A724="","",IF($D724&lt;&gt;'Team Setup'!$B$4,"Other sprint",IF($C724="","Unassigned",IF(OR(ISNUMBER(SEARCH(",",$C724)),ISNUMBER(SEARCH(";",$C724))),"Multiple assignees",IF(COUNTIF('Team Setup'!$B$10:$B$34,$C724)=1,"Matched","Unmatched")))))</x:f>
      </x:c>
      <x:c r="G724" s="13" t="str">
        <x:f>IF($A724="","",IF($D724&lt;&gt;'Team Setup'!$B$4,"Other sprint",IF($E724="","Unestimated",IF(NOT(ISNUMBER($E724)),"Check estimate in hours",IF($E724&lt;0,"Check estimate in hours",IF($E724=0,"Unestimated","Estimated"))))))</x:f>
      </x:c>
    </x:row>
    <x:row r="725">
      <x:c r="A725" s="12"/>
      <x:c r="B725" s="12"/>
      <x:c r="C725" s="12"/>
      <x:c r="D725" s="12"/>
      <x:c r="E725" s="14"/>
      <x:c r="F725" s="13" t="str">
        <x:f>IF($A725="","",IF($D725&lt;&gt;'Team Setup'!$B$4,"Other sprint",IF($C725="","Unassigned",IF(OR(ISNUMBER(SEARCH(",",$C725)),ISNUMBER(SEARCH(";",$C725))),"Multiple assignees",IF(COUNTIF('Team Setup'!$B$10:$B$34,$C725)=1,"Matched","Unmatched")))))</x:f>
      </x:c>
      <x:c r="G725" s="13" t="str">
        <x:f>IF($A725="","",IF($D725&lt;&gt;'Team Setup'!$B$4,"Other sprint",IF($E725="","Unestimated",IF(NOT(ISNUMBER($E725)),"Check estimate in hours",IF($E725&lt;0,"Check estimate in hours",IF($E725=0,"Unestimated","Estimated"))))))</x:f>
      </x:c>
    </x:row>
    <x:row r="726">
      <x:c r="A726" s="12"/>
      <x:c r="B726" s="12"/>
      <x:c r="C726" s="12"/>
      <x:c r="D726" s="12"/>
      <x:c r="E726" s="14"/>
      <x:c r="F726" s="13" t="str">
        <x:f>IF($A726="","",IF($D726&lt;&gt;'Team Setup'!$B$4,"Other sprint",IF($C726="","Unassigned",IF(OR(ISNUMBER(SEARCH(",",$C726)),ISNUMBER(SEARCH(";",$C726))),"Multiple assignees",IF(COUNTIF('Team Setup'!$B$10:$B$34,$C726)=1,"Matched","Unmatched")))))</x:f>
      </x:c>
      <x:c r="G726" s="13" t="str">
        <x:f>IF($A726="","",IF($D726&lt;&gt;'Team Setup'!$B$4,"Other sprint",IF($E726="","Unestimated",IF(NOT(ISNUMBER($E726)),"Check estimate in hours",IF($E726&lt;0,"Check estimate in hours",IF($E726=0,"Unestimated","Estimated"))))))</x:f>
      </x:c>
    </x:row>
    <x:row r="727">
      <x:c r="A727" s="12"/>
      <x:c r="B727" s="12"/>
      <x:c r="C727" s="12"/>
      <x:c r="D727" s="12"/>
      <x:c r="E727" s="14"/>
      <x:c r="F727" s="13" t="str">
        <x:f>IF($A727="","",IF($D727&lt;&gt;'Team Setup'!$B$4,"Other sprint",IF($C727="","Unassigned",IF(OR(ISNUMBER(SEARCH(",",$C727)),ISNUMBER(SEARCH(";",$C727))),"Multiple assignees",IF(COUNTIF('Team Setup'!$B$10:$B$34,$C727)=1,"Matched","Unmatched")))))</x:f>
      </x:c>
      <x:c r="G727" s="13" t="str">
        <x:f>IF($A727="","",IF($D727&lt;&gt;'Team Setup'!$B$4,"Other sprint",IF($E727="","Unestimated",IF(NOT(ISNUMBER($E727)),"Check estimate in hours",IF($E727&lt;0,"Check estimate in hours",IF($E727=0,"Unestimated","Estimated"))))))</x:f>
      </x:c>
    </x:row>
    <x:row r="728">
      <x:c r="A728" s="12"/>
      <x:c r="B728" s="12"/>
      <x:c r="C728" s="12"/>
      <x:c r="D728" s="12"/>
      <x:c r="E728" s="14"/>
      <x:c r="F728" s="13" t="str">
        <x:f>IF($A728="","",IF($D728&lt;&gt;'Team Setup'!$B$4,"Other sprint",IF($C728="","Unassigned",IF(OR(ISNUMBER(SEARCH(",",$C728)),ISNUMBER(SEARCH(";",$C728))),"Multiple assignees",IF(COUNTIF('Team Setup'!$B$10:$B$34,$C728)=1,"Matched","Unmatched")))))</x:f>
      </x:c>
      <x:c r="G728" s="13" t="str">
        <x:f>IF($A728="","",IF($D728&lt;&gt;'Team Setup'!$B$4,"Other sprint",IF($E728="","Unestimated",IF(NOT(ISNUMBER($E728)),"Check estimate in hours",IF($E728&lt;0,"Check estimate in hours",IF($E728=0,"Unestimated","Estimated"))))))</x:f>
      </x:c>
    </x:row>
    <x:row r="729">
      <x:c r="A729" s="12"/>
      <x:c r="B729" s="12"/>
      <x:c r="C729" s="12"/>
      <x:c r="D729" s="12"/>
      <x:c r="E729" s="14"/>
      <x:c r="F729" s="13" t="str">
        <x:f>IF($A729="","",IF($D729&lt;&gt;'Team Setup'!$B$4,"Other sprint",IF($C729="","Unassigned",IF(OR(ISNUMBER(SEARCH(",",$C729)),ISNUMBER(SEARCH(";",$C729))),"Multiple assignees",IF(COUNTIF('Team Setup'!$B$10:$B$34,$C729)=1,"Matched","Unmatched")))))</x:f>
      </x:c>
      <x:c r="G729" s="13" t="str">
        <x:f>IF($A729="","",IF($D729&lt;&gt;'Team Setup'!$B$4,"Other sprint",IF($E729="","Unestimated",IF(NOT(ISNUMBER($E729)),"Check estimate in hours",IF($E729&lt;0,"Check estimate in hours",IF($E729=0,"Unestimated","Estimated"))))))</x:f>
      </x:c>
    </x:row>
    <x:row r="730">
      <x:c r="A730" s="12"/>
      <x:c r="B730" s="12"/>
      <x:c r="C730" s="12"/>
      <x:c r="D730" s="12"/>
      <x:c r="E730" s="14"/>
      <x:c r="F730" s="13" t="str">
        <x:f>IF($A730="","",IF($D730&lt;&gt;'Team Setup'!$B$4,"Other sprint",IF($C730="","Unassigned",IF(OR(ISNUMBER(SEARCH(",",$C730)),ISNUMBER(SEARCH(";",$C730))),"Multiple assignees",IF(COUNTIF('Team Setup'!$B$10:$B$34,$C730)=1,"Matched","Unmatched")))))</x:f>
      </x:c>
      <x:c r="G730" s="13" t="str">
        <x:f>IF($A730="","",IF($D730&lt;&gt;'Team Setup'!$B$4,"Other sprint",IF($E730="","Unestimated",IF(NOT(ISNUMBER($E730)),"Check estimate in hours",IF($E730&lt;0,"Check estimate in hours",IF($E730=0,"Unestimated","Estimated"))))))</x:f>
      </x:c>
    </x:row>
    <x:row r="731">
      <x:c r="A731" s="12"/>
      <x:c r="B731" s="12"/>
      <x:c r="C731" s="12"/>
      <x:c r="D731" s="12"/>
      <x:c r="E731" s="14"/>
      <x:c r="F731" s="13" t="str">
        <x:f>IF($A731="","",IF($D731&lt;&gt;'Team Setup'!$B$4,"Other sprint",IF($C731="","Unassigned",IF(OR(ISNUMBER(SEARCH(",",$C731)),ISNUMBER(SEARCH(";",$C731))),"Multiple assignees",IF(COUNTIF('Team Setup'!$B$10:$B$34,$C731)=1,"Matched","Unmatched")))))</x:f>
      </x:c>
      <x:c r="G731" s="13" t="str">
        <x:f>IF($A731="","",IF($D731&lt;&gt;'Team Setup'!$B$4,"Other sprint",IF($E731="","Unestimated",IF(NOT(ISNUMBER($E731)),"Check estimate in hours",IF($E731&lt;0,"Check estimate in hours",IF($E731=0,"Unestimated","Estimated"))))))</x:f>
      </x:c>
    </x:row>
    <x:row r="732">
      <x:c r="A732" s="12"/>
      <x:c r="B732" s="12"/>
      <x:c r="C732" s="12"/>
      <x:c r="D732" s="12"/>
      <x:c r="E732" s="14"/>
      <x:c r="F732" s="13" t="str">
        <x:f>IF($A732="","",IF($D732&lt;&gt;'Team Setup'!$B$4,"Other sprint",IF($C732="","Unassigned",IF(OR(ISNUMBER(SEARCH(",",$C732)),ISNUMBER(SEARCH(";",$C732))),"Multiple assignees",IF(COUNTIF('Team Setup'!$B$10:$B$34,$C732)=1,"Matched","Unmatched")))))</x:f>
      </x:c>
      <x:c r="G732" s="13" t="str">
        <x:f>IF($A732="","",IF($D732&lt;&gt;'Team Setup'!$B$4,"Other sprint",IF($E732="","Unestimated",IF(NOT(ISNUMBER($E732)),"Check estimate in hours",IF($E732&lt;0,"Check estimate in hours",IF($E732=0,"Unestimated","Estimated"))))))</x:f>
      </x:c>
    </x:row>
    <x:row r="733">
      <x:c r="A733" s="12"/>
      <x:c r="B733" s="12"/>
      <x:c r="C733" s="12"/>
      <x:c r="D733" s="12"/>
      <x:c r="E733" s="14"/>
      <x:c r="F733" s="13" t="str">
        <x:f>IF($A733="","",IF($D733&lt;&gt;'Team Setup'!$B$4,"Other sprint",IF($C733="","Unassigned",IF(OR(ISNUMBER(SEARCH(",",$C733)),ISNUMBER(SEARCH(";",$C733))),"Multiple assignees",IF(COUNTIF('Team Setup'!$B$10:$B$34,$C733)=1,"Matched","Unmatched")))))</x:f>
      </x:c>
      <x:c r="G733" s="13" t="str">
        <x:f>IF($A733="","",IF($D733&lt;&gt;'Team Setup'!$B$4,"Other sprint",IF($E733="","Unestimated",IF(NOT(ISNUMBER($E733)),"Check estimate in hours",IF($E733&lt;0,"Check estimate in hours",IF($E733=0,"Unestimated","Estimated"))))))</x:f>
      </x:c>
    </x:row>
    <x:row r="734">
      <x:c r="A734" s="12"/>
      <x:c r="B734" s="12"/>
      <x:c r="C734" s="12"/>
      <x:c r="D734" s="12"/>
      <x:c r="E734" s="14"/>
      <x:c r="F734" s="13" t="str">
        <x:f>IF($A734="","",IF($D734&lt;&gt;'Team Setup'!$B$4,"Other sprint",IF($C734="","Unassigned",IF(OR(ISNUMBER(SEARCH(",",$C734)),ISNUMBER(SEARCH(";",$C734))),"Multiple assignees",IF(COUNTIF('Team Setup'!$B$10:$B$34,$C734)=1,"Matched","Unmatched")))))</x:f>
      </x:c>
      <x:c r="G734" s="13" t="str">
        <x:f>IF($A734="","",IF($D734&lt;&gt;'Team Setup'!$B$4,"Other sprint",IF($E734="","Unestimated",IF(NOT(ISNUMBER($E734)),"Check estimate in hours",IF($E734&lt;0,"Check estimate in hours",IF($E734=0,"Unestimated","Estimated"))))))</x:f>
      </x:c>
    </x:row>
    <x:row r="735">
      <x:c r="A735" s="12"/>
      <x:c r="B735" s="12"/>
      <x:c r="C735" s="12"/>
      <x:c r="D735" s="12"/>
      <x:c r="E735" s="14"/>
      <x:c r="F735" s="13" t="str">
        <x:f>IF($A735="","",IF($D735&lt;&gt;'Team Setup'!$B$4,"Other sprint",IF($C735="","Unassigned",IF(OR(ISNUMBER(SEARCH(",",$C735)),ISNUMBER(SEARCH(";",$C735))),"Multiple assignees",IF(COUNTIF('Team Setup'!$B$10:$B$34,$C735)=1,"Matched","Unmatched")))))</x:f>
      </x:c>
      <x:c r="G735" s="13" t="str">
        <x:f>IF($A735="","",IF($D735&lt;&gt;'Team Setup'!$B$4,"Other sprint",IF($E735="","Unestimated",IF(NOT(ISNUMBER($E735)),"Check estimate in hours",IF($E735&lt;0,"Check estimate in hours",IF($E735=0,"Unestimated","Estimated"))))))</x:f>
      </x:c>
    </x:row>
    <x:row r="736">
      <x:c r="A736" s="12"/>
      <x:c r="B736" s="12"/>
      <x:c r="C736" s="12"/>
      <x:c r="D736" s="12"/>
      <x:c r="E736" s="14"/>
      <x:c r="F736" s="13" t="str">
        <x:f>IF($A736="","",IF($D736&lt;&gt;'Team Setup'!$B$4,"Other sprint",IF($C736="","Unassigned",IF(OR(ISNUMBER(SEARCH(",",$C736)),ISNUMBER(SEARCH(";",$C736))),"Multiple assignees",IF(COUNTIF('Team Setup'!$B$10:$B$34,$C736)=1,"Matched","Unmatched")))))</x:f>
      </x:c>
      <x:c r="G736" s="13" t="str">
        <x:f>IF($A736="","",IF($D736&lt;&gt;'Team Setup'!$B$4,"Other sprint",IF($E736="","Unestimated",IF(NOT(ISNUMBER($E736)),"Check estimate in hours",IF($E736&lt;0,"Check estimate in hours",IF($E736=0,"Unestimated","Estimated"))))))</x:f>
      </x:c>
    </x:row>
    <x:row r="737">
      <x:c r="A737" s="12"/>
      <x:c r="B737" s="12"/>
      <x:c r="C737" s="12"/>
      <x:c r="D737" s="12"/>
      <x:c r="E737" s="14"/>
      <x:c r="F737" s="13" t="str">
        <x:f>IF($A737="","",IF($D737&lt;&gt;'Team Setup'!$B$4,"Other sprint",IF($C737="","Unassigned",IF(OR(ISNUMBER(SEARCH(",",$C737)),ISNUMBER(SEARCH(";",$C737))),"Multiple assignees",IF(COUNTIF('Team Setup'!$B$10:$B$34,$C737)=1,"Matched","Unmatched")))))</x:f>
      </x:c>
      <x:c r="G737" s="13" t="str">
        <x:f>IF($A737="","",IF($D737&lt;&gt;'Team Setup'!$B$4,"Other sprint",IF($E737="","Unestimated",IF(NOT(ISNUMBER($E737)),"Check estimate in hours",IF($E737&lt;0,"Check estimate in hours",IF($E737=0,"Unestimated","Estimated"))))))</x:f>
      </x:c>
    </x:row>
    <x:row r="738">
      <x:c r="A738" s="12"/>
      <x:c r="B738" s="12"/>
      <x:c r="C738" s="12"/>
      <x:c r="D738" s="12"/>
      <x:c r="E738" s="14"/>
      <x:c r="F738" s="13" t="str">
        <x:f>IF($A738="","",IF($D738&lt;&gt;'Team Setup'!$B$4,"Other sprint",IF($C738="","Unassigned",IF(OR(ISNUMBER(SEARCH(",",$C738)),ISNUMBER(SEARCH(";",$C738))),"Multiple assignees",IF(COUNTIF('Team Setup'!$B$10:$B$34,$C738)=1,"Matched","Unmatched")))))</x:f>
      </x:c>
      <x:c r="G738" s="13" t="str">
        <x:f>IF($A738="","",IF($D738&lt;&gt;'Team Setup'!$B$4,"Other sprint",IF($E738="","Unestimated",IF(NOT(ISNUMBER($E738)),"Check estimate in hours",IF($E738&lt;0,"Check estimate in hours",IF($E738=0,"Unestimated","Estimated"))))))</x:f>
      </x:c>
    </x:row>
    <x:row r="739">
      <x:c r="A739" s="12"/>
      <x:c r="B739" s="12"/>
      <x:c r="C739" s="12"/>
      <x:c r="D739" s="12"/>
      <x:c r="E739" s="14"/>
      <x:c r="F739" s="13" t="str">
        <x:f>IF($A739="","",IF($D739&lt;&gt;'Team Setup'!$B$4,"Other sprint",IF($C739="","Unassigned",IF(OR(ISNUMBER(SEARCH(",",$C739)),ISNUMBER(SEARCH(";",$C739))),"Multiple assignees",IF(COUNTIF('Team Setup'!$B$10:$B$34,$C739)=1,"Matched","Unmatched")))))</x:f>
      </x:c>
      <x:c r="G739" s="13" t="str">
        <x:f>IF($A739="","",IF($D739&lt;&gt;'Team Setup'!$B$4,"Other sprint",IF($E739="","Unestimated",IF(NOT(ISNUMBER($E739)),"Check estimate in hours",IF($E739&lt;0,"Check estimate in hours",IF($E739=0,"Unestimated","Estimated"))))))</x:f>
      </x:c>
    </x:row>
    <x:row r="740">
      <x:c r="A740" s="12"/>
      <x:c r="B740" s="12"/>
      <x:c r="C740" s="12"/>
      <x:c r="D740" s="12"/>
      <x:c r="E740" s="14"/>
      <x:c r="F740" s="13" t="str">
        <x:f>IF($A740="","",IF($D740&lt;&gt;'Team Setup'!$B$4,"Other sprint",IF($C740="","Unassigned",IF(OR(ISNUMBER(SEARCH(",",$C740)),ISNUMBER(SEARCH(";",$C740))),"Multiple assignees",IF(COUNTIF('Team Setup'!$B$10:$B$34,$C740)=1,"Matched","Unmatched")))))</x:f>
      </x:c>
      <x:c r="G740" s="13" t="str">
        <x:f>IF($A740="","",IF($D740&lt;&gt;'Team Setup'!$B$4,"Other sprint",IF($E740="","Unestimated",IF(NOT(ISNUMBER($E740)),"Check estimate in hours",IF($E740&lt;0,"Check estimate in hours",IF($E740=0,"Unestimated","Estimated"))))))</x:f>
      </x:c>
    </x:row>
    <x:row r="741">
      <x:c r="A741" s="12"/>
      <x:c r="B741" s="12"/>
      <x:c r="C741" s="12"/>
      <x:c r="D741" s="12"/>
      <x:c r="E741" s="14"/>
      <x:c r="F741" s="13" t="str">
        <x:f>IF($A741="","",IF($D741&lt;&gt;'Team Setup'!$B$4,"Other sprint",IF($C741="","Unassigned",IF(OR(ISNUMBER(SEARCH(",",$C741)),ISNUMBER(SEARCH(";",$C741))),"Multiple assignees",IF(COUNTIF('Team Setup'!$B$10:$B$34,$C741)=1,"Matched","Unmatched")))))</x:f>
      </x:c>
      <x:c r="G741" s="13" t="str">
        <x:f>IF($A741="","",IF($D741&lt;&gt;'Team Setup'!$B$4,"Other sprint",IF($E741="","Unestimated",IF(NOT(ISNUMBER($E741)),"Check estimate in hours",IF($E741&lt;0,"Check estimate in hours",IF($E741=0,"Unestimated","Estimated"))))))</x:f>
      </x:c>
    </x:row>
    <x:row r="742">
      <x:c r="A742" s="12"/>
      <x:c r="B742" s="12"/>
      <x:c r="C742" s="12"/>
      <x:c r="D742" s="12"/>
      <x:c r="E742" s="14"/>
      <x:c r="F742" s="13" t="str">
        <x:f>IF($A742="","",IF($D742&lt;&gt;'Team Setup'!$B$4,"Other sprint",IF($C742="","Unassigned",IF(OR(ISNUMBER(SEARCH(",",$C742)),ISNUMBER(SEARCH(";",$C742))),"Multiple assignees",IF(COUNTIF('Team Setup'!$B$10:$B$34,$C742)=1,"Matched","Unmatched")))))</x:f>
      </x:c>
      <x:c r="G742" s="13" t="str">
        <x:f>IF($A742="","",IF($D742&lt;&gt;'Team Setup'!$B$4,"Other sprint",IF($E742="","Unestimated",IF(NOT(ISNUMBER($E742)),"Check estimate in hours",IF($E742&lt;0,"Check estimate in hours",IF($E742=0,"Unestimated","Estimated"))))))</x:f>
      </x:c>
    </x:row>
    <x:row r="743">
      <x:c r="A743" s="12"/>
      <x:c r="B743" s="12"/>
      <x:c r="C743" s="12"/>
      <x:c r="D743" s="12"/>
      <x:c r="E743" s="14"/>
      <x:c r="F743" s="13" t="str">
        <x:f>IF($A743="","",IF($D743&lt;&gt;'Team Setup'!$B$4,"Other sprint",IF($C743="","Unassigned",IF(OR(ISNUMBER(SEARCH(",",$C743)),ISNUMBER(SEARCH(";",$C743))),"Multiple assignees",IF(COUNTIF('Team Setup'!$B$10:$B$34,$C743)=1,"Matched","Unmatched")))))</x:f>
      </x:c>
      <x:c r="G743" s="13" t="str">
        <x:f>IF($A743="","",IF($D743&lt;&gt;'Team Setup'!$B$4,"Other sprint",IF($E743="","Unestimated",IF(NOT(ISNUMBER($E743)),"Check estimate in hours",IF($E743&lt;0,"Check estimate in hours",IF($E743=0,"Unestimated","Estimated"))))))</x:f>
      </x:c>
    </x:row>
    <x:row r="744">
      <x:c r="A744" s="12"/>
      <x:c r="B744" s="12"/>
      <x:c r="C744" s="12"/>
      <x:c r="D744" s="12"/>
      <x:c r="E744" s="14"/>
      <x:c r="F744" s="13" t="str">
        <x:f>IF($A744="","",IF($D744&lt;&gt;'Team Setup'!$B$4,"Other sprint",IF($C744="","Unassigned",IF(OR(ISNUMBER(SEARCH(",",$C744)),ISNUMBER(SEARCH(";",$C744))),"Multiple assignees",IF(COUNTIF('Team Setup'!$B$10:$B$34,$C744)=1,"Matched","Unmatched")))))</x:f>
      </x:c>
      <x:c r="G744" s="13" t="str">
        <x:f>IF($A744="","",IF($D744&lt;&gt;'Team Setup'!$B$4,"Other sprint",IF($E744="","Unestimated",IF(NOT(ISNUMBER($E744)),"Check estimate in hours",IF($E744&lt;0,"Check estimate in hours",IF($E744=0,"Unestimated","Estimated"))))))</x:f>
      </x:c>
    </x:row>
    <x:row r="745">
      <x:c r="A745" s="12"/>
      <x:c r="B745" s="12"/>
      <x:c r="C745" s="12"/>
      <x:c r="D745" s="12"/>
      <x:c r="E745" s="14"/>
      <x:c r="F745" s="13" t="str">
        <x:f>IF($A745="","",IF($D745&lt;&gt;'Team Setup'!$B$4,"Other sprint",IF($C745="","Unassigned",IF(OR(ISNUMBER(SEARCH(",",$C745)),ISNUMBER(SEARCH(";",$C745))),"Multiple assignees",IF(COUNTIF('Team Setup'!$B$10:$B$34,$C745)=1,"Matched","Unmatched")))))</x:f>
      </x:c>
      <x:c r="G745" s="13" t="str">
        <x:f>IF($A745="","",IF($D745&lt;&gt;'Team Setup'!$B$4,"Other sprint",IF($E745="","Unestimated",IF(NOT(ISNUMBER($E745)),"Check estimate in hours",IF($E745&lt;0,"Check estimate in hours",IF($E745=0,"Unestimated","Estimated"))))))</x:f>
      </x:c>
    </x:row>
    <x:row r="746">
      <x:c r="A746" s="12"/>
      <x:c r="B746" s="12"/>
      <x:c r="C746" s="12"/>
      <x:c r="D746" s="12"/>
      <x:c r="E746" s="14"/>
      <x:c r="F746" s="13" t="str">
        <x:f>IF($A746="","",IF($D746&lt;&gt;'Team Setup'!$B$4,"Other sprint",IF($C746="","Unassigned",IF(OR(ISNUMBER(SEARCH(",",$C746)),ISNUMBER(SEARCH(";",$C746))),"Multiple assignees",IF(COUNTIF('Team Setup'!$B$10:$B$34,$C746)=1,"Matched","Unmatched")))))</x:f>
      </x:c>
      <x:c r="G746" s="13" t="str">
        <x:f>IF($A746="","",IF($D746&lt;&gt;'Team Setup'!$B$4,"Other sprint",IF($E746="","Unestimated",IF(NOT(ISNUMBER($E746)),"Check estimate in hours",IF($E746&lt;0,"Check estimate in hours",IF($E746=0,"Unestimated","Estimated"))))))</x:f>
      </x:c>
    </x:row>
    <x:row r="747">
      <x:c r="A747" s="12"/>
      <x:c r="B747" s="12"/>
      <x:c r="C747" s="12"/>
      <x:c r="D747" s="12"/>
      <x:c r="E747" s="14"/>
      <x:c r="F747" s="13" t="str">
        <x:f>IF($A747="","",IF($D747&lt;&gt;'Team Setup'!$B$4,"Other sprint",IF($C747="","Unassigned",IF(OR(ISNUMBER(SEARCH(",",$C747)),ISNUMBER(SEARCH(";",$C747))),"Multiple assignees",IF(COUNTIF('Team Setup'!$B$10:$B$34,$C747)=1,"Matched","Unmatched")))))</x:f>
      </x:c>
      <x:c r="G747" s="13" t="str">
        <x:f>IF($A747="","",IF($D747&lt;&gt;'Team Setup'!$B$4,"Other sprint",IF($E747="","Unestimated",IF(NOT(ISNUMBER($E747)),"Check estimate in hours",IF($E747&lt;0,"Check estimate in hours",IF($E747=0,"Unestimated","Estimated"))))))</x:f>
      </x:c>
    </x:row>
    <x:row r="748">
      <x:c r="A748" s="12"/>
      <x:c r="B748" s="12"/>
      <x:c r="C748" s="12"/>
      <x:c r="D748" s="12"/>
      <x:c r="E748" s="14"/>
      <x:c r="F748" s="13" t="str">
        <x:f>IF($A748="","",IF($D748&lt;&gt;'Team Setup'!$B$4,"Other sprint",IF($C748="","Unassigned",IF(OR(ISNUMBER(SEARCH(",",$C748)),ISNUMBER(SEARCH(";",$C748))),"Multiple assignees",IF(COUNTIF('Team Setup'!$B$10:$B$34,$C748)=1,"Matched","Unmatched")))))</x:f>
      </x:c>
      <x:c r="G748" s="13" t="str">
        <x:f>IF($A748="","",IF($D748&lt;&gt;'Team Setup'!$B$4,"Other sprint",IF($E748="","Unestimated",IF(NOT(ISNUMBER($E748)),"Check estimate in hours",IF($E748&lt;0,"Check estimate in hours",IF($E748=0,"Unestimated","Estimated"))))))</x:f>
      </x:c>
    </x:row>
    <x:row r="749">
      <x:c r="A749" s="12"/>
      <x:c r="B749" s="12"/>
      <x:c r="C749" s="12"/>
      <x:c r="D749" s="12"/>
      <x:c r="E749" s="14"/>
      <x:c r="F749" s="13" t="str">
        <x:f>IF($A749="","",IF($D749&lt;&gt;'Team Setup'!$B$4,"Other sprint",IF($C749="","Unassigned",IF(OR(ISNUMBER(SEARCH(",",$C749)),ISNUMBER(SEARCH(";",$C749))),"Multiple assignees",IF(COUNTIF('Team Setup'!$B$10:$B$34,$C749)=1,"Matched","Unmatched")))))</x:f>
      </x:c>
      <x:c r="G749" s="13" t="str">
        <x:f>IF($A749="","",IF($D749&lt;&gt;'Team Setup'!$B$4,"Other sprint",IF($E749="","Unestimated",IF(NOT(ISNUMBER($E749)),"Check estimate in hours",IF($E749&lt;0,"Check estimate in hours",IF($E749=0,"Unestimated","Estimated"))))))</x:f>
      </x:c>
    </x:row>
    <x:row r="750">
      <x:c r="A750" s="12"/>
      <x:c r="B750" s="12"/>
      <x:c r="C750" s="12"/>
      <x:c r="D750" s="12"/>
      <x:c r="E750" s="14"/>
      <x:c r="F750" s="13" t="str">
        <x:f>IF($A750="","",IF($D750&lt;&gt;'Team Setup'!$B$4,"Other sprint",IF($C750="","Unassigned",IF(OR(ISNUMBER(SEARCH(",",$C750)),ISNUMBER(SEARCH(";",$C750))),"Multiple assignees",IF(COUNTIF('Team Setup'!$B$10:$B$34,$C750)=1,"Matched","Unmatched")))))</x:f>
      </x:c>
      <x:c r="G750" s="13" t="str">
        <x:f>IF($A750="","",IF($D750&lt;&gt;'Team Setup'!$B$4,"Other sprint",IF($E750="","Unestimated",IF(NOT(ISNUMBER($E750)),"Check estimate in hours",IF($E750&lt;0,"Check estimate in hours",IF($E750=0,"Unestimated","Estimated"))))))</x:f>
      </x:c>
    </x:row>
    <x:row r="751">
      <x:c r="A751" s="12"/>
      <x:c r="B751" s="12"/>
      <x:c r="C751" s="12"/>
      <x:c r="D751" s="12"/>
      <x:c r="E751" s="14"/>
      <x:c r="F751" s="13" t="str">
        <x:f>IF($A751="","",IF($D751&lt;&gt;'Team Setup'!$B$4,"Other sprint",IF($C751="","Unassigned",IF(OR(ISNUMBER(SEARCH(",",$C751)),ISNUMBER(SEARCH(";",$C751))),"Multiple assignees",IF(COUNTIF('Team Setup'!$B$10:$B$34,$C751)=1,"Matched","Unmatched")))))</x:f>
      </x:c>
      <x:c r="G751" s="13" t="str">
        <x:f>IF($A751="","",IF($D751&lt;&gt;'Team Setup'!$B$4,"Other sprint",IF($E751="","Unestimated",IF(NOT(ISNUMBER($E751)),"Check estimate in hours",IF($E751&lt;0,"Check estimate in hours",IF($E751=0,"Unestimated","Estimated"))))))</x:f>
      </x:c>
    </x:row>
    <x:row r="752">
      <x:c r="A752" s="12"/>
      <x:c r="B752" s="12"/>
      <x:c r="C752" s="12"/>
      <x:c r="D752" s="12"/>
      <x:c r="E752" s="14"/>
      <x:c r="F752" s="13" t="str">
        <x:f>IF($A752="","",IF($D752&lt;&gt;'Team Setup'!$B$4,"Other sprint",IF($C752="","Unassigned",IF(OR(ISNUMBER(SEARCH(",",$C752)),ISNUMBER(SEARCH(";",$C752))),"Multiple assignees",IF(COUNTIF('Team Setup'!$B$10:$B$34,$C752)=1,"Matched","Unmatched")))))</x:f>
      </x:c>
      <x:c r="G752" s="13" t="str">
        <x:f>IF($A752="","",IF($D752&lt;&gt;'Team Setup'!$B$4,"Other sprint",IF($E752="","Unestimated",IF(NOT(ISNUMBER($E752)),"Check estimate in hours",IF($E752&lt;0,"Check estimate in hours",IF($E752=0,"Unestimated","Estimated"))))))</x:f>
      </x:c>
    </x:row>
    <x:row r="753">
      <x:c r="A753" s="12"/>
      <x:c r="B753" s="12"/>
      <x:c r="C753" s="12"/>
      <x:c r="D753" s="12"/>
      <x:c r="E753" s="14"/>
      <x:c r="F753" s="13" t="str">
        <x:f>IF($A753="","",IF($D753&lt;&gt;'Team Setup'!$B$4,"Other sprint",IF($C753="","Unassigned",IF(OR(ISNUMBER(SEARCH(",",$C753)),ISNUMBER(SEARCH(";",$C753))),"Multiple assignees",IF(COUNTIF('Team Setup'!$B$10:$B$34,$C753)=1,"Matched","Unmatched")))))</x:f>
      </x:c>
      <x:c r="G753" s="13" t="str">
        <x:f>IF($A753="","",IF($D753&lt;&gt;'Team Setup'!$B$4,"Other sprint",IF($E753="","Unestimated",IF(NOT(ISNUMBER($E753)),"Check estimate in hours",IF($E753&lt;0,"Check estimate in hours",IF($E753=0,"Unestimated","Estimated"))))))</x:f>
      </x:c>
    </x:row>
    <x:row r="754">
      <x:c r="A754" s="12"/>
      <x:c r="B754" s="12"/>
      <x:c r="C754" s="12"/>
      <x:c r="D754" s="12"/>
      <x:c r="E754" s="14"/>
      <x:c r="F754" s="13" t="str">
        <x:f>IF($A754="","",IF($D754&lt;&gt;'Team Setup'!$B$4,"Other sprint",IF($C754="","Unassigned",IF(OR(ISNUMBER(SEARCH(",",$C754)),ISNUMBER(SEARCH(";",$C754))),"Multiple assignees",IF(COUNTIF('Team Setup'!$B$10:$B$34,$C754)=1,"Matched","Unmatched")))))</x:f>
      </x:c>
      <x:c r="G754" s="13" t="str">
        <x:f>IF($A754="","",IF($D754&lt;&gt;'Team Setup'!$B$4,"Other sprint",IF($E754="","Unestimated",IF(NOT(ISNUMBER($E754)),"Check estimate in hours",IF($E754&lt;0,"Check estimate in hours",IF($E754=0,"Unestimated","Estimated"))))))</x:f>
      </x:c>
    </x:row>
    <x:row r="755">
      <x:c r="A755" s="12"/>
      <x:c r="B755" s="12"/>
      <x:c r="C755" s="12"/>
      <x:c r="D755" s="12"/>
      <x:c r="E755" s="14"/>
      <x:c r="F755" s="13" t="str">
        <x:f>IF($A755="","",IF($D755&lt;&gt;'Team Setup'!$B$4,"Other sprint",IF($C755="","Unassigned",IF(OR(ISNUMBER(SEARCH(",",$C755)),ISNUMBER(SEARCH(";",$C755))),"Multiple assignees",IF(COUNTIF('Team Setup'!$B$10:$B$34,$C755)=1,"Matched","Unmatched")))))</x:f>
      </x:c>
      <x:c r="G755" s="13" t="str">
        <x:f>IF($A755="","",IF($D755&lt;&gt;'Team Setup'!$B$4,"Other sprint",IF($E755="","Unestimated",IF(NOT(ISNUMBER($E755)),"Check estimate in hours",IF($E755&lt;0,"Check estimate in hours",IF($E755=0,"Unestimated","Estimated"))))))</x:f>
      </x:c>
    </x:row>
    <x:row r="756">
      <x:c r="A756" s="12"/>
      <x:c r="B756" s="12"/>
      <x:c r="C756" s="12"/>
      <x:c r="D756" s="12"/>
      <x:c r="E756" s="14"/>
      <x:c r="F756" s="13" t="str">
        <x:f>IF($A756="","",IF($D756&lt;&gt;'Team Setup'!$B$4,"Other sprint",IF($C756="","Unassigned",IF(OR(ISNUMBER(SEARCH(",",$C756)),ISNUMBER(SEARCH(";",$C756))),"Multiple assignees",IF(COUNTIF('Team Setup'!$B$10:$B$34,$C756)=1,"Matched","Unmatched")))))</x:f>
      </x:c>
      <x:c r="G756" s="13" t="str">
        <x:f>IF($A756="","",IF($D756&lt;&gt;'Team Setup'!$B$4,"Other sprint",IF($E756="","Unestimated",IF(NOT(ISNUMBER($E756)),"Check estimate in hours",IF($E756&lt;0,"Check estimate in hours",IF($E756=0,"Unestimated","Estimated"))))))</x:f>
      </x:c>
    </x:row>
    <x:row r="757">
      <x:c r="A757" s="12"/>
      <x:c r="B757" s="12"/>
      <x:c r="C757" s="12"/>
      <x:c r="D757" s="12"/>
      <x:c r="E757" s="14"/>
      <x:c r="F757" s="13" t="str">
        <x:f>IF($A757="","",IF($D757&lt;&gt;'Team Setup'!$B$4,"Other sprint",IF($C757="","Unassigned",IF(OR(ISNUMBER(SEARCH(",",$C757)),ISNUMBER(SEARCH(";",$C757))),"Multiple assignees",IF(COUNTIF('Team Setup'!$B$10:$B$34,$C757)=1,"Matched","Unmatched")))))</x:f>
      </x:c>
      <x:c r="G757" s="13" t="str">
        <x:f>IF($A757="","",IF($D757&lt;&gt;'Team Setup'!$B$4,"Other sprint",IF($E757="","Unestimated",IF(NOT(ISNUMBER($E757)),"Check estimate in hours",IF($E757&lt;0,"Check estimate in hours",IF($E757=0,"Unestimated","Estimated"))))))</x:f>
      </x:c>
    </x:row>
    <x:row r="758">
      <x:c r="A758" s="12"/>
      <x:c r="B758" s="12"/>
      <x:c r="C758" s="12"/>
      <x:c r="D758" s="12"/>
      <x:c r="E758" s="14"/>
      <x:c r="F758" s="13" t="str">
        <x:f>IF($A758="","",IF($D758&lt;&gt;'Team Setup'!$B$4,"Other sprint",IF($C758="","Unassigned",IF(OR(ISNUMBER(SEARCH(",",$C758)),ISNUMBER(SEARCH(";",$C758))),"Multiple assignees",IF(COUNTIF('Team Setup'!$B$10:$B$34,$C758)=1,"Matched","Unmatched")))))</x:f>
      </x:c>
      <x:c r="G758" s="13" t="str">
        <x:f>IF($A758="","",IF($D758&lt;&gt;'Team Setup'!$B$4,"Other sprint",IF($E758="","Unestimated",IF(NOT(ISNUMBER($E758)),"Check estimate in hours",IF($E758&lt;0,"Check estimate in hours",IF($E758=0,"Unestimated","Estimated"))))))</x:f>
      </x:c>
    </x:row>
    <x:row r="759">
      <x:c r="A759" s="12"/>
      <x:c r="B759" s="12"/>
      <x:c r="C759" s="12"/>
      <x:c r="D759" s="12"/>
      <x:c r="E759" s="14"/>
      <x:c r="F759" s="13" t="str">
        <x:f>IF($A759="","",IF($D759&lt;&gt;'Team Setup'!$B$4,"Other sprint",IF($C759="","Unassigned",IF(OR(ISNUMBER(SEARCH(",",$C759)),ISNUMBER(SEARCH(";",$C759))),"Multiple assignees",IF(COUNTIF('Team Setup'!$B$10:$B$34,$C759)=1,"Matched","Unmatched")))))</x:f>
      </x:c>
      <x:c r="G759" s="13" t="str">
        <x:f>IF($A759="","",IF($D759&lt;&gt;'Team Setup'!$B$4,"Other sprint",IF($E759="","Unestimated",IF(NOT(ISNUMBER($E759)),"Check estimate in hours",IF($E759&lt;0,"Check estimate in hours",IF($E759=0,"Unestimated","Estimated"))))))</x:f>
      </x:c>
    </x:row>
    <x:row r="760">
      <x:c r="A760" s="12"/>
      <x:c r="B760" s="12"/>
      <x:c r="C760" s="12"/>
      <x:c r="D760" s="12"/>
      <x:c r="E760" s="14"/>
      <x:c r="F760" s="13" t="str">
        <x:f>IF($A760="","",IF($D760&lt;&gt;'Team Setup'!$B$4,"Other sprint",IF($C760="","Unassigned",IF(OR(ISNUMBER(SEARCH(",",$C760)),ISNUMBER(SEARCH(";",$C760))),"Multiple assignees",IF(COUNTIF('Team Setup'!$B$10:$B$34,$C760)=1,"Matched","Unmatched")))))</x:f>
      </x:c>
      <x:c r="G760" s="13" t="str">
        <x:f>IF($A760="","",IF($D760&lt;&gt;'Team Setup'!$B$4,"Other sprint",IF($E760="","Unestimated",IF(NOT(ISNUMBER($E760)),"Check estimate in hours",IF($E760&lt;0,"Check estimate in hours",IF($E760=0,"Unestimated","Estimated"))))))</x:f>
      </x:c>
    </x:row>
    <x:row r="761">
      <x:c r="A761" s="12"/>
      <x:c r="B761" s="12"/>
      <x:c r="C761" s="12"/>
      <x:c r="D761" s="12"/>
      <x:c r="E761" s="14"/>
      <x:c r="F761" s="13" t="str">
        <x:f>IF($A761="","",IF($D761&lt;&gt;'Team Setup'!$B$4,"Other sprint",IF($C761="","Unassigned",IF(OR(ISNUMBER(SEARCH(",",$C761)),ISNUMBER(SEARCH(";",$C761))),"Multiple assignees",IF(COUNTIF('Team Setup'!$B$10:$B$34,$C761)=1,"Matched","Unmatched")))))</x:f>
      </x:c>
      <x:c r="G761" s="13" t="str">
        <x:f>IF($A761="","",IF($D761&lt;&gt;'Team Setup'!$B$4,"Other sprint",IF($E761="","Unestimated",IF(NOT(ISNUMBER($E761)),"Check estimate in hours",IF($E761&lt;0,"Check estimate in hours",IF($E761=0,"Unestimated","Estimated"))))))</x:f>
      </x:c>
    </x:row>
    <x:row r="762">
      <x:c r="A762" s="12"/>
      <x:c r="B762" s="12"/>
      <x:c r="C762" s="12"/>
      <x:c r="D762" s="12"/>
      <x:c r="E762" s="14"/>
      <x:c r="F762" s="13" t="str">
        <x:f>IF($A762="","",IF($D762&lt;&gt;'Team Setup'!$B$4,"Other sprint",IF($C762="","Unassigned",IF(OR(ISNUMBER(SEARCH(",",$C762)),ISNUMBER(SEARCH(";",$C762))),"Multiple assignees",IF(COUNTIF('Team Setup'!$B$10:$B$34,$C762)=1,"Matched","Unmatched")))))</x:f>
      </x:c>
      <x:c r="G762" s="13" t="str">
        <x:f>IF($A762="","",IF($D762&lt;&gt;'Team Setup'!$B$4,"Other sprint",IF($E762="","Unestimated",IF(NOT(ISNUMBER($E762)),"Check estimate in hours",IF($E762&lt;0,"Check estimate in hours",IF($E762=0,"Unestimated","Estimated"))))))</x:f>
      </x:c>
    </x:row>
    <x:row r="763">
      <x:c r="A763" s="12"/>
      <x:c r="B763" s="12"/>
      <x:c r="C763" s="12"/>
      <x:c r="D763" s="12"/>
      <x:c r="E763" s="14"/>
      <x:c r="F763" s="13" t="str">
        <x:f>IF($A763="","",IF($D763&lt;&gt;'Team Setup'!$B$4,"Other sprint",IF($C763="","Unassigned",IF(OR(ISNUMBER(SEARCH(",",$C763)),ISNUMBER(SEARCH(";",$C763))),"Multiple assignees",IF(COUNTIF('Team Setup'!$B$10:$B$34,$C763)=1,"Matched","Unmatched")))))</x:f>
      </x:c>
      <x:c r="G763" s="13" t="str">
        <x:f>IF($A763="","",IF($D763&lt;&gt;'Team Setup'!$B$4,"Other sprint",IF($E763="","Unestimated",IF(NOT(ISNUMBER($E763)),"Check estimate in hours",IF($E763&lt;0,"Check estimate in hours",IF($E763=0,"Unestimated","Estimated"))))))</x:f>
      </x:c>
    </x:row>
    <x:row r="764">
      <x:c r="A764" s="12"/>
      <x:c r="B764" s="12"/>
      <x:c r="C764" s="12"/>
      <x:c r="D764" s="12"/>
      <x:c r="E764" s="14"/>
      <x:c r="F764" s="13" t="str">
        <x:f>IF($A764="","",IF($D764&lt;&gt;'Team Setup'!$B$4,"Other sprint",IF($C764="","Unassigned",IF(OR(ISNUMBER(SEARCH(",",$C764)),ISNUMBER(SEARCH(";",$C764))),"Multiple assignees",IF(COUNTIF('Team Setup'!$B$10:$B$34,$C764)=1,"Matched","Unmatched")))))</x:f>
      </x:c>
      <x:c r="G764" s="13" t="str">
        <x:f>IF($A764="","",IF($D764&lt;&gt;'Team Setup'!$B$4,"Other sprint",IF($E764="","Unestimated",IF(NOT(ISNUMBER($E764)),"Check estimate in hours",IF($E764&lt;0,"Check estimate in hours",IF($E764=0,"Unestimated","Estimated"))))))</x:f>
      </x:c>
    </x:row>
    <x:row r="765">
      <x:c r="A765" s="12"/>
      <x:c r="B765" s="12"/>
      <x:c r="C765" s="12"/>
      <x:c r="D765" s="12"/>
      <x:c r="E765" s="14"/>
      <x:c r="F765" s="13" t="str">
        <x:f>IF($A765="","",IF($D765&lt;&gt;'Team Setup'!$B$4,"Other sprint",IF($C765="","Unassigned",IF(OR(ISNUMBER(SEARCH(",",$C765)),ISNUMBER(SEARCH(";",$C765))),"Multiple assignees",IF(COUNTIF('Team Setup'!$B$10:$B$34,$C765)=1,"Matched","Unmatched")))))</x:f>
      </x:c>
      <x:c r="G765" s="13" t="str">
        <x:f>IF($A765="","",IF($D765&lt;&gt;'Team Setup'!$B$4,"Other sprint",IF($E765="","Unestimated",IF(NOT(ISNUMBER($E765)),"Check estimate in hours",IF($E765&lt;0,"Check estimate in hours",IF($E765=0,"Unestimated","Estimated"))))))</x:f>
      </x:c>
    </x:row>
    <x:row r="766">
      <x:c r="A766" s="12"/>
      <x:c r="B766" s="12"/>
      <x:c r="C766" s="12"/>
      <x:c r="D766" s="12"/>
      <x:c r="E766" s="14"/>
      <x:c r="F766" s="13" t="str">
        <x:f>IF($A766="","",IF($D766&lt;&gt;'Team Setup'!$B$4,"Other sprint",IF($C766="","Unassigned",IF(OR(ISNUMBER(SEARCH(",",$C766)),ISNUMBER(SEARCH(";",$C766))),"Multiple assignees",IF(COUNTIF('Team Setup'!$B$10:$B$34,$C766)=1,"Matched","Unmatched")))))</x:f>
      </x:c>
      <x:c r="G766" s="13" t="str">
        <x:f>IF($A766="","",IF($D766&lt;&gt;'Team Setup'!$B$4,"Other sprint",IF($E766="","Unestimated",IF(NOT(ISNUMBER($E766)),"Check estimate in hours",IF($E766&lt;0,"Check estimate in hours",IF($E766=0,"Unestimated","Estimated"))))))</x:f>
      </x:c>
    </x:row>
    <x:row r="767">
      <x:c r="A767" s="12"/>
      <x:c r="B767" s="12"/>
      <x:c r="C767" s="12"/>
      <x:c r="D767" s="12"/>
      <x:c r="E767" s="14"/>
      <x:c r="F767" s="13" t="str">
        <x:f>IF($A767="","",IF($D767&lt;&gt;'Team Setup'!$B$4,"Other sprint",IF($C767="","Unassigned",IF(OR(ISNUMBER(SEARCH(",",$C767)),ISNUMBER(SEARCH(";",$C767))),"Multiple assignees",IF(COUNTIF('Team Setup'!$B$10:$B$34,$C767)=1,"Matched","Unmatched")))))</x:f>
      </x:c>
      <x:c r="G767" s="13" t="str">
        <x:f>IF($A767="","",IF($D767&lt;&gt;'Team Setup'!$B$4,"Other sprint",IF($E767="","Unestimated",IF(NOT(ISNUMBER($E767)),"Check estimate in hours",IF($E767&lt;0,"Check estimate in hours",IF($E767=0,"Unestimated","Estimated"))))))</x:f>
      </x:c>
    </x:row>
    <x:row r="768">
      <x:c r="A768" s="12"/>
      <x:c r="B768" s="12"/>
      <x:c r="C768" s="12"/>
      <x:c r="D768" s="12"/>
      <x:c r="E768" s="14"/>
      <x:c r="F768" s="13" t="str">
        <x:f>IF($A768="","",IF($D768&lt;&gt;'Team Setup'!$B$4,"Other sprint",IF($C768="","Unassigned",IF(OR(ISNUMBER(SEARCH(",",$C768)),ISNUMBER(SEARCH(";",$C768))),"Multiple assignees",IF(COUNTIF('Team Setup'!$B$10:$B$34,$C768)=1,"Matched","Unmatched")))))</x:f>
      </x:c>
      <x:c r="G768" s="13" t="str">
        <x:f>IF($A768="","",IF($D768&lt;&gt;'Team Setup'!$B$4,"Other sprint",IF($E768="","Unestimated",IF(NOT(ISNUMBER($E768)),"Check estimate in hours",IF($E768&lt;0,"Check estimate in hours",IF($E768=0,"Unestimated","Estimated"))))))</x:f>
      </x:c>
    </x:row>
    <x:row r="769">
      <x:c r="A769" s="12"/>
      <x:c r="B769" s="12"/>
      <x:c r="C769" s="12"/>
      <x:c r="D769" s="12"/>
      <x:c r="E769" s="14"/>
      <x:c r="F769" s="13" t="str">
        <x:f>IF($A769="","",IF($D769&lt;&gt;'Team Setup'!$B$4,"Other sprint",IF($C769="","Unassigned",IF(OR(ISNUMBER(SEARCH(",",$C769)),ISNUMBER(SEARCH(";",$C769))),"Multiple assignees",IF(COUNTIF('Team Setup'!$B$10:$B$34,$C769)=1,"Matched","Unmatched")))))</x:f>
      </x:c>
      <x:c r="G769" s="13" t="str">
        <x:f>IF($A769="","",IF($D769&lt;&gt;'Team Setup'!$B$4,"Other sprint",IF($E769="","Unestimated",IF(NOT(ISNUMBER($E769)),"Check estimate in hours",IF($E769&lt;0,"Check estimate in hours",IF($E769=0,"Unestimated","Estimated"))))))</x:f>
      </x:c>
    </x:row>
    <x:row r="770">
      <x:c r="A770" s="12"/>
      <x:c r="B770" s="12"/>
      <x:c r="C770" s="12"/>
      <x:c r="D770" s="12"/>
      <x:c r="E770" s="14"/>
      <x:c r="F770" s="13" t="str">
        <x:f>IF($A770="","",IF($D770&lt;&gt;'Team Setup'!$B$4,"Other sprint",IF($C770="","Unassigned",IF(OR(ISNUMBER(SEARCH(",",$C770)),ISNUMBER(SEARCH(";",$C770))),"Multiple assignees",IF(COUNTIF('Team Setup'!$B$10:$B$34,$C770)=1,"Matched","Unmatched")))))</x:f>
      </x:c>
      <x:c r="G770" s="13" t="str">
        <x:f>IF($A770="","",IF($D770&lt;&gt;'Team Setup'!$B$4,"Other sprint",IF($E770="","Unestimated",IF(NOT(ISNUMBER($E770)),"Check estimate in hours",IF($E770&lt;0,"Check estimate in hours",IF($E770=0,"Unestimated","Estimated"))))))</x:f>
      </x:c>
    </x:row>
    <x:row r="771">
      <x:c r="A771" s="12"/>
      <x:c r="B771" s="12"/>
      <x:c r="C771" s="12"/>
      <x:c r="D771" s="12"/>
      <x:c r="E771" s="14"/>
      <x:c r="F771" s="13" t="str">
        <x:f>IF($A771="","",IF($D771&lt;&gt;'Team Setup'!$B$4,"Other sprint",IF($C771="","Unassigned",IF(OR(ISNUMBER(SEARCH(",",$C771)),ISNUMBER(SEARCH(";",$C771))),"Multiple assignees",IF(COUNTIF('Team Setup'!$B$10:$B$34,$C771)=1,"Matched","Unmatched")))))</x:f>
      </x:c>
      <x:c r="G771" s="13" t="str">
        <x:f>IF($A771="","",IF($D771&lt;&gt;'Team Setup'!$B$4,"Other sprint",IF($E771="","Unestimated",IF(NOT(ISNUMBER($E771)),"Check estimate in hours",IF($E771&lt;0,"Check estimate in hours",IF($E771=0,"Unestimated","Estimated"))))))</x:f>
      </x:c>
    </x:row>
    <x:row r="772">
      <x:c r="A772" s="12"/>
      <x:c r="B772" s="12"/>
      <x:c r="C772" s="12"/>
      <x:c r="D772" s="12"/>
      <x:c r="E772" s="14"/>
      <x:c r="F772" s="13" t="str">
        <x:f>IF($A772="","",IF($D772&lt;&gt;'Team Setup'!$B$4,"Other sprint",IF($C772="","Unassigned",IF(OR(ISNUMBER(SEARCH(",",$C772)),ISNUMBER(SEARCH(";",$C772))),"Multiple assignees",IF(COUNTIF('Team Setup'!$B$10:$B$34,$C772)=1,"Matched","Unmatched")))))</x:f>
      </x:c>
      <x:c r="G772" s="13" t="str">
        <x:f>IF($A772="","",IF($D772&lt;&gt;'Team Setup'!$B$4,"Other sprint",IF($E772="","Unestimated",IF(NOT(ISNUMBER($E772)),"Check estimate in hours",IF($E772&lt;0,"Check estimate in hours",IF($E772=0,"Unestimated","Estimated"))))))</x:f>
      </x:c>
    </x:row>
    <x:row r="773">
      <x:c r="A773" s="12"/>
      <x:c r="B773" s="12"/>
      <x:c r="C773" s="12"/>
      <x:c r="D773" s="12"/>
      <x:c r="E773" s="14"/>
      <x:c r="F773" s="13" t="str">
        <x:f>IF($A773="","",IF($D773&lt;&gt;'Team Setup'!$B$4,"Other sprint",IF($C773="","Unassigned",IF(OR(ISNUMBER(SEARCH(",",$C773)),ISNUMBER(SEARCH(";",$C773))),"Multiple assignees",IF(COUNTIF('Team Setup'!$B$10:$B$34,$C773)=1,"Matched","Unmatched")))))</x:f>
      </x:c>
      <x:c r="G773" s="13" t="str">
        <x:f>IF($A773="","",IF($D773&lt;&gt;'Team Setup'!$B$4,"Other sprint",IF($E773="","Unestimated",IF(NOT(ISNUMBER($E773)),"Check estimate in hours",IF($E773&lt;0,"Check estimate in hours",IF($E773=0,"Unestimated","Estimated"))))))</x:f>
      </x:c>
    </x:row>
    <x:row r="774">
      <x:c r="A774" s="12"/>
      <x:c r="B774" s="12"/>
      <x:c r="C774" s="12"/>
      <x:c r="D774" s="12"/>
      <x:c r="E774" s="14"/>
      <x:c r="F774" s="13" t="str">
        <x:f>IF($A774="","",IF($D774&lt;&gt;'Team Setup'!$B$4,"Other sprint",IF($C774="","Unassigned",IF(OR(ISNUMBER(SEARCH(",",$C774)),ISNUMBER(SEARCH(";",$C774))),"Multiple assignees",IF(COUNTIF('Team Setup'!$B$10:$B$34,$C774)=1,"Matched","Unmatched")))))</x:f>
      </x:c>
      <x:c r="G774" s="13" t="str">
        <x:f>IF($A774="","",IF($D774&lt;&gt;'Team Setup'!$B$4,"Other sprint",IF($E774="","Unestimated",IF(NOT(ISNUMBER($E774)),"Check estimate in hours",IF($E774&lt;0,"Check estimate in hours",IF($E774=0,"Unestimated","Estimated"))))))</x:f>
      </x:c>
    </x:row>
    <x:row r="775">
      <x:c r="A775" s="12"/>
      <x:c r="B775" s="12"/>
      <x:c r="C775" s="12"/>
      <x:c r="D775" s="12"/>
      <x:c r="E775" s="14"/>
      <x:c r="F775" s="13" t="str">
        <x:f>IF($A775="","",IF($D775&lt;&gt;'Team Setup'!$B$4,"Other sprint",IF($C775="","Unassigned",IF(OR(ISNUMBER(SEARCH(",",$C775)),ISNUMBER(SEARCH(";",$C775))),"Multiple assignees",IF(COUNTIF('Team Setup'!$B$10:$B$34,$C775)=1,"Matched","Unmatched")))))</x:f>
      </x:c>
      <x:c r="G775" s="13" t="str">
        <x:f>IF($A775="","",IF($D775&lt;&gt;'Team Setup'!$B$4,"Other sprint",IF($E775="","Unestimated",IF(NOT(ISNUMBER($E775)),"Check estimate in hours",IF($E775&lt;0,"Check estimate in hours",IF($E775=0,"Unestimated","Estimated"))))))</x:f>
      </x:c>
    </x:row>
    <x:row r="776">
      <x:c r="A776" s="12"/>
      <x:c r="B776" s="12"/>
      <x:c r="C776" s="12"/>
      <x:c r="D776" s="12"/>
      <x:c r="E776" s="14"/>
      <x:c r="F776" s="13" t="str">
        <x:f>IF($A776="","",IF($D776&lt;&gt;'Team Setup'!$B$4,"Other sprint",IF($C776="","Unassigned",IF(OR(ISNUMBER(SEARCH(",",$C776)),ISNUMBER(SEARCH(";",$C776))),"Multiple assignees",IF(COUNTIF('Team Setup'!$B$10:$B$34,$C776)=1,"Matched","Unmatched")))))</x:f>
      </x:c>
      <x:c r="G776" s="13" t="str">
        <x:f>IF($A776="","",IF($D776&lt;&gt;'Team Setup'!$B$4,"Other sprint",IF($E776="","Unestimated",IF(NOT(ISNUMBER($E776)),"Check estimate in hours",IF($E776&lt;0,"Check estimate in hours",IF($E776=0,"Unestimated","Estimated"))))))</x:f>
      </x:c>
    </x:row>
    <x:row r="777">
      <x:c r="A777" s="12"/>
      <x:c r="B777" s="12"/>
      <x:c r="C777" s="12"/>
      <x:c r="D777" s="12"/>
      <x:c r="E777" s="14"/>
      <x:c r="F777" s="13" t="str">
        <x:f>IF($A777="","",IF($D777&lt;&gt;'Team Setup'!$B$4,"Other sprint",IF($C777="","Unassigned",IF(OR(ISNUMBER(SEARCH(",",$C777)),ISNUMBER(SEARCH(";",$C777))),"Multiple assignees",IF(COUNTIF('Team Setup'!$B$10:$B$34,$C777)=1,"Matched","Unmatched")))))</x:f>
      </x:c>
      <x:c r="G777" s="13" t="str">
        <x:f>IF($A777="","",IF($D777&lt;&gt;'Team Setup'!$B$4,"Other sprint",IF($E777="","Unestimated",IF(NOT(ISNUMBER($E777)),"Check estimate in hours",IF($E777&lt;0,"Check estimate in hours",IF($E777=0,"Unestimated","Estimated"))))))</x:f>
      </x:c>
    </x:row>
    <x:row r="778">
      <x:c r="A778" s="12"/>
      <x:c r="B778" s="12"/>
      <x:c r="C778" s="12"/>
      <x:c r="D778" s="12"/>
      <x:c r="E778" s="14"/>
      <x:c r="F778" s="13" t="str">
        <x:f>IF($A778="","",IF($D778&lt;&gt;'Team Setup'!$B$4,"Other sprint",IF($C778="","Unassigned",IF(OR(ISNUMBER(SEARCH(",",$C778)),ISNUMBER(SEARCH(";",$C778))),"Multiple assignees",IF(COUNTIF('Team Setup'!$B$10:$B$34,$C778)=1,"Matched","Unmatched")))))</x:f>
      </x:c>
      <x:c r="G778" s="13" t="str">
        <x:f>IF($A778="","",IF($D778&lt;&gt;'Team Setup'!$B$4,"Other sprint",IF($E778="","Unestimated",IF(NOT(ISNUMBER($E778)),"Check estimate in hours",IF($E778&lt;0,"Check estimate in hours",IF($E778=0,"Unestimated","Estimated"))))))</x:f>
      </x:c>
    </x:row>
    <x:row r="779">
      <x:c r="A779" s="12"/>
      <x:c r="B779" s="12"/>
      <x:c r="C779" s="12"/>
      <x:c r="D779" s="12"/>
      <x:c r="E779" s="14"/>
      <x:c r="F779" s="13" t="str">
        <x:f>IF($A779="","",IF($D779&lt;&gt;'Team Setup'!$B$4,"Other sprint",IF($C779="","Unassigned",IF(OR(ISNUMBER(SEARCH(",",$C779)),ISNUMBER(SEARCH(";",$C779))),"Multiple assignees",IF(COUNTIF('Team Setup'!$B$10:$B$34,$C779)=1,"Matched","Unmatched")))))</x:f>
      </x:c>
      <x:c r="G779" s="13" t="str">
        <x:f>IF($A779="","",IF($D779&lt;&gt;'Team Setup'!$B$4,"Other sprint",IF($E779="","Unestimated",IF(NOT(ISNUMBER($E779)),"Check estimate in hours",IF($E779&lt;0,"Check estimate in hours",IF($E779=0,"Unestimated","Estimated"))))))</x:f>
      </x:c>
    </x:row>
    <x:row r="780">
      <x:c r="A780" s="12"/>
      <x:c r="B780" s="12"/>
      <x:c r="C780" s="12"/>
      <x:c r="D780" s="12"/>
      <x:c r="E780" s="14"/>
      <x:c r="F780" s="13" t="str">
        <x:f>IF($A780="","",IF($D780&lt;&gt;'Team Setup'!$B$4,"Other sprint",IF($C780="","Unassigned",IF(OR(ISNUMBER(SEARCH(",",$C780)),ISNUMBER(SEARCH(";",$C780))),"Multiple assignees",IF(COUNTIF('Team Setup'!$B$10:$B$34,$C780)=1,"Matched","Unmatched")))))</x:f>
      </x:c>
      <x:c r="G780" s="13" t="str">
        <x:f>IF($A780="","",IF($D780&lt;&gt;'Team Setup'!$B$4,"Other sprint",IF($E780="","Unestimated",IF(NOT(ISNUMBER($E780)),"Check estimate in hours",IF($E780&lt;0,"Check estimate in hours",IF($E780=0,"Unestimated","Estimated"))))))</x:f>
      </x:c>
    </x:row>
    <x:row r="781">
      <x:c r="A781" s="12"/>
      <x:c r="B781" s="12"/>
      <x:c r="C781" s="12"/>
      <x:c r="D781" s="12"/>
      <x:c r="E781" s="14"/>
      <x:c r="F781" s="13" t="str">
        <x:f>IF($A781="","",IF($D781&lt;&gt;'Team Setup'!$B$4,"Other sprint",IF($C781="","Unassigned",IF(OR(ISNUMBER(SEARCH(",",$C781)),ISNUMBER(SEARCH(";",$C781))),"Multiple assignees",IF(COUNTIF('Team Setup'!$B$10:$B$34,$C781)=1,"Matched","Unmatched")))))</x:f>
      </x:c>
      <x:c r="G781" s="13" t="str">
        <x:f>IF($A781="","",IF($D781&lt;&gt;'Team Setup'!$B$4,"Other sprint",IF($E781="","Unestimated",IF(NOT(ISNUMBER($E781)),"Check estimate in hours",IF($E781&lt;0,"Check estimate in hours",IF($E781=0,"Unestimated","Estimated"))))))</x:f>
      </x:c>
    </x:row>
    <x:row r="782">
      <x:c r="A782" s="12"/>
      <x:c r="B782" s="12"/>
      <x:c r="C782" s="12"/>
      <x:c r="D782" s="12"/>
      <x:c r="E782" s="14"/>
      <x:c r="F782" s="13" t="str">
        <x:f>IF($A782="","",IF($D782&lt;&gt;'Team Setup'!$B$4,"Other sprint",IF($C782="","Unassigned",IF(OR(ISNUMBER(SEARCH(",",$C782)),ISNUMBER(SEARCH(";",$C782))),"Multiple assignees",IF(COUNTIF('Team Setup'!$B$10:$B$34,$C782)=1,"Matched","Unmatched")))))</x:f>
      </x:c>
      <x:c r="G782" s="13" t="str">
        <x:f>IF($A782="","",IF($D782&lt;&gt;'Team Setup'!$B$4,"Other sprint",IF($E782="","Unestimated",IF(NOT(ISNUMBER($E782)),"Check estimate in hours",IF($E782&lt;0,"Check estimate in hours",IF($E782=0,"Unestimated","Estimated"))))))</x:f>
      </x:c>
    </x:row>
    <x:row r="783">
      <x:c r="A783" s="12"/>
      <x:c r="B783" s="12"/>
      <x:c r="C783" s="12"/>
      <x:c r="D783" s="12"/>
      <x:c r="E783" s="14"/>
      <x:c r="F783" s="13" t="str">
        <x:f>IF($A783="","",IF($D783&lt;&gt;'Team Setup'!$B$4,"Other sprint",IF($C783="","Unassigned",IF(OR(ISNUMBER(SEARCH(",",$C783)),ISNUMBER(SEARCH(";",$C783))),"Multiple assignees",IF(COUNTIF('Team Setup'!$B$10:$B$34,$C783)=1,"Matched","Unmatched")))))</x:f>
      </x:c>
      <x:c r="G783" s="13" t="str">
        <x:f>IF($A783="","",IF($D783&lt;&gt;'Team Setup'!$B$4,"Other sprint",IF($E783="","Unestimated",IF(NOT(ISNUMBER($E783)),"Check estimate in hours",IF($E783&lt;0,"Check estimate in hours",IF($E783=0,"Unestimated","Estimated"))))))</x:f>
      </x:c>
    </x:row>
    <x:row r="784">
      <x:c r="A784" s="12"/>
      <x:c r="B784" s="12"/>
      <x:c r="C784" s="12"/>
      <x:c r="D784" s="12"/>
      <x:c r="E784" s="14"/>
      <x:c r="F784" s="13" t="str">
        <x:f>IF($A784="","",IF($D784&lt;&gt;'Team Setup'!$B$4,"Other sprint",IF($C784="","Unassigned",IF(OR(ISNUMBER(SEARCH(",",$C784)),ISNUMBER(SEARCH(";",$C784))),"Multiple assignees",IF(COUNTIF('Team Setup'!$B$10:$B$34,$C784)=1,"Matched","Unmatched")))))</x:f>
      </x:c>
      <x:c r="G784" s="13" t="str">
        <x:f>IF($A784="","",IF($D784&lt;&gt;'Team Setup'!$B$4,"Other sprint",IF($E784="","Unestimated",IF(NOT(ISNUMBER($E784)),"Check estimate in hours",IF($E784&lt;0,"Check estimate in hours",IF($E784=0,"Unestimated","Estimated"))))))</x:f>
      </x:c>
    </x:row>
    <x:row r="785">
      <x:c r="A785" s="12"/>
      <x:c r="B785" s="12"/>
      <x:c r="C785" s="12"/>
      <x:c r="D785" s="12"/>
      <x:c r="E785" s="14"/>
      <x:c r="F785" s="13" t="str">
        <x:f>IF($A785="","",IF($D785&lt;&gt;'Team Setup'!$B$4,"Other sprint",IF($C785="","Unassigned",IF(OR(ISNUMBER(SEARCH(",",$C785)),ISNUMBER(SEARCH(";",$C785))),"Multiple assignees",IF(COUNTIF('Team Setup'!$B$10:$B$34,$C785)=1,"Matched","Unmatched")))))</x:f>
      </x:c>
      <x:c r="G785" s="13" t="str">
        <x:f>IF($A785="","",IF($D785&lt;&gt;'Team Setup'!$B$4,"Other sprint",IF($E785="","Unestimated",IF(NOT(ISNUMBER($E785)),"Check estimate in hours",IF($E785&lt;0,"Check estimate in hours",IF($E785=0,"Unestimated","Estimated"))))))</x:f>
      </x:c>
    </x:row>
    <x:row r="786">
      <x:c r="A786" s="12"/>
      <x:c r="B786" s="12"/>
      <x:c r="C786" s="12"/>
      <x:c r="D786" s="12"/>
      <x:c r="E786" s="14"/>
      <x:c r="F786" s="13" t="str">
        <x:f>IF($A786="","",IF($D786&lt;&gt;'Team Setup'!$B$4,"Other sprint",IF($C786="","Unassigned",IF(OR(ISNUMBER(SEARCH(",",$C786)),ISNUMBER(SEARCH(";",$C786))),"Multiple assignees",IF(COUNTIF('Team Setup'!$B$10:$B$34,$C786)=1,"Matched","Unmatched")))))</x:f>
      </x:c>
      <x:c r="G786" s="13" t="str">
        <x:f>IF($A786="","",IF($D786&lt;&gt;'Team Setup'!$B$4,"Other sprint",IF($E786="","Unestimated",IF(NOT(ISNUMBER($E786)),"Check estimate in hours",IF($E786&lt;0,"Check estimate in hours",IF($E786=0,"Unestimated","Estimated"))))))</x:f>
      </x:c>
    </x:row>
    <x:row r="787">
      <x:c r="A787" s="12"/>
      <x:c r="B787" s="12"/>
      <x:c r="C787" s="12"/>
      <x:c r="D787" s="12"/>
      <x:c r="E787" s="14"/>
      <x:c r="F787" s="13" t="str">
        <x:f>IF($A787="","",IF($D787&lt;&gt;'Team Setup'!$B$4,"Other sprint",IF($C787="","Unassigned",IF(OR(ISNUMBER(SEARCH(",",$C787)),ISNUMBER(SEARCH(";",$C787))),"Multiple assignees",IF(COUNTIF('Team Setup'!$B$10:$B$34,$C787)=1,"Matched","Unmatched")))))</x:f>
      </x:c>
      <x:c r="G787" s="13" t="str">
        <x:f>IF($A787="","",IF($D787&lt;&gt;'Team Setup'!$B$4,"Other sprint",IF($E787="","Unestimated",IF(NOT(ISNUMBER($E787)),"Check estimate in hours",IF($E787&lt;0,"Check estimate in hours",IF($E787=0,"Unestimated","Estimated"))))))</x:f>
      </x:c>
    </x:row>
    <x:row r="788">
      <x:c r="A788" s="12"/>
      <x:c r="B788" s="12"/>
      <x:c r="C788" s="12"/>
      <x:c r="D788" s="12"/>
      <x:c r="E788" s="14"/>
      <x:c r="F788" s="13" t="str">
        <x:f>IF($A788="","",IF($D788&lt;&gt;'Team Setup'!$B$4,"Other sprint",IF($C788="","Unassigned",IF(OR(ISNUMBER(SEARCH(",",$C788)),ISNUMBER(SEARCH(";",$C788))),"Multiple assignees",IF(COUNTIF('Team Setup'!$B$10:$B$34,$C788)=1,"Matched","Unmatched")))))</x:f>
      </x:c>
      <x:c r="G788" s="13" t="str">
        <x:f>IF($A788="","",IF($D788&lt;&gt;'Team Setup'!$B$4,"Other sprint",IF($E788="","Unestimated",IF(NOT(ISNUMBER($E788)),"Check estimate in hours",IF($E788&lt;0,"Check estimate in hours",IF($E788=0,"Unestimated","Estimated"))))))</x:f>
      </x:c>
    </x:row>
    <x:row r="789">
      <x:c r="A789" s="12"/>
      <x:c r="B789" s="12"/>
      <x:c r="C789" s="12"/>
      <x:c r="D789" s="12"/>
      <x:c r="E789" s="14"/>
      <x:c r="F789" s="13" t="str">
        <x:f>IF($A789="","",IF($D789&lt;&gt;'Team Setup'!$B$4,"Other sprint",IF($C789="","Unassigned",IF(OR(ISNUMBER(SEARCH(",",$C789)),ISNUMBER(SEARCH(";",$C789))),"Multiple assignees",IF(COUNTIF('Team Setup'!$B$10:$B$34,$C789)=1,"Matched","Unmatched")))))</x:f>
      </x:c>
      <x:c r="G789" s="13" t="str">
        <x:f>IF($A789="","",IF($D789&lt;&gt;'Team Setup'!$B$4,"Other sprint",IF($E789="","Unestimated",IF(NOT(ISNUMBER($E789)),"Check estimate in hours",IF($E789&lt;0,"Check estimate in hours",IF($E789=0,"Unestimated","Estimated"))))))</x:f>
      </x:c>
    </x:row>
    <x:row r="790">
      <x:c r="A790" s="12"/>
      <x:c r="B790" s="12"/>
      <x:c r="C790" s="12"/>
      <x:c r="D790" s="12"/>
      <x:c r="E790" s="14"/>
      <x:c r="F790" s="13" t="str">
        <x:f>IF($A790="","",IF($D790&lt;&gt;'Team Setup'!$B$4,"Other sprint",IF($C790="","Unassigned",IF(OR(ISNUMBER(SEARCH(",",$C790)),ISNUMBER(SEARCH(";",$C790))),"Multiple assignees",IF(COUNTIF('Team Setup'!$B$10:$B$34,$C790)=1,"Matched","Unmatched")))))</x:f>
      </x:c>
      <x:c r="G790" s="13" t="str">
        <x:f>IF($A790="","",IF($D790&lt;&gt;'Team Setup'!$B$4,"Other sprint",IF($E790="","Unestimated",IF(NOT(ISNUMBER($E790)),"Check estimate in hours",IF($E790&lt;0,"Check estimate in hours",IF($E790=0,"Unestimated","Estimated"))))))</x:f>
      </x:c>
    </x:row>
    <x:row r="791">
      <x:c r="A791" s="12"/>
      <x:c r="B791" s="12"/>
      <x:c r="C791" s="12"/>
      <x:c r="D791" s="12"/>
      <x:c r="E791" s="14"/>
      <x:c r="F791" s="13" t="str">
        <x:f>IF($A791="","",IF($D791&lt;&gt;'Team Setup'!$B$4,"Other sprint",IF($C791="","Unassigned",IF(OR(ISNUMBER(SEARCH(",",$C791)),ISNUMBER(SEARCH(";",$C791))),"Multiple assignees",IF(COUNTIF('Team Setup'!$B$10:$B$34,$C791)=1,"Matched","Unmatched")))))</x:f>
      </x:c>
      <x:c r="G791" s="13" t="str">
        <x:f>IF($A791="","",IF($D791&lt;&gt;'Team Setup'!$B$4,"Other sprint",IF($E791="","Unestimated",IF(NOT(ISNUMBER($E791)),"Check estimate in hours",IF($E791&lt;0,"Check estimate in hours",IF($E791=0,"Unestimated","Estimated"))))))</x:f>
      </x:c>
    </x:row>
    <x:row r="792">
      <x:c r="A792" s="12"/>
      <x:c r="B792" s="12"/>
      <x:c r="C792" s="12"/>
      <x:c r="D792" s="12"/>
      <x:c r="E792" s="14"/>
      <x:c r="F792" s="13" t="str">
        <x:f>IF($A792="","",IF($D792&lt;&gt;'Team Setup'!$B$4,"Other sprint",IF($C792="","Unassigned",IF(OR(ISNUMBER(SEARCH(",",$C792)),ISNUMBER(SEARCH(";",$C792))),"Multiple assignees",IF(COUNTIF('Team Setup'!$B$10:$B$34,$C792)=1,"Matched","Unmatched")))))</x:f>
      </x:c>
      <x:c r="G792" s="13" t="str">
        <x:f>IF($A792="","",IF($D792&lt;&gt;'Team Setup'!$B$4,"Other sprint",IF($E792="","Unestimated",IF(NOT(ISNUMBER($E792)),"Check estimate in hours",IF($E792&lt;0,"Check estimate in hours",IF($E792=0,"Unestimated","Estimated"))))))</x:f>
      </x:c>
    </x:row>
    <x:row r="793">
      <x:c r="A793" s="12"/>
      <x:c r="B793" s="12"/>
      <x:c r="C793" s="12"/>
      <x:c r="D793" s="12"/>
      <x:c r="E793" s="14"/>
      <x:c r="F793" s="13" t="str">
        <x:f>IF($A793="","",IF($D793&lt;&gt;'Team Setup'!$B$4,"Other sprint",IF($C793="","Unassigned",IF(OR(ISNUMBER(SEARCH(",",$C793)),ISNUMBER(SEARCH(";",$C793))),"Multiple assignees",IF(COUNTIF('Team Setup'!$B$10:$B$34,$C793)=1,"Matched","Unmatched")))))</x:f>
      </x:c>
      <x:c r="G793" s="13" t="str">
        <x:f>IF($A793="","",IF($D793&lt;&gt;'Team Setup'!$B$4,"Other sprint",IF($E793="","Unestimated",IF(NOT(ISNUMBER($E793)),"Check estimate in hours",IF($E793&lt;0,"Check estimate in hours",IF($E793=0,"Unestimated","Estimated"))))))</x:f>
      </x:c>
    </x:row>
    <x:row r="794">
      <x:c r="A794" s="12"/>
      <x:c r="B794" s="12"/>
      <x:c r="C794" s="12"/>
      <x:c r="D794" s="12"/>
      <x:c r="E794" s="14"/>
      <x:c r="F794" s="13" t="str">
        <x:f>IF($A794="","",IF($D794&lt;&gt;'Team Setup'!$B$4,"Other sprint",IF($C794="","Unassigned",IF(OR(ISNUMBER(SEARCH(",",$C794)),ISNUMBER(SEARCH(";",$C794))),"Multiple assignees",IF(COUNTIF('Team Setup'!$B$10:$B$34,$C794)=1,"Matched","Unmatched")))))</x:f>
      </x:c>
      <x:c r="G794" s="13" t="str">
        <x:f>IF($A794="","",IF($D794&lt;&gt;'Team Setup'!$B$4,"Other sprint",IF($E794="","Unestimated",IF(NOT(ISNUMBER($E794)),"Check estimate in hours",IF($E794&lt;0,"Check estimate in hours",IF($E794=0,"Unestimated","Estimated"))))))</x:f>
      </x:c>
    </x:row>
    <x:row r="795">
      <x:c r="A795" s="12"/>
      <x:c r="B795" s="12"/>
      <x:c r="C795" s="12"/>
      <x:c r="D795" s="12"/>
      <x:c r="E795" s="14"/>
      <x:c r="F795" s="13" t="str">
        <x:f>IF($A795="","",IF($D795&lt;&gt;'Team Setup'!$B$4,"Other sprint",IF($C795="","Unassigned",IF(OR(ISNUMBER(SEARCH(",",$C795)),ISNUMBER(SEARCH(";",$C795))),"Multiple assignees",IF(COUNTIF('Team Setup'!$B$10:$B$34,$C795)=1,"Matched","Unmatched")))))</x:f>
      </x:c>
      <x:c r="G795" s="13" t="str">
        <x:f>IF($A795="","",IF($D795&lt;&gt;'Team Setup'!$B$4,"Other sprint",IF($E795="","Unestimated",IF(NOT(ISNUMBER($E795)),"Check estimate in hours",IF($E795&lt;0,"Check estimate in hours",IF($E795=0,"Unestimated","Estimated"))))))</x:f>
      </x:c>
    </x:row>
    <x:row r="796">
      <x:c r="A796" s="12"/>
      <x:c r="B796" s="12"/>
      <x:c r="C796" s="12"/>
      <x:c r="D796" s="12"/>
      <x:c r="E796" s="14"/>
      <x:c r="F796" s="13" t="str">
        <x:f>IF($A796="","",IF($D796&lt;&gt;'Team Setup'!$B$4,"Other sprint",IF($C796="","Unassigned",IF(OR(ISNUMBER(SEARCH(",",$C796)),ISNUMBER(SEARCH(";",$C796))),"Multiple assignees",IF(COUNTIF('Team Setup'!$B$10:$B$34,$C796)=1,"Matched","Unmatched")))))</x:f>
      </x:c>
      <x:c r="G796" s="13" t="str">
        <x:f>IF($A796="","",IF($D796&lt;&gt;'Team Setup'!$B$4,"Other sprint",IF($E796="","Unestimated",IF(NOT(ISNUMBER($E796)),"Check estimate in hours",IF($E796&lt;0,"Check estimate in hours",IF($E796=0,"Unestimated","Estimated"))))))</x:f>
      </x:c>
    </x:row>
    <x:row r="797">
      <x:c r="A797" s="12"/>
      <x:c r="B797" s="12"/>
      <x:c r="C797" s="12"/>
      <x:c r="D797" s="12"/>
      <x:c r="E797" s="14"/>
      <x:c r="F797" s="13" t="str">
        <x:f>IF($A797="","",IF($D797&lt;&gt;'Team Setup'!$B$4,"Other sprint",IF($C797="","Unassigned",IF(OR(ISNUMBER(SEARCH(",",$C797)),ISNUMBER(SEARCH(";",$C797))),"Multiple assignees",IF(COUNTIF('Team Setup'!$B$10:$B$34,$C797)=1,"Matched","Unmatched")))))</x:f>
      </x:c>
      <x:c r="G797" s="13" t="str">
        <x:f>IF($A797="","",IF($D797&lt;&gt;'Team Setup'!$B$4,"Other sprint",IF($E797="","Unestimated",IF(NOT(ISNUMBER($E797)),"Check estimate in hours",IF($E797&lt;0,"Check estimate in hours",IF($E797=0,"Unestimated","Estimated"))))))</x:f>
      </x:c>
    </x:row>
    <x:row r="798">
      <x:c r="A798" s="12"/>
      <x:c r="B798" s="12"/>
      <x:c r="C798" s="12"/>
      <x:c r="D798" s="12"/>
      <x:c r="E798" s="14"/>
      <x:c r="F798" s="13" t="str">
        <x:f>IF($A798="","",IF($D798&lt;&gt;'Team Setup'!$B$4,"Other sprint",IF($C798="","Unassigned",IF(OR(ISNUMBER(SEARCH(",",$C798)),ISNUMBER(SEARCH(";",$C798))),"Multiple assignees",IF(COUNTIF('Team Setup'!$B$10:$B$34,$C798)=1,"Matched","Unmatched")))))</x:f>
      </x:c>
      <x:c r="G798" s="13" t="str">
        <x:f>IF($A798="","",IF($D798&lt;&gt;'Team Setup'!$B$4,"Other sprint",IF($E798="","Unestimated",IF(NOT(ISNUMBER($E798)),"Check estimate in hours",IF($E798&lt;0,"Check estimate in hours",IF($E798=0,"Unestimated","Estimated"))))))</x:f>
      </x:c>
    </x:row>
    <x:row r="799">
      <x:c r="A799" s="12"/>
      <x:c r="B799" s="12"/>
      <x:c r="C799" s="12"/>
      <x:c r="D799" s="12"/>
      <x:c r="E799" s="14"/>
      <x:c r="F799" s="13" t="str">
        <x:f>IF($A799="","",IF($D799&lt;&gt;'Team Setup'!$B$4,"Other sprint",IF($C799="","Unassigned",IF(OR(ISNUMBER(SEARCH(",",$C799)),ISNUMBER(SEARCH(";",$C799))),"Multiple assignees",IF(COUNTIF('Team Setup'!$B$10:$B$34,$C799)=1,"Matched","Unmatched")))))</x:f>
      </x:c>
      <x:c r="G799" s="13" t="str">
        <x:f>IF($A799="","",IF($D799&lt;&gt;'Team Setup'!$B$4,"Other sprint",IF($E799="","Unestimated",IF(NOT(ISNUMBER($E799)),"Check estimate in hours",IF($E799&lt;0,"Check estimate in hours",IF($E799=0,"Unestimated","Estimated"))))))</x:f>
      </x:c>
    </x:row>
    <x:row r="800">
      <x:c r="A800" s="12"/>
      <x:c r="B800" s="12"/>
      <x:c r="C800" s="12"/>
      <x:c r="D800" s="12"/>
      <x:c r="E800" s="14"/>
      <x:c r="F800" s="13" t="str">
        <x:f>IF($A800="","",IF($D800&lt;&gt;'Team Setup'!$B$4,"Other sprint",IF($C800="","Unassigned",IF(OR(ISNUMBER(SEARCH(",",$C800)),ISNUMBER(SEARCH(";",$C800))),"Multiple assignees",IF(COUNTIF('Team Setup'!$B$10:$B$34,$C800)=1,"Matched","Unmatched")))))</x:f>
      </x:c>
      <x:c r="G800" s="13" t="str">
        <x:f>IF($A800="","",IF($D800&lt;&gt;'Team Setup'!$B$4,"Other sprint",IF($E800="","Unestimated",IF(NOT(ISNUMBER($E800)),"Check estimate in hours",IF($E800&lt;0,"Check estimate in hours",IF($E800=0,"Unestimated","Estimated"))))))</x:f>
      </x:c>
    </x:row>
    <x:row r="801">
      <x:c r="A801" s="12"/>
      <x:c r="B801" s="12"/>
      <x:c r="C801" s="12"/>
      <x:c r="D801" s="12"/>
      <x:c r="E801" s="14"/>
      <x:c r="F801" s="13" t="str">
        <x:f>IF($A801="","",IF($D801&lt;&gt;'Team Setup'!$B$4,"Other sprint",IF($C801="","Unassigned",IF(OR(ISNUMBER(SEARCH(",",$C801)),ISNUMBER(SEARCH(";",$C801))),"Multiple assignees",IF(COUNTIF('Team Setup'!$B$10:$B$34,$C801)=1,"Matched","Unmatched")))))</x:f>
      </x:c>
      <x:c r="G801" s="13" t="str">
        <x:f>IF($A801="","",IF($D801&lt;&gt;'Team Setup'!$B$4,"Other sprint",IF($E801="","Unestimated",IF(NOT(ISNUMBER($E801)),"Check estimate in hours",IF($E801&lt;0,"Check estimate in hours",IF($E801=0,"Unestimated","Estimated"))))))</x:f>
      </x:c>
    </x:row>
    <x:row r="802">
      <x:c r="A802" s="12"/>
      <x:c r="B802" s="12"/>
      <x:c r="C802" s="12"/>
      <x:c r="D802" s="12"/>
      <x:c r="E802" s="14"/>
      <x:c r="F802" s="13" t="str">
        <x:f>IF($A802="","",IF($D802&lt;&gt;'Team Setup'!$B$4,"Other sprint",IF($C802="","Unassigned",IF(OR(ISNUMBER(SEARCH(",",$C802)),ISNUMBER(SEARCH(";",$C802))),"Multiple assignees",IF(COUNTIF('Team Setup'!$B$10:$B$34,$C802)=1,"Matched","Unmatched")))))</x:f>
      </x:c>
      <x:c r="G802" s="13" t="str">
        <x:f>IF($A802="","",IF($D802&lt;&gt;'Team Setup'!$B$4,"Other sprint",IF($E802="","Unestimated",IF(NOT(ISNUMBER($E802)),"Check estimate in hours",IF($E802&lt;0,"Check estimate in hours",IF($E802=0,"Unestimated","Estimated"))))))</x:f>
      </x:c>
    </x:row>
    <x:row r="803">
      <x:c r="A803" s="12"/>
      <x:c r="B803" s="12"/>
      <x:c r="C803" s="12"/>
      <x:c r="D803" s="12"/>
      <x:c r="E803" s="14"/>
      <x:c r="F803" s="13" t="str">
        <x:f>IF($A803="","",IF($D803&lt;&gt;'Team Setup'!$B$4,"Other sprint",IF($C803="","Unassigned",IF(OR(ISNUMBER(SEARCH(",",$C803)),ISNUMBER(SEARCH(";",$C803))),"Multiple assignees",IF(COUNTIF('Team Setup'!$B$10:$B$34,$C803)=1,"Matched","Unmatched")))))</x:f>
      </x:c>
      <x:c r="G803" s="13" t="str">
        <x:f>IF($A803="","",IF($D803&lt;&gt;'Team Setup'!$B$4,"Other sprint",IF($E803="","Unestimated",IF(NOT(ISNUMBER($E803)),"Check estimate in hours",IF($E803&lt;0,"Check estimate in hours",IF($E803=0,"Unestimated","Estimated"))))))</x:f>
      </x:c>
    </x:row>
    <x:row r="804">
      <x:c r="A804" s="12"/>
      <x:c r="B804" s="12"/>
      <x:c r="C804" s="12"/>
      <x:c r="D804" s="12"/>
      <x:c r="E804" s="14"/>
      <x:c r="F804" s="13" t="str">
        <x:f>IF($A804="","",IF($D804&lt;&gt;'Team Setup'!$B$4,"Other sprint",IF($C804="","Unassigned",IF(OR(ISNUMBER(SEARCH(",",$C804)),ISNUMBER(SEARCH(";",$C804))),"Multiple assignees",IF(COUNTIF('Team Setup'!$B$10:$B$34,$C804)=1,"Matched","Unmatched")))))</x:f>
      </x:c>
      <x:c r="G804" s="13" t="str">
        <x:f>IF($A804="","",IF($D804&lt;&gt;'Team Setup'!$B$4,"Other sprint",IF($E804="","Unestimated",IF(NOT(ISNUMBER($E804)),"Check estimate in hours",IF($E804&lt;0,"Check estimate in hours",IF($E804=0,"Unestimated","Estimated"))))))</x:f>
      </x:c>
    </x:row>
    <x:row r="805">
      <x:c r="A805" s="12"/>
      <x:c r="B805" s="12"/>
      <x:c r="C805" s="12"/>
      <x:c r="D805" s="12"/>
      <x:c r="E805" s="14"/>
      <x:c r="F805" s="13" t="str">
        <x:f>IF($A805="","",IF($D805&lt;&gt;'Team Setup'!$B$4,"Other sprint",IF($C805="","Unassigned",IF(OR(ISNUMBER(SEARCH(",",$C805)),ISNUMBER(SEARCH(";",$C805))),"Multiple assignees",IF(COUNTIF('Team Setup'!$B$10:$B$34,$C805)=1,"Matched","Unmatched")))))</x:f>
      </x:c>
      <x:c r="G805" s="13" t="str">
        <x:f>IF($A805="","",IF($D805&lt;&gt;'Team Setup'!$B$4,"Other sprint",IF($E805="","Unestimated",IF(NOT(ISNUMBER($E805)),"Check estimate in hours",IF($E805&lt;0,"Check estimate in hours",IF($E805=0,"Unestimated","Estimated"))))))</x:f>
      </x:c>
    </x:row>
    <x:row r="806">
      <x:c r="A806" s="12"/>
      <x:c r="B806" s="12"/>
      <x:c r="C806" s="12"/>
      <x:c r="D806" s="12"/>
      <x:c r="E806" s="14"/>
      <x:c r="F806" s="13" t="str">
        <x:f>IF($A806="","",IF($D806&lt;&gt;'Team Setup'!$B$4,"Other sprint",IF($C806="","Unassigned",IF(OR(ISNUMBER(SEARCH(",",$C806)),ISNUMBER(SEARCH(";",$C806))),"Multiple assignees",IF(COUNTIF('Team Setup'!$B$10:$B$34,$C806)=1,"Matched","Unmatched")))))</x:f>
      </x:c>
      <x:c r="G806" s="13" t="str">
        <x:f>IF($A806="","",IF($D806&lt;&gt;'Team Setup'!$B$4,"Other sprint",IF($E806="","Unestimated",IF(NOT(ISNUMBER($E806)),"Check estimate in hours",IF($E806&lt;0,"Check estimate in hours",IF($E806=0,"Unestimated","Estimated"))))))</x:f>
      </x:c>
    </x:row>
    <x:row r="807">
      <x:c r="A807" s="12"/>
      <x:c r="B807" s="12"/>
      <x:c r="C807" s="12"/>
      <x:c r="D807" s="12"/>
      <x:c r="E807" s="14"/>
      <x:c r="F807" s="13" t="str">
        <x:f>IF($A807="","",IF($D807&lt;&gt;'Team Setup'!$B$4,"Other sprint",IF($C807="","Unassigned",IF(OR(ISNUMBER(SEARCH(",",$C807)),ISNUMBER(SEARCH(";",$C807))),"Multiple assignees",IF(COUNTIF('Team Setup'!$B$10:$B$34,$C807)=1,"Matched","Unmatched")))))</x:f>
      </x:c>
      <x:c r="G807" s="13" t="str">
        <x:f>IF($A807="","",IF($D807&lt;&gt;'Team Setup'!$B$4,"Other sprint",IF($E807="","Unestimated",IF(NOT(ISNUMBER($E807)),"Check estimate in hours",IF($E807&lt;0,"Check estimate in hours",IF($E807=0,"Unestimated","Estimated"))))))</x:f>
      </x:c>
    </x:row>
    <x:row r="808">
      <x:c r="A808" s="12"/>
      <x:c r="B808" s="12"/>
      <x:c r="C808" s="12"/>
      <x:c r="D808" s="12"/>
      <x:c r="E808" s="14"/>
      <x:c r="F808" s="13" t="str">
        <x:f>IF($A808="","",IF($D808&lt;&gt;'Team Setup'!$B$4,"Other sprint",IF($C808="","Unassigned",IF(OR(ISNUMBER(SEARCH(",",$C808)),ISNUMBER(SEARCH(";",$C808))),"Multiple assignees",IF(COUNTIF('Team Setup'!$B$10:$B$34,$C808)=1,"Matched","Unmatched")))))</x:f>
      </x:c>
      <x:c r="G808" s="13" t="str">
        <x:f>IF($A808="","",IF($D808&lt;&gt;'Team Setup'!$B$4,"Other sprint",IF($E808="","Unestimated",IF(NOT(ISNUMBER($E808)),"Check estimate in hours",IF($E808&lt;0,"Check estimate in hours",IF($E808=0,"Unestimated","Estimated"))))))</x:f>
      </x:c>
    </x:row>
    <x:row r="809">
      <x:c r="A809" s="12"/>
      <x:c r="B809" s="12"/>
      <x:c r="C809" s="12"/>
      <x:c r="D809" s="12"/>
      <x:c r="E809" s="14"/>
      <x:c r="F809" s="13" t="str">
        <x:f>IF($A809="","",IF($D809&lt;&gt;'Team Setup'!$B$4,"Other sprint",IF($C809="","Unassigned",IF(OR(ISNUMBER(SEARCH(",",$C809)),ISNUMBER(SEARCH(";",$C809))),"Multiple assignees",IF(COUNTIF('Team Setup'!$B$10:$B$34,$C809)=1,"Matched","Unmatched")))))</x:f>
      </x:c>
      <x:c r="G809" s="13" t="str">
        <x:f>IF($A809="","",IF($D809&lt;&gt;'Team Setup'!$B$4,"Other sprint",IF($E809="","Unestimated",IF(NOT(ISNUMBER($E809)),"Check estimate in hours",IF($E809&lt;0,"Check estimate in hours",IF($E809=0,"Unestimated","Estimated"))))))</x:f>
      </x:c>
    </x:row>
    <x:row r="810">
      <x:c r="A810" s="12"/>
      <x:c r="B810" s="12"/>
      <x:c r="C810" s="12"/>
      <x:c r="D810" s="12"/>
      <x:c r="E810" s="14"/>
      <x:c r="F810" s="13" t="str">
        <x:f>IF($A810="","",IF($D810&lt;&gt;'Team Setup'!$B$4,"Other sprint",IF($C810="","Unassigned",IF(OR(ISNUMBER(SEARCH(",",$C810)),ISNUMBER(SEARCH(";",$C810))),"Multiple assignees",IF(COUNTIF('Team Setup'!$B$10:$B$34,$C810)=1,"Matched","Unmatched")))))</x:f>
      </x:c>
      <x:c r="G810" s="13" t="str">
        <x:f>IF($A810="","",IF($D810&lt;&gt;'Team Setup'!$B$4,"Other sprint",IF($E810="","Unestimated",IF(NOT(ISNUMBER($E810)),"Check estimate in hours",IF($E810&lt;0,"Check estimate in hours",IF($E810=0,"Unestimated","Estimated"))))))</x:f>
      </x:c>
    </x:row>
    <x:row r="811">
      <x:c r="A811" s="12"/>
      <x:c r="B811" s="12"/>
      <x:c r="C811" s="12"/>
      <x:c r="D811" s="12"/>
      <x:c r="E811" s="14"/>
      <x:c r="F811" s="13" t="str">
        <x:f>IF($A811="","",IF($D811&lt;&gt;'Team Setup'!$B$4,"Other sprint",IF($C811="","Unassigned",IF(OR(ISNUMBER(SEARCH(",",$C811)),ISNUMBER(SEARCH(";",$C811))),"Multiple assignees",IF(COUNTIF('Team Setup'!$B$10:$B$34,$C811)=1,"Matched","Unmatched")))))</x:f>
      </x:c>
      <x:c r="G811" s="13" t="str">
        <x:f>IF($A811="","",IF($D811&lt;&gt;'Team Setup'!$B$4,"Other sprint",IF($E811="","Unestimated",IF(NOT(ISNUMBER($E811)),"Check estimate in hours",IF($E811&lt;0,"Check estimate in hours",IF($E811=0,"Unestimated","Estimated"))))))</x:f>
      </x:c>
    </x:row>
    <x:row r="812">
      <x:c r="A812" s="12"/>
      <x:c r="B812" s="12"/>
      <x:c r="C812" s="12"/>
      <x:c r="D812" s="12"/>
      <x:c r="E812" s="14"/>
      <x:c r="F812" s="13" t="str">
        <x:f>IF($A812="","",IF($D812&lt;&gt;'Team Setup'!$B$4,"Other sprint",IF($C812="","Unassigned",IF(OR(ISNUMBER(SEARCH(",",$C812)),ISNUMBER(SEARCH(";",$C812))),"Multiple assignees",IF(COUNTIF('Team Setup'!$B$10:$B$34,$C812)=1,"Matched","Unmatched")))))</x:f>
      </x:c>
      <x:c r="G812" s="13" t="str">
        <x:f>IF($A812="","",IF($D812&lt;&gt;'Team Setup'!$B$4,"Other sprint",IF($E812="","Unestimated",IF(NOT(ISNUMBER($E812)),"Check estimate in hours",IF($E812&lt;0,"Check estimate in hours",IF($E812=0,"Unestimated","Estimated"))))))</x:f>
      </x:c>
    </x:row>
    <x:row r="813">
      <x:c r="A813" s="12"/>
      <x:c r="B813" s="12"/>
      <x:c r="C813" s="12"/>
      <x:c r="D813" s="12"/>
      <x:c r="E813" s="14"/>
      <x:c r="F813" s="13" t="str">
        <x:f>IF($A813="","",IF($D813&lt;&gt;'Team Setup'!$B$4,"Other sprint",IF($C813="","Unassigned",IF(OR(ISNUMBER(SEARCH(",",$C813)),ISNUMBER(SEARCH(";",$C813))),"Multiple assignees",IF(COUNTIF('Team Setup'!$B$10:$B$34,$C813)=1,"Matched","Unmatched")))))</x:f>
      </x:c>
      <x:c r="G813" s="13" t="str">
        <x:f>IF($A813="","",IF($D813&lt;&gt;'Team Setup'!$B$4,"Other sprint",IF($E813="","Unestimated",IF(NOT(ISNUMBER($E813)),"Check estimate in hours",IF($E813&lt;0,"Check estimate in hours",IF($E813=0,"Unestimated","Estimated"))))))</x:f>
      </x:c>
    </x:row>
    <x:row r="814">
      <x:c r="A814" s="12"/>
      <x:c r="B814" s="12"/>
      <x:c r="C814" s="12"/>
      <x:c r="D814" s="12"/>
      <x:c r="E814" s="14"/>
      <x:c r="F814" s="13" t="str">
        <x:f>IF($A814="","",IF($D814&lt;&gt;'Team Setup'!$B$4,"Other sprint",IF($C814="","Unassigned",IF(OR(ISNUMBER(SEARCH(",",$C814)),ISNUMBER(SEARCH(";",$C814))),"Multiple assignees",IF(COUNTIF('Team Setup'!$B$10:$B$34,$C814)=1,"Matched","Unmatched")))))</x:f>
      </x:c>
      <x:c r="G814" s="13" t="str">
        <x:f>IF($A814="","",IF($D814&lt;&gt;'Team Setup'!$B$4,"Other sprint",IF($E814="","Unestimated",IF(NOT(ISNUMBER($E814)),"Check estimate in hours",IF($E814&lt;0,"Check estimate in hours",IF($E814=0,"Unestimated","Estimated"))))))</x:f>
      </x:c>
    </x:row>
    <x:row r="815">
      <x:c r="A815" s="12"/>
      <x:c r="B815" s="12"/>
      <x:c r="C815" s="12"/>
      <x:c r="D815" s="12"/>
      <x:c r="E815" s="14"/>
      <x:c r="F815" s="13" t="str">
        <x:f>IF($A815="","",IF($D815&lt;&gt;'Team Setup'!$B$4,"Other sprint",IF($C815="","Unassigned",IF(OR(ISNUMBER(SEARCH(",",$C815)),ISNUMBER(SEARCH(";",$C815))),"Multiple assignees",IF(COUNTIF('Team Setup'!$B$10:$B$34,$C815)=1,"Matched","Unmatched")))))</x:f>
      </x:c>
      <x:c r="G815" s="13" t="str">
        <x:f>IF($A815="","",IF($D815&lt;&gt;'Team Setup'!$B$4,"Other sprint",IF($E815="","Unestimated",IF(NOT(ISNUMBER($E815)),"Check estimate in hours",IF($E815&lt;0,"Check estimate in hours",IF($E815=0,"Unestimated","Estimated"))))))</x:f>
      </x:c>
    </x:row>
    <x:row r="816">
      <x:c r="A816" s="12"/>
      <x:c r="B816" s="12"/>
      <x:c r="C816" s="12"/>
      <x:c r="D816" s="12"/>
      <x:c r="E816" s="14"/>
      <x:c r="F816" s="13" t="str">
        <x:f>IF($A816="","",IF($D816&lt;&gt;'Team Setup'!$B$4,"Other sprint",IF($C816="","Unassigned",IF(OR(ISNUMBER(SEARCH(",",$C816)),ISNUMBER(SEARCH(";",$C816))),"Multiple assignees",IF(COUNTIF('Team Setup'!$B$10:$B$34,$C816)=1,"Matched","Unmatched")))))</x:f>
      </x:c>
      <x:c r="G816" s="13" t="str">
        <x:f>IF($A816="","",IF($D816&lt;&gt;'Team Setup'!$B$4,"Other sprint",IF($E816="","Unestimated",IF(NOT(ISNUMBER($E816)),"Check estimate in hours",IF($E816&lt;0,"Check estimate in hours",IF($E816=0,"Unestimated","Estimated"))))))</x:f>
      </x:c>
    </x:row>
    <x:row r="817">
      <x:c r="A817" s="12"/>
      <x:c r="B817" s="12"/>
      <x:c r="C817" s="12"/>
      <x:c r="D817" s="12"/>
      <x:c r="E817" s="14"/>
      <x:c r="F817" s="13" t="str">
        <x:f>IF($A817="","",IF($D817&lt;&gt;'Team Setup'!$B$4,"Other sprint",IF($C817="","Unassigned",IF(OR(ISNUMBER(SEARCH(",",$C817)),ISNUMBER(SEARCH(";",$C817))),"Multiple assignees",IF(COUNTIF('Team Setup'!$B$10:$B$34,$C817)=1,"Matched","Unmatched")))))</x:f>
      </x:c>
      <x:c r="G817" s="13" t="str">
        <x:f>IF($A817="","",IF($D817&lt;&gt;'Team Setup'!$B$4,"Other sprint",IF($E817="","Unestimated",IF(NOT(ISNUMBER($E817)),"Check estimate in hours",IF($E817&lt;0,"Check estimate in hours",IF($E817=0,"Unestimated","Estimated"))))))</x:f>
      </x:c>
    </x:row>
    <x:row r="818">
      <x:c r="A818" s="12"/>
      <x:c r="B818" s="12"/>
      <x:c r="C818" s="12"/>
      <x:c r="D818" s="12"/>
      <x:c r="E818" s="14"/>
      <x:c r="F818" s="13" t="str">
        <x:f>IF($A818="","",IF($D818&lt;&gt;'Team Setup'!$B$4,"Other sprint",IF($C818="","Unassigned",IF(OR(ISNUMBER(SEARCH(",",$C818)),ISNUMBER(SEARCH(";",$C818))),"Multiple assignees",IF(COUNTIF('Team Setup'!$B$10:$B$34,$C818)=1,"Matched","Unmatched")))))</x:f>
      </x:c>
      <x:c r="G818" s="13" t="str">
        <x:f>IF($A818="","",IF($D818&lt;&gt;'Team Setup'!$B$4,"Other sprint",IF($E818="","Unestimated",IF(NOT(ISNUMBER($E818)),"Check estimate in hours",IF($E818&lt;0,"Check estimate in hours",IF($E818=0,"Unestimated","Estimated"))))))</x:f>
      </x:c>
    </x:row>
    <x:row r="819">
      <x:c r="A819" s="12"/>
      <x:c r="B819" s="12"/>
      <x:c r="C819" s="12"/>
      <x:c r="D819" s="12"/>
      <x:c r="E819" s="14"/>
      <x:c r="F819" s="13" t="str">
        <x:f>IF($A819="","",IF($D819&lt;&gt;'Team Setup'!$B$4,"Other sprint",IF($C819="","Unassigned",IF(OR(ISNUMBER(SEARCH(",",$C819)),ISNUMBER(SEARCH(";",$C819))),"Multiple assignees",IF(COUNTIF('Team Setup'!$B$10:$B$34,$C819)=1,"Matched","Unmatched")))))</x:f>
      </x:c>
      <x:c r="G819" s="13" t="str">
        <x:f>IF($A819="","",IF($D819&lt;&gt;'Team Setup'!$B$4,"Other sprint",IF($E819="","Unestimated",IF(NOT(ISNUMBER($E819)),"Check estimate in hours",IF($E819&lt;0,"Check estimate in hours",IF($E819=0,"Unestimated","Estimated"))))))</x:f>
      </x:c>
    </x:row>
    <x:row r="820">
      <x:c r="A820" s="12"/>
      <x:c r="B820" s="12"/>
      <x:c r="C820" s="12"/>
      <x:c r="D820" s="12"/>
      <x:c r="E820" s="14"/>
      <x:c r="F820" s="13" t="str">
        <x:f>IF($A820="","",IF($D820&lt;&gt;'Team Setup'!$B$4,"Other sprint",IF($C820="","Unassigned",IF(OR(ISNUMBER(SEARCH(",",$C820)),ISNUMBER(SEARCH(";",$C820))),"Multiple assignees",IF(COUNTIF('Team Setup'!$B$10:$B$34,$C820)=1,"Matched","Unmatched")))))</x:f>
      </x:c>
      <x:c r="G820" s="13" t="str">
        <x:f>IF($A820="","",IF($D820&lt;&gt;'Team Setup'!$B$4,"Other sprint",IF($E820="","Unestimated",IF(NOT(ISNUMBER($E820)),"Check estimate in hours",IF($E820&lt;0,"Check estimate in hours",IF($E820=0,"Unestimated","Estimated"))))))</x:f>
      </x:c>
    </x:row>
    <x:row r="821">
      <x:c r="A821" s="12"/>
      <x:c r="B821" s="12"/>
      <x:c r="C821" s="12"/>
      <x:c r="D821" s="12"/>
      <x:c r="E821" s="14"/>
      <x:c r="F821" s="13" t="str">
        <x:f>IF($A821="","",IF($D821&lt;&gt;'Team Setup'!$B$4,"Other sprint",IF($C821="","Unassigned",IF(OR(ISNUMBER(SEARCH(",",$C821)),ISNUMBER(SEARCH(";",$C821))),"Multiple assignees",IF(COUNTIF('Team Setup'!$B$10:$B$34,$C821)=1,"Matched","Unmatched")))))</x:f>
      </x:c>
      <x:c r="G821" s="13" t="str">
        <x:f>IF($A821="","",IF($D821&lt;&gt;'Team Setup'!$B$4,"Other sprint",IF($E821="","Unestimated",IF(NOT(ISNUMBER($E821)),"Check estimate in hours",IF($E821&lt;0,"Check estimate in hours",IF($E821=0,"Unestimated","Estimated"))))))</x:f>
      </x:c>
    </x:row>
    <x:row r="822">
      <x:c r="A822" s="12"/>
      <x:c r="B822" s="12"/>
      <x:c r="C822" s="12"/>
      <x:c r="D822" s="12"/>
      <x:c r="E822" s="14"/>
      <x:c r="F822" s="13" t="str">
        <x:f>IF($A822="","",IF($D822&lt;&gt;'Team Setup'!$B$4,"Other sprint",IF($C822="","Unassigned",IF(OR(ISNUMBER(SEARCH(",",$C822)),ISNUMBER(SEARCH(";",$C822))),"Multiple assignees",IF(COUNTIF('Team Setup'!$B$10:$B$34,$C822)=1,"Matched","Unmatched")))))</x:f>
      </x:c>
      <x:c r="G822" s="13" t="str">
        <x:f>IF($A822="","",IF($D822&lt;&gt;'Team Setup'!$B$4,"Other sprint",IF($E822="","Unestimated",IF(NOT(ISNUMBER($E822)),"Check estimate in hours",IF($E822&lt;0,"Check estimate in hours",IF($E822=0,"Unestimated","Estimated"))))))</x:f>
      </x:c>
    </x:row>
    <x:row r="823">
      <x:c r="A823" s="12"/>
      <x:c r="B823" s="12"/>
      <x:c r="C823" s="12"/>
      <x:c r="D823" s="12"/>
      <x:c r="E823" s="14"/>
      <x:c r="F823" s="13" t="str">
        <x:f>IF($A823="","",IF($D823&lt;&gt;'Team Setup'!$B$4,"Other sprint",IF($C823="","Unassigned",IF(OR(ISNUMBER(SEARCH(",",$C823)),ISNUMBER(SEARCH(";",$C823))),"Multiple assignees",IF(COUNTIF('Team Setup'!$B$10:$B$34,$C823)=1,"Matched","Unmatched")))))</x:f>
      </x:c>
      <x:c r="G823" s="13" t="str">
        <x:f>IF($A823="","",IF($D823&lt;&gt;'Team Setup'!$B$4,"Other sprint",IF($E823="","Unestimated",IF(NOT(ISNUMBER($E823)),"Check estimate in hours",IF($E823&lt;0,"Check estimate in hours",IF($E823=0,"Unestimated","Estimated"))))))</x:f>
      </x:c>
    </x:row>
    <x:row r="824">
      <x:c r="A824" s="12"/>
      <x:c r="B824" s="12"/>
      <x:c r="C824" s="12"/>
      <x:c r="D824" s="12"/>
      <x:c r="E824" s="14"/>
      <x:c r="F824" s="13" t="str">
        <x:f>IF($A824="","",IF($D824&lt;&gt;'Team Setup'!$B$4,"Other sprint",IF($C824="","Unassigned",IF(OR(ISNUMBER(SEARCH(",",$C824)),ISNUMBER(SEARCH(";",$C824))),"Multiple assignees",IF(COUNTIF('Team Setup'!$B$10:$B$34,$C824)=1,"Matched","Unmatched")))))</x:f>
      </x:c>
      <x:c r="G824" s="13" t="str">
        <x:f>IF($A824="","",IF($D824&lt;&gt;'Team Setup'!$B$4,"Other sprint",IF($E824="","Unestimated",IF(NOT(ISNUMBER($E824)),"Check estimate in hours",IF($E824&lt;0,"Check estimate in hours",IF($E824=0,"Unestimated","Estimated"))))))</x:f>
      </x:c>
    </x:row>
    <x:row r="825">
      <x:c r="A825" s="12"/>
      <x:c r="B825" s="12"/>
      <x:c r="C825" s="12"/>
      <x:c r="D825" s="12"/>
      <x:c r="E825" s="14"/>
      <x:c r="F825" s="13" t="str">
        <x:f>IF($A825="","",IF($D825&lt;&gt;'Team Setup'!$B$4,"Other sprint",IF($C825="","Unassigned",IF(OR(ISNUMBER(SEARCH(",",$C825)),ISNUMBER(SEARCH(";",$C825))),"Multiple assignees",IF(COUNTIF('Team Setup'!$B$10:$B$34,$C825)=1,"Matched","Unmatched")))))</x:f>
      </x:c>
      <x:c r="G825" s="13" t="str">
        <x:f>IF($A825="","",IF($D825&lt;&gt;'Team Setup'!$B$4,"Other sprint",IF($E825="","Unestimated",IF(NOT(ISNUMBER($E825)),"Check estimate in hours",IF($E825&lt;0,"Check estimate in hours",IF($E825=0,"Unestimated","Estimated"))))))</x:f>
      </x:c>
    </x:row>
    <x:row r="826">
      <x:c r="A826" s="12"/>
      <x:c r="B826" s="12"/>
      <x:c r="C826" s="12"/>
      <x:c r="D826" s="12"/>
      <x:c r="E826" s="14"/>
      <x:c r="F826" s="13" t="str">
        <x:f>IF($A826="","",IF($D826&lt;&gt;'Team Setup'!$B$4,"Other sprint",IF($C826="","Unassigned",IF(OR(ISNUMBER(SEARCH(",",$C826)),ISNUMBER(SEARCH(";",$C826))),"Multiple assignees",IF(COUNTIF('Team Setup'!$B$10:$B$34,$C826)=1,"Matched","Unmatched")))))</x:f>
      </x:c>
      <x:c r="G826" s="13" t="str">
        <x:f>IF($A826="","",IF($D826&lt;&gt;'Team Setup'!$B$4,"Other sprint",IF($E826="","Unestimated",IF(NOT(ISNUMBER($E826)),"Check estimate in hours",IF($E826&lt;0,"Check estimate in hours",IF($E826=0,"Unestimated","Estimated"))))))</x:f>
      </x:c>
    </x:row>
    <x:row r="827">
      <x:c r="A827" s="12"/>
      <x:c r="B827" s="12"/>
      <x:c r="C827" s="12"/>
      <x:c r="D827" s="12"/>
      <x:c r="E827" s="14"/>
      <x:c r="F827" s="13" t="str">
        <x:f>IF($A827="","",IF($D827&lt;&gt;'Team Setup'!$B$4,"Other sprint",IF($C827="","Unassigned",IF(OR(ISNUMBER(SEARCH(",",$C827)),ISNUMBER(SEARCH(";",$C827))),"Multiple assignees",IF(COUNTIF('Team Setup'!$B$10:$B$34,$C827)=1,"Matched","Unmatched")))))</x:f>
      </x:c>
      <x:c r="G827" s="13" t="str">
        <x:f>IF($A827="","",IF($D827&lt;&gt;'Team Setup'!$B$4,"Other sprint",IF($E827="","Unestimated",IF(NOT(ISNUMBER($E827)),"Check estimate in hours",IF($E827&lt;0,"Check estimate in hours",IF($E827=0,"Unestimated","Estimated"))))))</x:f>
      </x:c>
    </x:row>
    <x:row r="828">
      <x:c r="A828" s="12"/>
      <x:c r="B828" s="12"/>
      <x:c r="C828" s="12"/>
      <x:c r="D828" s="12"/>
      <x:c r="E828" s="14"/>
      <x:c r="F828" s="13" t="str">
        <x:f>IF($A828="","",IF($D828&lt;&gt;'Team Setup'!$B$4,"Other sprint",IF($C828="","Unassigned",IF(OR(ISNUMBER(SEARCH(",",$C828)),ISNUMBER(SEARCH(";",$C828))),"Multiple assignees",IF(COUNTIF('Team Setup'!$B$10:$B$34,$C828)=1,"Matched","Unmatched")))))</x:f>
      </x:c>
      <x:c r="G828" s="13" t="str">
        <x:f>IF($A828="","",IF($D828&lt;&gt;'Team Setup'!$B$4,"Other sprint",IF($E828="","Unestimated",IF(NOT(ISNUMBER($E828)),"Check estimate in hours",IF($E828&lt;0,"Check estimate in hours",IF($E828=0,"Unestimated","Estimated"))))))</x:f>
      </x:c>
    </x:row>
    <x:row r="829">
      <x:c r="A829" s="12"/>
      <x:c r="B829" s="12"/>
      <x:c r="C829" s="12"/>
      <x:c r="D829" s="12"/>
      <x:c r="E829" s="14"/>
      <x:c r="F829" s="13" t="str">
        <x:f>IF($A829="","",IF($D829&lt;&gt;'Team Setup'!$B$4,"Other sprint",IF($C829="","Unassigned",IF(OR(ISNUMBER(SEARCH(",",$C829)),ISNUMBER(SEARCH(";",$C829))),"Multiple assignees",IF(COUNTIF('Team Setup'!$B$10:$B$34,$C829)=1,"Matched","Unmatched")))))</x:f>
      </x:c>
      <x:c r="G829" s="13" t="str">
        <x:f>IF($A829="","",IF($D829&lt;&gt;'Team Setup'!$B$4,"Other sprint",IF($E829="","Unestimated",IF(NOT(ISNUMBER($E829)),"Check estimate in hours",IF($E829&lt;0,"Check estimate in hours",IF($E829=0,"Unestimated","Estimated"))))))</x:f>
      </x:c>
    </x:row>
    <x:row r="830">
      <x:c r="A830" s="12"/>
      <x:c r="B830" s="12"/>
      <x:c r="C830" s="12"/>
      <x:c r="D830" s="12"/>
      <x:c r="E830" s="14"/>
      <x:c r="F830" s="13" t="str">
        <x:f>IF($A830="","",IF($D830&lt;&gt;'Team Setup'!$B$4,"Other sprint",IF($C830="","Unassigned",IF(OR(ISNUMBER(SEARCH(",",$C830)),ISNUMBER(SEARCH(";",$C830))),"Multiple assignees",IF(COUNTIF('Team Setup'!$B$10:$B$34,$C830)=1,"Matched","Unmatched")))))</x:f>
      </x:c>
      <x:c r="G830" s="13" t="str">
        <x:f>IF($A830="","",IF($D830&lt;&gt;'Team Setup'!$B$4,"Other sprint",IF($E830="","Unestimated",IF(NOT(ISNUMBER($E830)),"Check estimate in hours",IF($E830&lt;0,"Check estimate in hours",IF($E830=0,"Unestimated","Estimated"))))))</x:f>
      </x:c>
    </x:row>
    <x:row r="831">
      <x:c r="A831" s="12"/>
      <x:c r="B831" s="12"/>
      <x:c r="C831" s="12"/>
      <x:c r="D831" s="12"/>
      <x:c r="E831" s="14"/>
      <x:c r="F831" s="13" t="str">
        <x:f>IF($A831="","",IF($D831&lt;&gt;'Team Setup'!$B$4,"Other sprint",IF($C831="","Unassigned",IF(OR(ISNUMBER(SEARCH(",",$C831)),ISNUMBER(SEARCH(";",$C831))),"Multiple assignees",IF(COUNTIF('Team Setup'!$B$10:$B$34,$C831)=1,"Matched","Unmatched")))))</x:f>
      </x:c>
      <x:c r="G831" s="13" t="str">
        <x:f>IF($A831="","",IF($D831&lt;&gt;'Team Setup'!$B$4,"Other sprint",IF($E831="","Unestimated",IF(NOT(ISNUMBER($E831)),"Check estimate in hours",IF($E831&lt;0,"Check estimate in hours",IF($E831=0,"Unestimated","Estimated"))))))</x:f>
      </x:c>
    </x:row>
    <x:row r="832">
      <x:c r="A832" s="12"/>
      <x:c r="B832" s="12"/>
      <x:c r="C832" s="12"/>
      <x:c r="D832" s="12"/>
      <x:c r="E832" s="14"/>
      <x:c r="F832" s="13" t="str">
        <x:f>IF($A832="","",IF($D832&lt;&gt;'Team Setup'!$B$4,"Other sprint",IF($C832="","Unassigned",IF(OR(ISNUMBER(SEARCH(",",$C832)),ISNUMBER(SEARCH(";",$C832))),"Multiple assignees",IF(COUNTIF('Team Setup'!$B$10:$B$34,$C832)=1,"Matched","Unmatched")))))</x:f>
      </x:c>
      <x:c r="G832" s="13" t="str">
        <x:f>IF($A832="","",IF($D832&lt;&gt;'Team Setup'!$B$4,"Other sprint",IF($E832="","Unestimated",IF(NOT(ISNUMBER($E832)),"Check estimate in hours",IF($E832&lt;0,"Check estimate in hours",IF($E832=0,"Unestimated","Estimated"))))))</x:f>
      </x:c>
    </x:row>
    <x:row r="833">
      <x:c r="A833" s="12"/>
      <x:c r="B833" s="12"/>
      <x:c r="C833" s="12"/>
      <x:c r="D833" s="12"/>
      <x:c r="E833" s="14"/>
      <x:c r="F833" s="13" t="str">
        <x:f>IF($A833="","",IF($D833&lt;&gt;'Team Setup'!$B$4,"Other sprint",IF($C833="","Unassigned",IF(OR(ISNUMBER(SEARCH(",",$C833)),ISNUMBER(SEARCH(";",$C833))),"Multiple assignees",IF(COUNTIF('Team Setup'!$B$10:$B$34,$C833)=1,"Matched","Unmatched")))))</x:f>
      </x:c>
      <x:c r="G833" s="13" t="str">
        <x:f>IF($A833="","",IF($D833&lt;&gt;'Team Setup'!$B$4,"Other sprint",IF($E833="","Unestimated",IF(NOT(ISNUMBER($E833)),"Check estimate in hours",IF($E833&lt;0,"Check estimate in hours",IF($E833=0,"Unestimated","Estimated"))))))</x:f>
      </x:c>
    </x:row>
    <x:row r="834">
      <x:c r="A834" s="12"/>
      <x:c r="B834" s="12"/>
      <x:c r="C834" s="12"/>
      <x:c r="D834" s="12"/>
      <x:c r="E834" s="14"/>
      <x:c r="F834" s="13" t="str">
        <x:f>IF($A834="","",IF($D834&lt;&gt;'Team Setup'!$B$4,"Other sprint",IF($C834="","Unassigned",IF(OR(ISNUMBER(SEARCH(",",$C834)),ISNUMBER(SEARCH(";",$C834))),"Multiple assignees",IF(COUNTIF('Team Setup'!$B$10:$B$34,$C834)=1,"Matched","Unmatched")))))</x:f>
      </x:c>
      <x:c r="G834" s="13" t="str">
        <x:f>IF($A834="","",IF($D834&lt;&gt;'Team Setup'!$B$4,"Other sprint",IF($E834="","Unestimated",IF(NOT(ISNUMBER($E834)),"Check estimate in hours",IF($E834&lt;0,"Check estimate in hours",IF($E834=0,"Unestimated","Estimated"))))))</x:f>
      </x:c>
    </x:row>
    <x:row r="835">
      <x:c r="A835" s="12"/>
      <x:c r="B835" s="12"/>
      <x:c r="C835" s="12"/>
      <x:c r="D835" s="12"/>
      <x:c r="E835" s="14"/>
      <x:c r="F835" s="13" t="str">
        <x:f>IF($A835="","",IF($D835&lt;&gt;'Team Setup'!$B$4,"Other sprint",IF($C835="","Unassigned",IF(OR(ISNUMBER(SEARCH(",",$C835)),ISNUMBER(SEARCH(";",$C835))),"Multiple assignees",IF(COUNTIF('Team Setup'!$B$10:$B$34,$C835)=1,"Matched","Unmatched")))))</x:f>
      </x:c>
      <x:c r="G835" s="13" t="str">
        <x:f>IF($A835="","",IF($D835&lt;&gt;'Team Setup'!$B$4,"Other sprint",IF($E835="","Unestimated",IF(NOT(ISNUMBER($E835)),"Check estimate in hours",IF($E835&lt;0,"Check estimate in hours",IF($E835=0,"Unestimated","Estimated"))))))</x:f>
      </x:c>
    </x:row>
    <x:row r="836">
      <x:c r="A836" s="12"/>
      <x:c r="B836" s="12"/>
      <x:c r="C836" s="12"/>
      <x:c r="D836" s="12"/>
      <x:c r="E836" s="14"/>
      <x:c r="F836" s="13" t="str">
        <x:f>IF($A836="","",IF($D836&lt;&gt;'Team Setup'!$B$4,"Other sprint",IF($C836="","Unassigned",IF(OR(ISNUMBER(SEARCH(",",$C836)),ISNUMBER(SEARCH(";",$C836))),"Multiple assignees",IF(COUNTIF('Team Setup'!$B$10:$B$34,$C836)=1,"Matched","Unmatched")))))</x:f>
      </x:c>
      <x:c r="G836" s="13" t="str">
        <x:f>IF($A836="","",IF($D836&lt;&gt;'Team Setup'!$B$4,"Other sprint",IF($E836="","Unestimated",IF(NOT(ISNUMBER($E836)),"Check estimate in hours",IF($E836&lt;0,"Check estimate in hours",IF($E836=0,"Unestimated","Estimated"))))))</x:f>
      </x:c>
    </x:row>
    <x:row r="837">
      <x:c r="A837" s="12"/>
      <x:c r="B837" s="12"/>
      <x:c r="C837" s="12"/>
      <x:c r="D837" s="12"/>
      <x:c r="E837" s="14"/>
      <x:c r="F837" s="13" t="str">
        <x:f>IF($A837="","",IF($D837&lt;&gt;'Team Setup'!$B$4,"Other sprint",IF($C837="","Unassigned",IF(OR(ISNUMBER(SEARCH(",",$C837)),ISNUMBER(SEARCH(";",$C837))),"Multiple assignees",IF(COUNTIF('Team Setup'!$B$10:$B$34,$C837)=1,"Matched","Unmatched")))))</x:f>
      </x:c>
      <x:c r="G837" s="13" t="str">
        <x:f>IF($A837="","",IF($D837&lt;&gt;'Team Setup'!$B$4,"Other sprint",IF($E837="","Unestimated",IF(NOT(ISNUMBER($E837)),"Check estimate in hours",IF($E837&lt;0,"Check estimate in hours",IF($E837=0,"Unestimated","Estimated"))))))</x:f>
      </x:c>
    </x:row>
    <x:row r="838">
      <x:c r="A838" s="12"/>
      <x:c r="B838" s="12"/>
      <x:c r="C838" s="12"/>
      <x:c r="D838" s="12"/>
      <x:c r="E838" s="14"/>
      <x:c r="F838" s="13" t="str">
        <x:f>IF($A838="","",IF($D838&lt;&gt;'Team Setup'!$B$4,"Other sprint",IF($C838="","Unassigned",IF(OR(ISNUMBER(SEARCH(",",$C838)),ISNUMBER(SEARCH(";",$C838))),"Multiple assignees",IF(COUNTIF('Team Setup'!$B$10:$B$34,$C838)=1,"Matched","Unmatched")))))</x:f>
      </x:c>
      <x:c r="G838" s="13" t="str">
        <x:f>IF($A838="","",IF($D838&lt;&gt;'Team Setup'!$B$4,"Other sprint",IF($E838="","Unestimated",IF(NOT(ISNUMBER($E838)),"Check estimate in hours",IF($E838&lt;0,"Check estimate in hours",IF($E838=0,"Unestimated","Estimated"))))))</x:f>
      </x:c>
    </x:row>
    <x:row r="839">
      <x:c r="A839" s="12"/>
      <x:c r="B839" s="12"/>
      <x:c r="C839" s="12"/>
      <x:c r="D839" s="12"/>
      <x:c r="E839" s="14"/>
      <x:c r="F839" s="13" t="str">
        <x:f>IF($A839="","",IF($D839&lt;&gt;'Team Setup'!$B$4,"Other sprint",IF($C839="","Unassigned",IF(OR(ISNUMBER(SEARCH(",",$C839)),ISNUMBER(SEARCH(";",$C839))),"Multiple assignees",IF(COUNTIF('Team Setup'!$B$10:$B$34,$C839)=1,"Matched","Unmatched")))))</x:f>
      </x:c>
      <x:c r="G839" s="13" t="str">
        <x:f>IF($A839="","",IF($D839&lt;&gt;'Team Setup'!$B$4,"Other sprint",IF($E839="","Unestimated",IF(NOT(ISNUMBER($E839)),"Check estimate in hours",IF($E839&lt;0,"Check estimate in hours",IF($E839=0,"Unestimated","Estimated"))))))</x:f>
      </x:c>
    </x:row>
    <x:row r="840">
      <x:c r="A840" s="12"/>
      <x:c r="B840" s="12"/>
      <x:c r="C840" s="12"/>
      <x:c r="D840" s="12"/>
      <x:c r="E840" s="14"/>
      <x:c r="F840" s="13" t="str">
        <x:f>IF($A840="","",IF($D840&lt;&gt;'Team Setup'!$B$4,"Other sprint",IF($C840="","Unassigned",IF(OR(ISNUMBER(SEARCH(",",$C840)),ISNUMBER(SEARCH(";",$C840))),"Multiple assignees",IF(COUNTIF('Team Setup'!$B$10:$B$34,$C840)=1,"Matched","Unmatched")))))</x:f>
      </x:c>
      <x:c r="G840" s="13" t="str">
        <x:f>IF($A840="","",IF($D840&lt;&gt;'Team Setup'!$B$4,"Other sprint",IF($E840="","Unestimated",IF(NOT(ISNUMBER($E840)),"Check estimate in hours",IF($E840&lt;0,"Check estimate in hours",IF($E840=0,"Unestimated","Estimated"))))))</x:f>
      </x:c>
    </x:row>
    <x:row r="841">
      <x:c r="A841" s="12"/>
      <x:c r="B841" s="12"/>
      <x:c r="C841" s="12"/>
      <x:c r="D841" s="12"/>
      <x:c r="E841" s="14"/>
      <x:c r="F841" s="13" t="str">
        <x:f>IF($A841="","",IF($D841&lt;&gt;'Team Setup'!$B$4,"Other sprint",IF($C841="","Unassigned",IF(OR(ISNUMBER(SEARCH(",",$C841)),ISNUMBER(SEARCH(";",$C841))),"Multiple assignees",IF(COUNTIF('Team Setup'!$B$10:$B$34,$C841)=1,"Matched","Unmatched")))))</x:f>
      </x:c>
      <x:c r="G841" s="13" t="str">
        <x:f>IF($A841="","",IF($D841&lt;&gt;'Team Setup'!$B$4,"Other sprint",IF($E841="","Unestimated",IF(NOT(ISNUMBER($E841)),"Check estimate in hours",IF($E841&lt;0,"Check estimate in hours",IF($E841=0,"Unestimated","Estimated"))))))</x:f>
      </x:c>
    </x:row>
    <x:row r="842">
      <x:c r="A842" s="12"/>
      <x:c r="B842" s="12"/>
      <x:c r="C842" s="12"/>
      <x:c r="D842" s="12"/>
      <x:c r="E842" s="14"/>
      <x:c r="F842" s="13" t="str">
        <x:f>IF($A842="","",IF($D842&lt;&gt;'Team Setup'!$B$4,"Other sprint",IF($C842="","Unassigned",IF(OR(ISNUMBER(SEARCH(",",$C842)),ISNUMBER(SEARCH(";",$C842))),"Multiple assignees",IF(COUNTIF('Team Setup'!$B$10:$B$34,$C842)=1,"Matched","Unmatched")))))</x:f>
      </x:c>
      <x:c r="G842" s="13" t="str">
        <x:f>IF($A842="","",IF($D842&lt;&gt;'Team Setup'!$B$4,"Other sprint",IF($E842="","Unestimated",IF(NOT(ISNUMBER($E842)),"Check estimate in hours",IF($E842&lt;0,"Check estimate in hours",IF($E842=0,"Unestimated","Estimated"))))))</x:f>
      </x:c>
    </x:row>
    <x:row r="843">
      <x:c r="A843" s="12"/>
      <x:c r="B843" s="12"/>
      <x:c r="C843" s="12"/>
      <x:c r="D843" s="12"/>
      <x:c r="E843" s="14"/>
      <x:c r="F843" s="13" t="str">
        <x:f>IF($A843="","",IF($D843&lt;&gt;'Team Setup'!$B$4,"Other sprint",IF($C843="","Unassigned",IF(OR(ISNUMBER(SEARCH(",",$C843)),ISNUMBER(SEARCH(";",$C843))),"Multiple assignees",IF(COUNTIF('Team Setup'!$B$10:$B$34,$C843)=1,"Matched","Unmatched")))))</x:f>
      </x:c>
      <x:c r="G843" s="13" t="str">
        <x:f>IF($A843="","",IF($D843&lt;&gt;'Team Setup'!$B$4,"Other sprint",IF($E843="","Unestimated",IF(NOT(ISNUMBER($E843)),"Check estimate in hours",IF($E843&lt;0,"Check estimate in hours",IF($E843=0,"Unestimated","Estimated"))))))</x:f>
      </x:c>
    </x:row>
    <x:row r="844">
      <x:c r="A844" s="12"/>
      <x:c r="B844" s="12"/>
      <x:c r="C844" s="12"/>
      <x:c r="D844" s="12"/>
      <x:c r="E844" s="14"/>
      <x:c r="F844" s="13" t="str">
        <x:f>IF($A844="","",IF($D844&lt;&gt;'Team Setup'!$B$4,"Other sprint",IF($C844="","Unassigned",IF(OR(ISNUMBER(SEARCH(",",$C844)),ISNUMBER(SEARCH(";",$C844))),"Multiple assignees",IF(COUNTIF('Team Setup'!$B$10:$B$34,$C844)=1,"Matched","Unmatched")))))</x:f>
      </x:c>
      <x:c r="G844" s="13" t="str">
        <x:f>IF($A844="","",IF($D844&lt;&gt;'Team Setup'!$B$4,"Other sprint",IF($E844="","Unestimated",IF(NOT(ISNUMBER($E844)),"Check estimate in hours",IF($E844&lt;0,"Check estimate in hours",IF($E844=0,"Unestimated","Estimated"))))))</x:f>
      </x:c>
    </x:row>
    <x:row r="845">
      <x:c r="A845" s="12"/>
      <x:c r="B845" s="12"/>
      <x:c r="C845" s="12"/>
      <x:c r="D845" s="12"/>
      <x:c r="E845" s="14"/>
      <x:c r="F845" s="13" t="str">
        <x:f>IF($A845="","",IF($D845&lt;&gt;'Team Setup'!$B$4,"Other sprint",IF($C845="","Unassigned",IF(OR(ISNUMBER(SEARCH(",",$C845)),ISNUMBER(SEARCH(";",$C845))),"Multiple assignees",IF(COUNTIF('Team Setup'!$B$10:$B$34,$C845)=1,"Matched","Unmatched")))))</x:f>
      </x:c>
      <x:c r="G845" s="13" t="str">
        <x:f>IF($A845="","",IF($D845&lt;&gt;'Team Setup'!$B$4,"Other sprint",IF($E845="","Unestimated",IF(NOT(ISNUMBER($E845)),"Check estimate in hours",IF($E845&lt;0,"Check estimate in hours",IF($E845=0,"Unestimated","Estimated"))))))</x:f>
      </x:c>
    </x:row>
    <x:row r="846">
      <x:c r="A846" s="12"/>
      <x:c r="B846" s="12"/>
      <x:c r="C846" s="12"/>
      <x:c r="D846" s="12"/>
      <x:c r="E846" s="14"/>
      <x:c r="F846" s="13" t="str">
        <x:f>IF($A846="","",IF($D846&lt;&gt;'Team Setup'!$B$4,"Other sprint",IF($C846="","Unassigned",IF(OR(ISNUMBER(SEARCH(",",$C846)),ISNUMBER(SEARCH(";",$C846))),"Multiple assignees",IF(COUNTIF('Team Setup'!$B$10:$B$34,$C846)=1,"Matched","Unmatched")))))</x:f>
      </x:c>
      <x:c r="G846" s="13" t="str">
        <x:f>IF($A846="","",IF($D846&lt;&gt;'Team Setup'!$B$4,"Other sprint",IF($E846="","Unestimated",IF(NOT(ISNUMBER($E846)),"Check estimate in hours",IF($E846&lt;0,"Check estimate in hours",IF($E846=0,"Unestimated","Estimated"))))))</x:f>
      </x:c>
    </x:row>
    <x:row r="847">
      <x:c r="A847" s="12"/>
      <x:c r="B847" s="12"/>
      <x:c r="C847" s="12"/>
      <x:c r="D847" s="12"/>
      <x:c r="E847" s="14"/>
      <x:c r="F847" s="13" t="str">
        <x:f>IF($A847="","",IF($D847&lt;&gt;'Team Setup'!$B$4,"Other sprint",IF($C847="","Unassigned",IF(OR(ISNUMBER(SEARCH(",",$C847)),ISNUMBER(SEARCH(";",$C847))),"Multiple assignees",IF(COUNTIF('Team Setup'!$B$10:$B$34,$C847)=1,"Matched","Unmatched")))))</x:f>
      </x:c>
      <x:c r="G847" s="13" t="str">
        <x:f>IF($A847="","",IF($D847&lt;&gt;'Team Setup'!$B$4,"Other sprint",IF($E847="","Unestimated",IF(NOT(ISNUMBER($E847)),"Check estimate in hours",IF($E847&lt;0,"Check estimate in hours",IF($E847=0,"Unestimated","Estimated"))))))</x:f>
      </x:c>
    </x:row>
    <x:row r="848">
      <x:c r="A848" s="12"/>
      <x:c r="B848" s="12"/>
      <x:c r="C848" s="12"/>
      <x:c r="D848" s="12"/>
      <x:c r="E848" s="14"/>
      <x:c r="F848" s="13" t="str">
        <x:f>IF($A848="","",IF($D848&lt;&gt;'Team Setup'!$B$4,"Other sprint",IF($C848="","Unassigned",IF(OR(ISNUMBER(SEARCH(",",$C848)),ISNUMBER(SEARCH(";",$C848))),"Multiple assignees",IF(COUNTIF('Team Setup'!$B$10:$B$34,$C848)=1,"Matched","Unmatched")))))</x:f>
      </x:c>
      <x:c r="G848" s="13" t="str">
        <x:f>IF($A848="","",IF($D848&lt;&gt;'Team Setup'!$B$4,"Other sprint",IF($E848="","Unestimated",IF(NOT(ISNUMBER($E848)),"Check estimate in hours",IF($E848&lt;0,"Check estimate in hours",IF($E848=0,"Unestimated","Estimated"))))))</x:f>
      </x:c>
    </x:row>
    <x:row r="849">
      <x:c r="A849" s="12"/>
      <x:c r="B849" s="12"/>
      <x:c r="C849" s="12"/>
      <x:c r="D849" s="12"/>
      <x:c r="E849" s="14"/>
      <x:c r="F849" s="13" t="str">
        <x:f>IF($A849="","",IF($D849&lt;&gt;'Team Setup'!$B$4,"Other sprint",IF($C849="","Unassigned",IF(OR(ISNUMBER(SEARCH(",",$C849)),ISNUMBER(SEARCH(";",$C849))),"Multiple assignees",IF(COUNTIF('Team Setup'!$B$10:$B$34,$C849)=1,"Matched","Unmatched")))))</x:f>
      </x:c>
      <x:c r="G849" s="13" t="str">
        <x:f>IF($A849="","",IF($D849&lt;&gt;'Team Setup'!$B$4,"Other sprint",IF($E849="","Unestimated",IF(NOT(ISNUMBER($E849)),"Check estimate in hours",IF($E849&lt;0,"Check estimate in hours",IF($E849=0,"Unestimated","Estimated"))))))</x:f>
      </x:c>
    </x:row>
    <x:row r="850">
      <x:c r="A850" s="12"/>
      <x:c r="B850" s="12"/>
      <x:c r="C850" s="12"/>
      <x:c r="D850" s="12"/>
      <x:c r="E850" s="14"/>
      <x:c r="F850" s="13" t="str">
        <x:f>IF($A850="","",IF($D850&lt;&gt;'Team Setup'!$B$4,"Other sprint",IF($C850="","Unassigned",IF(OR(ISNUMBER(SEARCH(",",$C850)),ISNUMBER(SEARCH(";",$C850))),"Multiple assignees",IF(COUNTIF('Team Setup'!$B$10:$B$34,$C850)=1,"Matched","Unmatched")))))</x:f>
      </x:c>
      <x:c r="G850" s="13" t="str">
        <x:f>IF($A850="","",IF($D850&lt;&gt;'Team Setup'!$B$4,"Other sprint",IF($E850="","Unestimated",IF(NOT(ISNUMBER($E850)),"Check estimate in hours",IF($E850&lt;0,"Check estimate in hours",IF($E850=0,"Unestimated","Estimated"))))))</x:f>
      </x:c>
    </x:row>
    <x:row r="851">
      <x:c r="A851" s="12"/>
      <x:c r="B851" s="12"/>
      <x:c r="C851" s="12"/>
      <x:c r="D851" s="12"/>
      <x:c r="E851" s="14"/>
      <x:c r="F851" s="13" t="str">
        <x:f>IF($A851="","",IF($D851&lt;&gt;'Team Setup'!$B$4,"Other sprint",IF($C851="","Unassigned",IF(OR(ISNUMBER(SEARCH(",",$C851)),ISNUMBER(SEARCH(";",$C851))),"Multiple assignees",IF(COUNTIF('Team Setup'!$B$10:$B$34,$C851)=1,"Matched","Unmatched")))))</x:f>
      </x:c>
      <x:c r="G851" s="13" t="str">
        <x:f>IF($A851="","",IF($D851&lt;&gt;'Team Setup'!$B$4,"Other sprint",IF($E851="","Unestimated",IF(NOT(ISNUMBER($E851)),"Check estimate in hours",IF($E851&lt;0,"Check estimate in hours",IF($E851=0,"Unestimated","Estimated"))))))</x:f>
      </x:c>
    </x:row>
    <x:row r="852">
      <x:c r="A852" s="12"/>
      <x:c r="B852" s="12"/>
      <x:c r="C852" s="12"/>
      <x:c r="D852" s="12"/>
      <x:c r="E852" s="14"/>
      <x:c r="F852" s="13" t="str">
        <x:f>IF($A852="","",IF($D852&lt;&gt;'Team Setup'!$B$4,"Other sprint",IF($C852="","Unassigned",IF(OR(ISNUMBER(SEARCH(",",$C852)),ISNUMBER(SEARCH(";",$C852))),"Multiple assignees",IF(COUNTIF('Team Setup'!$B$10:$B$34,$C852)=1,"Matched","Unmatched")))))</x:f>
      </x:c>
      <x:c r="G852" s="13" t="str">
        <x:f>IF($A852="","",IF($D852&lt;&gt;'Team Setup'!$B$4,"Other sprint",IF($E852="","Unestimated",IF(NOT(ISNUMBER($E852)),"Check estimate in hours",IF($E852&lt;0,"Check estimate in hours",IF($E852=0,"Unestimated","Estimated"))))))</x:f>
      </x:c>
    </x:row>
    <x:row r="853">
      <x:c r="A853" s="12"/>
      <x:c r="B853" s="12"/>
      <x:c r="C853" s="12"/>
      <x:c r="D853" s="12"/>
      <x:c r="E853" s="14"/>
      <x:c r="F853" s="13" t="str">
        <x:f>IF($A853="","",IF($D853&lt;&gt;'Team Setup'!$B$4,"Other sprint",IF($C853="","Unassigned",IF(OR(ISNUMBER(SEARCH(",",$C853)),ISNUMBER(SEARCH(";",$C853))),"Multiple assignees",IF(COUNTIF('Team Setup'!$B$10:$B$34,$C853)=1,"Matched","Unmatched")))))</x:f>
      </x:c>
      <x:c r="G853" s="13" t="str">
        <x:f>IF($A853="","",IF($D853&lt;&gt;'Team Setup'!$B$4,"Other sprint",IF($E853="","Unestimated",IF(NOT(ISNUMBER($E853)),"Check estimate in hours",IF($E853&lt;0,"Check estimate in hours",IF($E853=0,"Unestimated","Estimated"))))))</x:f>
      </x:c>
    </x:row>
    <x:row r="854">
      <x:c r="A854" s="12"/>
      <x:c r="B854" s="12"/>
      <x:c r="C854" s="12"/>
      <x:c r="D854" s="12"/>
      <x:c r="E854" s="14"/>
      <x:c r="F854" s="13" t="str">
        <x:f>IF($A854="","",IF($D854&lt;&gt;'Team Setup'!$B$4,"Other sprint",IF($C854="","Unassigned",IF(OR(ISNUMBER(SEARCH(",",$C854)),ISNUMBER(SEARCH(";",$C854))),"Multiple assignees",IF(COUNTIF('Team Setup'!$B$10:$B$34,$C854)=1,"Matched","Unmatched")))))</x:f>
      </x:c>
      <x:c r="G854" s="13" t="str">
        <x:f>IF($A854="","",IF($D854&lt;&gt;'Team Setup'!$B$4,"Other sprint",IF($E854="","Unestimated",IF(NOT(ISNUMBER($E854)),"Check estimate in hours",IF($E854&lt;0,"Check estimate in hours",IF($E854=0,"Unestimated","Estimated"))))))</x:f>
      </x:c>
    </x:row>
    <x:row r="855">
      <x:c r="A855" s="12"/>
      <x:c r="B855" s="12"/>
      <x:c r="C855" s="12"/>
      <x:c r="D855" s="12"/>
      <x:c r="E855" s="14"/>
      <x:c r="F855" s="13" t="str">
        <x:f>IF($A855="","",IF($D855&lt;&gt;'Team Setup'!$B$4,"Other sprint",IF($C855="","Unassigned",IF(OR(ISNUMBER(SEARCH(",",$C855)),ISNUMBER(SEARCH(";",$C855))),"Multiple assignees",IF(COUNTIF('Team Setup'!$B$10:$B$34,$C855)=1,"Matched","Unmatched")))))</x:f>
      </x:c>
      <x:c r="G855" s="13" t="str">
        <x:f>IF($A855="","",IF($D855&lt;&gt;'Team Setup'!$B$4,"Other sprint",IF($E855="","Unestimated",IF(NOT(ISNUMBER($E855)),"Check estimate in hours",IF($E855&lt;0,"Check estimate in hours",IF($E855=0,"Unestimated","Estimated"))))))</x:f>
      </x:c>
    </x:row>
    <x:row r="856">
      <x:c r="A856" s="12"/>
      <x:c r="B856" s="12"/>
      <x:c r="C856" s="12"/>
      <x:c r="D856" s="12"/>
      <x:c r="E856" s="14"/>
      <x:c r="F856" s="13" t="str">
        <x:f>IF($A856="","",IF($D856&lt;&gt;'Team Setup'!$B$4,"Other sprint",IF($C856="","Unassigned",IF(OR(ISNUMBER(SEARCH(",",$C856)),ISNUMBER(SEARCH(";",$C856))),"Multiple assignees",IF(COUNTIF('Team Setup'!$B$10:$B$34,$C856)=1,"Matched","Unmatched")))))</x:f>
      </x:c>
      <x:c r="G856" s="13" t="str">
        <x:f>IF($A856="","",IF($D856&lt;&gt;'Team Setup'!$B$4,"Other sprint",IF($E856="","Unestimated",IF(NOT(ISNUMBER($E856)),"Check estimate in hours",IF($E856&lt;0,"Check estimate in hours",IF($E856=0,"Unestimated","Estimated"))))))</x:f>
      </x:c>
    </x:row>
    <x:row r="857">
      <x:c r="A857" s="12"/>
      <x:c r="B857" s="12"/>
      <x:c r="C857" s="12"/>
      <x:c r="D857" s="12"/>
      <x:c r="E857" s="14"/>
      <x:c r="F857" s="13" t="str">
        <x:f>IF($A857="","",IF($D857&lt;&gt;'Team Setup'!$B$4,"Other sprint",IF($C857="","Unassigned",IF(OR(ISNUMBER(SEARCH(",",$C857)),ISNUMBER(SEARCH(";",$C857))),"Multiple assignees",IF(COUNTIF('Team Setup'!$B$10:$B$34,$C857)=1,"Matched","Unmatched")))))</x:f>
      </x:c>
      <x:c r="G857" s="13" t="str">
        <x:f>IF($A857="","",IF($D857&lt;&gt;'Team Setup'!$B$4,"Other sprint",IF($E857="","Unestimated",IF(NOT(ISNUMBER($E857)),"Check estimate in hours",IF($E857&lt;0,"Check estimate in hours",IF($E857=0,"Unestimated","Estimated"))))))</x:f>
      </x:c>
    </x:row>
    <x:row r="858">
      <x:c r="A858" s="12"/>
      <x:c r="B858" s="12"/>
      <x:c r="C858" s="12"/>
      <x:c r="D858" s="12"/>
      <x:c r="E858" s="14"/>
      <x:c r="F858" s="13" t="str">
        <x:f>IF($A858="","",IF($D858&lt;&gt;'Team Setup'!$B$4,"Other sprint",IF($C858="","Unassigned",IF(OR(ISNUMBER(SEARCH(",",$C858)),ISNUMBER(SEARCH(";",$C858))),"Multiple assignees",IF(COUNTIF('Team Setup'!$B$10:$B$34,$C858)=1,"Matched","Unmatched")))))</x:f>
      </x:c>
      <x:c r="G858" s="13" t="str">
        <x:f>IF($A858="","",IF($D858&lt;&gt;'Team Setup'!$B$4,"Other sprint",IF($E858="","Unestimated",IF(NOT(ISNUMBER($E858)),"Check estimate in hours",IF($E858&lt;0,"Check estimate in hours",IF($E858=0,"Unestimated","Estimated"))))))</x:f>
      </x:c>
    </x:row>
    <x:row r="859">
      <x:c r="A859" s="12"/>
      <x:c r="B859" s="12"/>
      <x:c r="C859" s="12"/>
      <x:c r="D859" s="12"/>
      <x:c r="E859" s="14"/>
      <x:c r="F859" s="13" t="str">
        <x:f>IF($A859="","",IF($D859&lt;&gt;'Team Setup'!$B$4,"Other sprint",IF($C859="","Unassigned",IF(OR(ISNUMBER(SEARCH(",",$C859)),ISNUMBER(SEARCH(";",$C859))),"Multiple assignees",IF(COUNTIF('Team Setup'!$B$10:$B$34,$C859)=1,"Matched","Unmatched")))))</x:f>
      </x:c>
      <x:c r="G859" s="13" t="str">
        <x:f>IF($A859="","",IF($D859&lt;&gt;'Team Setup'!$B$4,"Other sprint",IF($E859="","Unestimated",IF(NOT(ISNUMBER($E859)),"Check estimate in hours",IF($E859&lt;0,"Check estimate in hours",IF($E859=0,"Unestimated","Estimated"))))))</x:f>
      </x:c>
    </x:row>
    <x:row r="860">
      <x:c r="A860" s="12"/>
      <x:c r="B860" s="12"/>
      <x:c r="C860" s="12"/>
      <x:c r="D860" s="12"/>
      <x:c r="E860" s="14"/>
      <x:c r="F860" s="13" t="str">
        <x:f>IF($A860="","",IF($D860&lt;&gt;'Team Setup'!$B$4,"Other sprint",IF($C860="","Unassigned",IF(OR(ISNUMBER(SEARCH(",",$C860)),ISNUMBER(SEARCH(";",$C860))),"Multiple assignees",IF(COUNTIF('Team Setup'!$B$10:$B$34,$C860)=1,"Matched","Unmatched")))))</x:f>
      </x:c>
      <x:c r="G860" s="13" t="str">
        <x:f>IF($A860="","",IF($D860&lt;&gt;'Team Setup'!$B$4,"Other sprint",IF($E860="","Unestimated",IF(NOT(ISNUMBER($E860)),"Check estimate in hours",IF($E860&lt;0,"Check estimate in hours",IF($E860=0,"Unestimated","Estimated"))))))</x:f>
      </x:c>
    </x:row>
    <x:row r="861">
      <x:c r="A861" s="12"/>
      <x:c r="B861" s="12"/>
      <x:c r="C861" s="12"/>
      <x:c r="D861" s="12"/>
      <x:c r="E861" s="14"/>
      <x:c r="F861" s="13" t="str">
        <x:f>IF($A861="","",IF($D861&lt;&gt;'Team Setup'!$B$4,"Other sprint",IF($C861="","Unassigned",IF(OR(ISNUMBER(SEARCH(",",$C861)),ISNUMBER(SEARCH(";",$C861))),"Multiple assignees",IF(COUNTIF('Team Setup'!$B$10:$B$34,$C861)=1,"Matched","Unmatched")))))</x:f>
      </x:c>
      <x:c r="G861" s="13" t="str">
        <x:f>IF($A861="","",IF($D861&lt;&gt;'Team Setup'!$B$4,"Other sprint",IF($E861="","Unestimated",IF(NOT(ISNUMBER($E861)),"Check estimate in hours",IF($E861&lt;0,"Check estimate in hours",IF($E861=0,"Unestimated","Estimated"))))))</x:f>
      </x:c>
    </x:row>
    <x:row r="862">
      <x:c r="A862" s="12"/>
      <x:c r="B862" s="12"/>
      <x:c r="C862" s="12"/>
      <x:c r="D862" s="12"/>
      <x:c r="E862" s="14"/>
      <x:c r="F862" s="13" t="str">
        <x:f>IF($A862="","",IF($D862&lt;&gt;'Team Setup'!$B$4,"Other sprint",IF($C862="","Unassigned",IF(OR(ISNUMBER(SEARCH(",",$C862)),ISNUMBER(SEARCH(";",$C862))),"Multiple assignees",IF(COUNTIF('Team Setup'!$B$10:$B$34,$C862)=1,"Matched","Unmatched")))))</x:f>
      </x:c>
      <x:c r="G862" s="13" t="str">
        <x:f>IF($A862="","",IF($D862&lt;&gt;'Team Setup'!$B$4,"Other sprint",IF($E862="","Unestimated",IF(NOT(ISNUMBER($E862)),"Check estimate in hours",IF($E862&lt;0,"Check estimate in hours",IF($E862=0,"Unestimated","Estimated"))))))</x:f>
      </x:c>
    </x:row>
    <x:row r="863">
      <x:c r="A863" s="12"/>
      <x:c r="B863" s="12"/>
      <x:c r="C863" s="12"/>
      <x:c r="D863" s="12"/>
      <x:c r="E863" s="14"/>
      <x:c r="F863" s="13" t="str">
        <x:f>IF($A863="","",IF($D863&lt;&gt;'Team Setup'!$B$4,"Other sprint",IF($C863="","Unassigned",IF(OR(ISNUMBER(SEARCH(",",$C863)),ISNUMBER(SEARCH(";",$C863))),"Multiple assignees",IF(COUNTIF('Team Setup'!$B$10:$B$34,$C863)=1,"Matched","Unmatched")))))</x:f>
      </x:c>
      <x:c r="G863" s="13" t="str">
        <x:f>IF($A863="","",IF($D863&lt;&gt;'Team Setup'!$B$4,"Other sprint",IF($E863="","Unestimated",IF(NOT(ISNUMBER($E863)),"Check estimate in hours",IF($E863&lt;0,"Check estimate in hours",IF($E863=0,"Unestimated","Estimated"))))))</x:f>
      </x:c>
    </x:row>
    <x:row r="864">
      <x:c r="A864" s="12"/>
      <x:c r="B864" s="12"/>
      <x:c r="C864" s="12"/>
      <x:c r="D864" s="12"/>
      <x:c r="E864" s="14"/>
      <x:c r="F864" s="13" t="str">
        <x:f>IF($A864="","",IF($D864&lt;&gt;'Team Setup'!$B$4,"Other sprint",IF($C864="","Unassigned",IF(OR(ISNUMBER(SEARCH(",",$C864)),ISNUMBER(SEARCH(";",$C864))),"Multiple assignees",IF(COUNTIF('Team Setup'!$B$10:$B$34,$C864)=1,"Matched","Unmatched")))))</x:f>
      </x:c>
      <x:c r="G864" s="13" t="str">
        <x:f>IF($A864="","",IF($D864&lt;&gt;'Team Setup'!$B$4,"Other sprint",IF($E864="","Unestimated",IF(NOT(ISNUMBER($E864)),"Check estimate in hours",IF($E864&lt;0,"Check estimate in hours",IF($E864=0,"Unestimated","Estimated"))))))</x:f>
      </x:c>
    </x:row>
    <x:row r="865">
      <x:c r="A865" s="12"/>
      <x:c r="B865" s="12"/>
      <x:c r="C865" s="12"/>
      <x:c r="D865" s="12"/>
      <x:c r="E865" s="14"/>
      <x:c r="F865" s="13" t="str">
        <x:f>IF($A865="","",IF($D865&lt;&gt;'Team Setup'!$B$4,"Other sprint",IF($C865="","Unassigned",IF(OR(ISNUMBER(SEARCH(",",$C865)),ISNUMBER(SEARCH(";",$C865))),"Multiple assignees",IF(COUNTIF('Team Setup'!$B$10:$B$34,$C865)=1,"Matched","Unmatched")))))</x:f>
      </x:c>
      <x:c r="G865" s="13" t="str">
        <x:f>IF($A865="","",IF($D865&lt;&gt;'Team Setup'!$B$4,"Other sprint",IF($E865="","Unestimated",IF(NOT(ISNUMBER($E865)),"Check estimate in hours",IF($E865&lt;0,"Check estimate in hours",IF($E865=0,"Unestimated","Estimated"))))))</x:f>
      </x:c>
    </x:row>
    <x:row r="866">
      <x:c r="A866" s="12"/>
      <x:c r="B866" s="12"/>
      <x:c r="C866" s="12"/>
      <x:c r="D866" s="12"/>
      <x:c r="E866" s="14"/>
      <x:c r="F866" s="13" t="str">
        <x:f>IF($A866="","",IF($D866&lt;&gt;'Team Setup'!$B$4,"Other sprint",IF($C866="","Unassigned",IF(OR(ISNUMBER(SEARCH(",",$C866)),ISNUMBER(SEARCH(";",$C866))),"Multiple assignees",IF(COUNTIF('Team Setup'!$B$10:$B$34,$C866)=1,"Matched","Unmatched")))))</x:f>
      </x:c>
      <x:c r="G866" s="13" t="str">
        <x:f>IF($A866="","",IF($D866&lt;&gt;'Team Setup'!$B$4,"Other sprint",IF($E866="","Unestimated",IF(NOT(ISNUMBER($E866)),"Check estimate in hours",IF($E866&lt;0,"Check estimate in hours",IF($E866=0,"Unestimated","Estimated"))))))</x:f>
      </x:c>
    </x:row>
    <x:row r="867">
      <x:c r="A867" s="12"/>
      <x:c r="B867" s="12"/>
      <x:c r="C867" s="12"/>
      <x:c r="D867" s="12"/>
      <x:c r="E867" s="14"/>
      <x:c r="F867" s="13" t="str">
        <x:f>IF($A867="","",IF($D867&lt;&gt;'Team Setup'!$B$4,"Other sprint",IF($C867="","Unassigned",IF(OR(ISNUMBER(SEARCH(",",$C867)),ISNUMBER(SEARCH(";",$C867))),"Multiple assignees",IF(COUNTIF('Team Setup'!$B$10:$B$34,$C867)=1,"Matched","Unmatched")))))</x:f>
      </x:c>
      <x:c r="G867" s="13" t="str">
        <x:f>IF($A867="","",IF($D867&lt;&gt;'Team Setup'!$B$4,"Other sprint",IF($E867="","Unestimated",IF(NOT(ISNUMBER($E867)),"Check estimate in hours",IF($E867&lt;0,"Check estimate in hours",IF($E867=0,"Unestimated","Estimated"))))))</x:f>
      </x:c>
    </x:row>
    <x:row r="868">
      <x:c r="A868" s="12"/>
      <x:c r="B868" s="12"/>
      <x:c r="C868" s="12"/>
      <x:c r="D868" s="12"/>
      <x:c r="E868" s="14"/>
      <x:c r="F868" s="13" t="str">
        <x:f>IF($A868="","",IF($D868&lt;&gt;'Team Setup'!$B$4,"Other sprint",IF($C868="","Unassigned",IF(OR(ISNUMBER(SEARCH(",",$C868)),ISNUMBER(SEARCH(";",$C868))),"Multiple assignees",IF(COUNTIF('Team Setup'!$B$10:$B$34,$C868)=1,"Matched","Unmatched")))))</x:f>
      </x:c>
      <x:c r="G868" s="13" t="str">
        <x:f>IF($A868="","",IF($D868&lt;&gt;'Team Setup'!$B$4,"Other sprint",IF($E868="","Unestimated",IF(NOT(ISNUMBER($E868)),"Check estimate in hours",IF($E868&lt;0,"Check estimate in hours",IF($E868=0,"Unestimated","Estimated"))))))</x:f>
      </x:c>
    </x:row>
    <x:row r="869">
      <x:c r="A869" s="12"/>
      <x:c r="B869" s="12"/>
      <x:c r="C869" s="12"/>
      <x:c r="D869" s="12"/>
      <x:c r="E869" s="14"/>
      <x:c r="F869" s="13" t="str">
        <x:f>IF($A869="","",IF($D869&lt;&gt;'Team Setup'!$B$4,"Other sprint",IF($C869="","Unassigned",IF(OR(ISNUMBER(SEARCH(",",$C869)),ISNUMBER(SEARCH(";",$C869))),"Multiple assignees",IF(COUNTIF('Team Setup'!$B$10:$B$34,$C869)=1,"Matched","Unmatched")))))</x:f>
      </x:c>
      <x:c r="G869" s="13" t="str">
        <x:f>IF($A869="","",IF($D869&lt;&gt;'Team Setup'!$B$4,"Other sprint",IF($E869="","Unestimated",IF(NOT(ISNUMBER($E869)),"Check estimate in hours",IF($E869&lt;0,"Check estimate in hours",IF($E869=0,"Unestimated","Estimated"))))))</x:f>
      </x:c>
    </x:row>
    <x:row r="870">
      <x:c r="A870" s="12"/>
      <x:c r="B870" s="12"/>
      <x:c r="C870" s="12"/>
      <x:c r="D870" s="12"/>
      <x:c r="E870" s="14"/>
      <x:c r="F870" s="13" t="str">
        <x:f>IF($A870="","",IF($D870&lt;&gt;'Team Setup'!$B$4,"Other sprint",IF($C870="","Unassigned",IF(OR(ISNUMBER(SEARCH(",",$C870)),ISNUMBER(SEARCH(";",$C870))),"Multiple assignees",IF(COUNTIF('Team Setup'!$B$10:$B$34,$C870)=1,"Matched","Unmatched")))))</x:f>
      </x:c>
      <x:c r="G870" s="13" t="str">
        <x:f>IF($A870="","",IF($D870&lt;&gt;'Team Setup'!$B$4,"Other sprint",IF($E870="","Unestimated",IF(NOT(ISNUMBER($E870)),"Check estimate in hours",IF($E870&lt;0,"Check estimate in hours",IF($E870=0,"Unestimated","Estimated"))))))</x:f>
      </x:c>
    </x:row>
    <x:row r="871">
      <x:c r="A871" s="12"/>
      <x:c r="B871" s="12"/>
      <x:c r="C871" s="12"/>
      <x:c r="D871" s="12"/>
      <x:c r="E871" s="14"/>
      <x:c r="F871" s="13" t="str">
        <x:f>IF($A871="","",IF($D871&lt;&gt;'Team Setup'!$B$4,"Other sprint",IF($C871="","Unassigned",IF(OR(ISNUMBER(SEARCH(",",$C871)),ISNUMBER(SEARCH(";",$C871))),"Multiple assignees",IF(COUNTIF('Team Setup'!$B$10:$B$34,$C871)=1,"Matched","Unmatched")))))</x:f>
      </x:c>
      <x:c r="G871" s="13" t="str">
        <x:f>IF($A871="","",IF($D871&lt;&gt;'Team Setup'!$B$4,"Other sprint",IF($E871="","Unestimated",IF(NOT(ISNUMBER($E871)),"Check estimate in hours",IF($E871&lt;0,"Check estimate in hours",IF($E871=0,"Unestimated","Estimated"))))))</x:f>
      </x:c>
    </x:row>
    <x:row r="872">
      <x:c r="A872" s="12"/>
      <x:c r="B872" s="12"/>
      <x:c r="C872" s="12"/>
      <x:c r="D872" s="12"/>
      <x:c r="E872" s="14"/>
      <x:c r="F872" s="13" t="str">
        <x:f>IF($A872="","",IF($D872&lt;&gt;'Team Setup'!$B$4,"Other sprint",IF($C872="","Unassigned",IF(OR(ISNUMBER(SEARCH(",",$C872)),ISNUMBER(SEARCH(";",$C872))),"Multiple assignees",IF(COUNTIF('Team Setup'!$B$10:$B$34,$C872)=1,"Matched","Unmatched")))))</x:f>
      </x:c>
      <x:c r="G872" s="13" t="str">
        <x:f>IF($A872="","",IF($D872&lt;&gt;'Team Setup'!$B$4,"Other sprint",IF($E872="","Unestimated",IF(NOT(ISNUMBER($E872)),"Check estimate in hours",IF($E872&lt;0,"Check estimate in hours",IF($E872=0,"Unestimated","Estimated"))))))</x:f>
      </x:c>
    </x:row>
    <x:row r="873">
      <x:c r="A873" s="12"/>
      <x:c r="B873" s="12"/>
      <x:c r="C873" s="12"/>
      <x:c r="D873" s="12"/>
      <x:c r="E873" s="14"/>
      <x:c r="F873" s="13" t="str">
        <x:f>IF($A873="","",IF($D873&lt;&gt;'Team Setup'!$B$4,"Other sprint",IF($C873="","Unassigned",IF(OR(ISNUMBER(SEARCH(",",$C873)),ISNUMBER(SEARCH(";",$C873))),"Multiple assignees",IF(COUNTIF('Team Setup'!$B$10:$B$34,$C873)=1,"Matched","Unmatched")))))</x:f>
      </x:c>
      <x:c r="G873" s="13" t="str">
        <x:f>IF($A873="","",IF($D873&lt;&gt;'Team Setup'!$B$4,"Other sprint",IF($E873="","Unestimated",IF(NOT(ISNUMBER($E873)),"Check estimate in hours",IF($E873&lt;0,"Check estimate in hours",IF($E873=0,"Unestimated","Estimated"))))))</x:f>
      </x:c>
    </x:row>
    <x:row r="874">
      <x:c r="A874" s="12"/>
      <x:c r="B874" s="12"/>
      <x:c r="C874" s="12"/>
      <x:c r="D874" s="12"/>
      <x:c r="E874" s="14"/>
      <x:c r="F874" s="13" t="str">
        <x:f>IF($A874="","",IF($D874&lt;&gt;'Team Setup'!$B$4,"Other sprint",IF($C874="","Unassigned",IF(OR(ISNUMBER(SEARCH(",",$C874)),ISNUMBER(SEARCH(";",$C874))),"Multiple assignees",IF(COUNTIF('Team Setup'!$B$10:$B$34,$C874)=1,"Matched","Unmatched")))))</x:f>
      </x:c>
      <x:c r="G874" s="13" t="str">
        <x:f>IF($A874="","",IF($D874&lt;&gt;'Team Setup'!$B$4,"Other sprint",IF($E874="","Unestimated",IF(NOT(ISNUMBER($E874)),"Check estimate in hours",IF($E874&lt;0,"Check estimate in hours",IF($E874=0,"Unestimated","Estimated"))))))</x:f>
      </x:c>
    </x:row>
    <x:row r="875">
      <x:c r="A875" s="12"/>
      <x:c r="B875" s="12"/>
      <x:c r="C875" s="12"/>
      <x:c r="D875" s="12"/>
      <x:c r="E875" s="14"/>
      <x:c r="F875" s="13" t="str">
        <x:f>IF($A875="","",IF($D875&lt;&gt;'Team Setup'!$B$4,"Other sprint",IF($C875="","Unassigned",IF(OR(ISNUMBER(SEARCH(",",$C875)),ISNUMBER(SEARCH(";",$C875))),"Multiple assignees",IF(COUNTIF('Team Setup'!$B$10:$B$34,$C875)=1,"Matched","Unmatched")))))</x:f>
      </x:c>
      <x:c r="G875" s="13" t="str">
        <x:f>IF($A875="","",IF($D875&lt;&gt;'Team Setup'!$B$4,"Other sprint",IF($E875="","Unestimated",IF(NOT(ISNUMBER($E875)),"Check estimate in hours",IF($E875&lt;0,"Check estimate in hours",IF($E875=0,"Unestimated","Estimated"))))))</x:f>
      </x:c>
    </x:row>
    <x:row r="876">
      <x:c r="A876" s="12"/>
      <x:c r="B876" s="12"/>
      <x:c r="C876" s="12"/>
      <x:c r="D876" s="12"/>
      <x:c r="E876" s="14"/>
      <x:c r="F876" s="13" t="str">
        <x:f>IF($A876="","",IF($D876&lt;&gt;'Team Setup'!$B$4,"Other sprint",IF($C876="","Unassigned",IF(OR(ISNUMBER(SEARCH(",",$C876)),ISNUMBER(SEARCH(";",$C876))),"Multiple assignees",IF(COUNTIF('Team Setup'!$B$10:$B$34,$C876)=1,"Matched","Unmatched")))))</x:f>
      </x:c>
      <x:c r="G876" s="13" t="str">
        <x:f>IF($A876="","",IF($D876&lt;&gt;'Team Setup'!$B$4,"Other sprint",IF($E876="","Unestimated",IF(NOT(ISNUMBER($E876)),"Check estimate in hours",IF($E876&lt;0,"Check estimate in hours",IF($E876=0,"Unestimated","Estimated"))))))</x:f>
      </x:c>
    </x:row>
    <x:row r="877">
      <x:c r="A877" s="12"/>
      <x:c r="B877" s="12"/>
      <x:c r="C877" s="12"/>
      <x:c r="D877" s="12"/>
      <x:c r="E877" s="14"/>
      <x:c r="F877" s="13" t="str">
        <x:f>IF($A877="","",IF($D877&lt;&gt;'Team Setup'!$B$4,"Other sprint",IF($C877="","Unassigned",IF(OR(ISNUMBER(SEARCH(",",$C877)),ISNUMBER(SEARCH(";",$C877))),"Multiple assignees",IF(COUNTIF('Team Setup'!$B$10:$B$34,$C877)=1,"Matched","Unmatched")))))</x:f>
      </x:c>
      <x:c r="G877" s="13" t="str">
        <x:f>IF($A877="","",IF($D877&lt;&gt;'Team Setup'!$B$4,"Other sprint",IF($E877="","Unestimated",IF(NOT(ISNUMBER($E877)),"Check estimate in hours",IF($E877&lt;0,"Check estimate in hours",IF($E877=0,"Unestimated","Estimated"))))))</x:f>
      </x:c>
    </x:row>
    <x:row r="878">
      <x:c r="A878" s="12"/>
      <x:c r="B878" s="12"/>
      <x:c r="C878" s="12"/>
      <x:c r="D878" s="12"/>
      <x:c r="E878" s="14"/>
      <x:c r="F878" s="13" t="str">
        <x:f>IF($A878="","",IF($D878&lt;&gt;'Team Setup'!$B$4,"Other sprint",IF($C878="","Unassigned",IF(OR(ISNUMBER(SEARCH(",",$C878)),ISNUMBER(SEARCH(";",$C878))),"Multiple assignees",IF(COUNTIF('Team Setup'!$B$10:$B$34,$C878)=1,"Matched","Unmatched")))))</x:f>
      </x:c>
      <x:c r="G878" s="13" t="str">
        <x:f>IF($A878="","",IF($D878&lt;&gt;'Team Setup'!$B$4,"Other sprint",IF($E878="","Unestimated",IF(NOT(ISNUMBER($E878)),"Check estimate in hours",IF($E878&lt;0,"Check estimate in hours",IF($E878=0,"Unestimated","Estimated"))))))</x:f>
      </x:c>
    </x:row>
    <x:row r="879">
      <x:c r="A879" s="12"/>
      <x:c r="B879" s="12"/>
      <x:c r="C879" s="12"/>
      <x:c r="D879" s="12"/>
      <x:c r="E879" s="14"/>
      <x:c r="F879" s="13" t="str">
        <x:f>IF($A879="","",IF($D879&lt;&gt;'Team Setup'!$B$4,"Other sprint",IF($C879="","Unassigned",IF(OR(ISNUMBER(SEARCH(",",$C879)),ISNUMBER(SEARCH(";",$C879))),"Multiple assignees",IF(COUNTIF('Team Setup'!$B$10:$B$34,$C879)=1,"Matched","Unmatched")))))</x:f>
      </x:c>
      <x:c r="G879" s="13" t="str">
        <x:f>IF($A879="","",IF($D879&lt;&gt;'Team Setup'!$B$4,"Other sprint",IF($E879="","Unestimated",IF(NOT(ISNUMBER($E879)),"Check estimate in hours",IF($E879&lt;0,"Check estimate in hours",IF($E879=0,"Unestimated","Estimated"))))))</x:f>
      </x:c>
    </x:row>
    <x:row r="880">
      <x:c r="A880" s="12"/>
      <x:c r="B880" s="12"/>
      <x:c r="C880" s="12"/>
      <x:c r="D880" s="12"/>
      <x:c r="E880" s="14"/>
      <x:c r="F880" s="13" t="str">
        <x:f>IF($A880="","",IF($D880&lt;&gt;'Team Setup'!$B$4,"Other sprint",IF($C880="","Unassigned",IF(OR(ISNUMBER(SEARCH(",",$C880)),ISNUMBER(SEARCH(";",$C880))),"Multiple assignees",IF(COUNTIF('Team Setup'!$B$10:$B$34,$C880)=1,"Matched","Unmatched")))))</x:f>
      </x:c>
      <x:c r="G880" s="13" t="str">
        <x:f>IF($A880="","",IF($D880&lt;&gt;'Team Setup'!$B$4,"Other sprint",IF($E880="","Unestimated",IF(NOT(ISNUMBER($E880)),"Check estimate in hours",IF($E880&lt;0,"Check estimate in hours",IF($E880=0,"Unestimated","Estimated"))))))</x:f>
      </x:c>
    </x:row>
    <x:row r="881">
      <x:c r="A881" s="12"/>
      <x:c r="B881" s="12"/>
      <x:c r="C881" s="12"/>
      <x:c r="D881" s="12"/>
      <x:c r="E881" s="14"/>
      <x:c r="F881" s="13" t="str">
        <x:f>IF($A881="","",IF($D881&lt;&gt;'Team Setup'!$B$4,"Other sprint",IF($C881="","Unassigned",IF(OR(ISNUMBER(SEARCH(",",$C881)),ISNUMBER(SEARCH(";",$C881))),"Multiple assignees",IF(COUNTIF('Team Setup'!$B$10:$B$34,$C881)=1,"Matched","Unmatched")))))</x:f>
      </x:c>
      <x:c r="G881" s="13" t="str">
        <x:f>IF($A881="","",IF($D881&lt;&gt;'Team Setup'!$B$4,"Other sprint",IF($E881="","Unestimated",IF(NOT(ISNUMBER($E881)),"Check estimate in hours",IF($E881&lt;0,"Check estimate in hours",IF($E881=0,"Unestimated","Estimated"))))))</x:f>
      </x:c>
    </x:row>
    <x:row r="882">
      <x:c r="A882" s="12"/>
      <x:c r="B882" s="12"/>
      <x:c r="C882" s="12"/>
      <x:c r="D882" s="12"/>
      <x:c r="E882" s="14"/>
      <x:c r="F882" s="13" t="str">
        <x:f>IF($A882="","",IF($D882&lt;&gt;'Team Setup'!$B$4,"Other sprint",IF($C882="","Unassigned",IF(OR(ISNUMBER(SEARCH(",",$C882)),ISNUMBER(SEARCH(";",$C882))),"Multiple assignees",IF(COUNTIF('Team Setup'!$B$10:$B$34,$C882)=1,"Matched","Unmatched")))))</x:f>
      </x:c>
      <x:c r="G882" s="13" t="str">
        <x:f>IF($A882="","",IF($D882&lt;&gt;'Team Setup'!$B$4,"Other sprint",IF($E882="","Unestimated",IF(NOT(ISNUMBER($E882)),"Check estimate in hours",IF($E882&lt;0,"Check estimate in hours",IF($E882=0,"Unestimated","Estimated"))))))</x:f>
      </x:c>
    </x:row>
    <x:row r="883">
      <x:c r="A883" s="12"/>
      <x:c r="B883" s="12"/>
      <x:c r="C883" s="12"/>
      <x:c r="D883" s="12"/>
      <x:c r="E883" s="14"/>
      <x:c r="F883" s="13" t="str">
        <x:f>IF($A883="","",IF($D883&lt;&gt;'Team Setup'!$B$4,"Other sprint",IF($C883="","Unassigned",IF(OR(ISNUMBER(SEARCH(",",$C883)),ISNUMBER(SEARCH(";",$C883))),"Multiple assignees",IF(COUNTIF('Team Setup'!$B$10:$B$34,$C883)=1,"Matched","Unmatched")))))</x:f>
      </x:c>
      <x:c r="G883" s="13" t="str">
        <x:f>IF($A883="","",IF($D883&lt;&gt;'Team Setup'!$B$4,"Other sprint",IF($E883="","Unestimated",IF(NOT(ISNUMBER($E883)),"Check estimate in hours",IF($E883&lt;0,"Check estimate in hours",IF($E883=0,"Unestimated","Estimated"))))))</x:f>
      </x:c>
    </x:row>
    <x:row r="884">
      <x:c r="A884" s="12"/>
      <x:c r="B884" s="12"/>
      <x:c r="C884" s="12"/>
      <x:c r="D884" s="12"/>
      <x:c r="E884" s="14"/>
      <x:c r="F884" s="13" t="str">
        <x:f>IF($A884="","",IF($D884&lt;&gt;'Team Setup'!$B$4,"Other sprint",IF($C884="","Unassigned",IF(OR(ISNUMBER(SEARCH(",",$C884)),ISNUMBER(SEARCH(";",$C884))),"Multiple assignees",IF(COUNTIF('Team Setup'!$B$10:$B$34,$C884)=1,"Matched","Unmatched")))))</x:f>
      </x:c>
      <x:c r="G884" s="13" t="str">
        <x:f>IF($A884="","",IF($D884&lt;&gt;'Team Setup'!$B$4,"Other sprint",IF($E884="","Unestimated",IF(NOT(ISNUMBER($E884)),"Check estimate in hours",IF($E884&lt;0,"Check estimate in hours",IF($E884=0,"Unestimated","Estimated"))))))</x:f>
      </x:c>
    </x:row>
    <x:row r="885">
      <x:c r="A885" s="12"/>
      <x:c r="B885" s="12"/>
      <x:c r="C885" s="12"/>
      <x:c r="D885" s="12"/>
      <x:c r="E885" s="14"/>
      <x:c r="F885" s="13" t="str">
        <x:f>IF($A885="","",IF($D885&lt;&gt;'Team Setup'!$B$4,"Other sprint",IF($C885="","Unassigned",IF(OR(ISNUMBER(SEARCH(",",$C885)),ISNUMBER(SEARCH(";",$C885))),"Multiple assignees",IF(COUNTIF('Team Setup'!$B$10:$B$34,$C885)=1,"Matched","Unmatched")))))</x:f>
      </x:c>
      <x:c r="G885" s="13" t="str">
        <x:f>IF($A885="","",IF($D885&lt;&gt;'Team Setup'!$B$4,"Other sprint",IF($E885="","Unestimated",IF(NOT(ISNUMBER($E885)),"Check estimate in hours",IF($E885&lt;0,"Check estimate in hours",IF($E885=0,"Unestimated","Estimated"))))))</x:f>
      </x:c>
    </x:row>
    <x:row r="886">
      <x:c r="A886" s="12"/>
      <x:c r="B886" s="12"/>
      <x:c r="C886" s="12"/>
      <x:c r="D886" s="12"/>
      <x:c r="E886" s="14"/>
      <x:c r="F886" s="13" t="str">
        <x:f>IF($A886="","",IF($D886&lt;&gt;'Team Setup'!$B$4,"Other sprint",IF($C886="","Unassigned",IF(OR(ISNUMBER(SEARCH(",",$C886)),ISNUMBER(SEARCH(";",$C886))),"Multiple assignees",IF(COUNTIF('Team Setup'!$B$10:$B$34,$C886)=1,"Matched","Unmatched")))))</x:f>
      </x:c>
      <x:c r="G886" s="13" t="str">
        <x:f>IF($A886="","",IF($D886&lt;&gt;'Team Setup'!$B$4,"Other sprint",IF($E886="","Unestimated",IF(NOT(ISNUMBER($E886)),"Check estimate in hours",IF($E886&lt;0,"Check estimate in hours",IF($E886=0,"Unestimated","Estimated"))))))</x:f>
      </x:c>
    </x:row>
    <x:row r="887">
      <x:c r="A887" s="12"/>
      <x:c r="B887" s="12"/>
      <x:c r="C887" s="12"/>
      <x:c r="D887" s="12"/>
      <x:c r="E887" s="14"/>
      <x:c r="F887" s="13" t="str">
        <x:f>IF($A887="","",IF($D887&lt;&gt;'Team Setup'!$B$4,"Other sprint",IF($C887="","Unassigned",IF(OR(ISNUMBER(SEARCH(",",$C887)),ISNUMBER(SEARCH(";",$C887))),"Multiple assignees",IF(COUNTIF('Team Setup'!$B$10:$B$34,$C887)=1,"Matched","Unmatched")))))</x:f>
      </x:c>
      <x:c r="G887" s="13" t="str">
        <x:f>IF($A887="","",IF($D887&lt;&gt;'Team Setup'!$B$4,"Other sprint",IF($E887="","Unestimated",IF(NOT(ISNUMBER($E887)),"Check estimate in hours",IF($E887&lt;0,"Check estimate in hours",IF($E887=0,"Unestimated","Estimated"))))))</x:f>
      </x:c>
    </x:row>
    <x:row r="888">
      <x:c r="A888" s="12"/>
      <x:c r="B888" s="12"/>
      <x:c r="C888" s="12"/>
      <x:c r="D888" s="12"/>
      <x:c r="E888" s="14"/>
      <x:c r="F888" s="13" t="str">
        <x:f>IF($A888="","",IF($D888&lt;&gt;'Team Setup'!$B$4,"Other sprint",IF($C888="","Unassigned",IF(OR(ISNUMBER(SEARCH(",",$C888)),ISNUMBER(SEARCH(";",$C888))),"Multiple assignees",IF(COUNTIF('Team Setup'!$B$10:$B$34,$C888)=1,"Matched","Unmatched")))))</x:f>
      </x:c>
      <x:c r="G888" s="13" t="str">
        <x:f>IF($A888="","",IF($D888&lt;&gt;'Team Setup'!$B$4,"Other sprint",IF($E888="","Unestimated",IF(NOT(ISNUMBER($E888)),"Check estimate in hours",IF($E888&lt;0,"Check estimate in hours",IF($E888=0,"Unestimated","Estimated"))))))</x:f>
      </x:c>
    </x:row>
    <x:row r="889">
      <x:c r="A889" s="12"/>
      <x:c r="B889" s="12"/>
      <x:c r="C889" s="12"/>
      <x:c r="D889" s="12"/>
      <x:c r="E889" s="14"/>
      <x:c r="F889" s="13" t="str">
        <x:f>IF($A889="","",IF($D889&lt;&gt;'Team Setup'!$B$4,"Other sprint",IF($C889="","Unassigned",IF(OR(ISNUMBER(SEARCH(",",$C889)),ISNUMBER(SEARCH(";",$C889))),"Multiple assignees",IF(COUNTIF('Team Setup'!$B$10:$B$34,$C889)=1,"Matched","Unmatched")))))</x:f>
      </x:c>
      <x:c r="G889" s="13" t="str">
        <x:f>IF($A889="","",IF($D889&lt;&gt;'Team Setup'!$B$4,"Other sprint",IF($E889="","Unestimated",IF(NOT(ISNUMBER($E889)),"Check estimate in hours",IF($E889&lt;0,"Check estimate in hours",IF($E889=0,"Unestimated","Estimated"))))))</x:f>
      </x:c>
    </x:row>
    <x:row r="890">
      <x:c r="A890" s="12"/>
      <x:c r="B890" s="12"/>
      <x:c r="C890" s="12"/>
      <x:c r="D890" s="12"/>
      <x:c r="E890" s="14"/>
      <x:c r="F890" s="13" t="str">
        <x:f>IF($A890="","",IF($D890&lt;&gt;'Team Setup'!$B$4,"Other sprint",IF($C890="","Unassigned",IF(OR(ISNUMBER(SEARCH(",",$C890)),ISNUMBER(SEARCH(";",$C890))),"Multiple assignees",IF(COUNTIF('Team Setup'!$B$10:$B$34,$C890)=1,"Matched","Unmatched")))))</x:f>
      </x:c>
      <x:c r="G890" s="13" t="str">
        <x:f>IF($A890="","",IF($D890&lt;&gt;'Team Setup'!$B$4,"Other sprint",IF($E890="","Unestimated",IF(NOT(ISNUMBER($E890)),"Check estimate in hours",IF($E890&lt;0,"Check estimate in hours",IF($E890=0,"Unestimated","Estimated"))))))</x:f>
      </x:c>
    </x:row>
    <x:row r="891">
      <x:c r="A891" s="12"/>
      <x:c r="B891" s="12"/>
      <x:c r="C891" s="12"/>
      <x:c r="D891" s="12"/>
      <x:c r="E891" s="14"/>
      <x:c r="F891" s="13" t="str">
        <x:f>IF($A891="","",IF($D891&lt;&gt;'Team Setup'!$B$4,"Other sprint",IF($C891="","Unassigned",IF(OR(ISNUMBER(SEARCH(",",$C891)),ISNUMBER(SEARCH(";",$C891))),"Multiple assignees",IF(COUNTIF('Team Setup'!$B$10:$B$34,$C891)=1,"Matched","Unmatched")))))</x:f>
      </x:c>
      <x:c r="G891" s="13" t="str">
        <x:f>IF($A891="","",IF($D891&lt;&gt;'Team Setup'!$B$4,"Other sprint",IF($E891="","Unestimated",IF(NOT(ISNUMBER($E891)),"Check estimate in hours",IF($E891&lt;0,"Check estimate in hours",IF($E891=0,"Unestimated","Estimated"))))))</x:f>
      </x:c>
    </x:row>
    <x:row r="892">
      <x:c r="A892" s="12"/>
      <x:c r="B892" s="12"/>
      <x:c r="C892" s="12"/>
      <x:c r="D892" s="12"/>
      <x:c r="E892" s="14"/>
      <x:c r="F892" s="13" t="str">
        <x:f>IF($A892="","",IF($D892&lt;&gt;'Team Setup'!$B$4,"Other sprint",IF($C892="","Unassigned",IF(OR(ISNUMBER(SEARCH(",",$C892)),ISNUMBER(SEARCH(";",$C892))),"Multiple assignees",IF(COUNTIF('Team Setup'!$B$10:$B$34,$C892)=1,"Matched","Unmatched")))))</x:f>
      </x:c>
      <x:c r="G892" s="13" t="str">
        <x:f>IF($A892="","",IF($D892&lt;&gt;'Team Setup'!$B$4,"Other sprint",IF($E892="","Unestimated",IF(NOT(ISNUMBER($E892)),"Check estimate in hours",IF($E892&lt;0,"Check estimate in hours",IF($E892=0,"Unestimated","Estimated"))))))</x:f>
      </x:c>
    </x:row>
    <x:row r="893">
      <x:c r="A893" s="12"/>
      <x:c r="B893" s="12"/>
      <x:c r="C893" s="12"/>
      <x:c r="D893" s="12"/>
      <x:c r="E893" s="14"/>
      <x:c r="F893" s="13" t="str">
        <x:f>IF($A893="","",IF($D893&lt;&gt;'Team Setup'!$B$4,"Other sprint",IF($C893="","Unassigned",IF(OR(ISNUMBER(SEARCH(",",$C893)),ISNUMBER(SEARCH(";",$C893))),"Multiple assignees",IF(COUNTIF('Team Setup'!$B$10:$B$34,$C893)=1,"Matched","Unmatched")))))</x:f>
      </x:c>
      <x:c r="G893" s="13" t="str">
        <x:f>IF($A893="","",IF($D893&lt;&gt;'Team Setup'!$B$4,"Other sprint",IF($E893="","Unestimated",IF(NOT(ISNUMBER($E893)),"Check estimate in hours",IF($E893&lt;0,"Check estimate in hours",IF($E893=0,"Unestimated","Estimated"))))))</x:f>
      </x:c>
    </x:row>
    <x:row r="894">
      <x:c r="A894" s="12"/>
      <x:c r="B894" s="12"/>
      <x:c r="C894" s="12"/>
      <x:c r="D894" s="12"/>
      <x:c r="E894" s="14"/>
      <x:c r="F894" s="13" t="str">
        <x:f>IF($A894="","",IF($D894&lt;&gt;'Team Setup'!$B$4,"Other sprint",IF($C894="","Unassigned",IF(OR(ISNUMBER(SEARCH(",",$C894)),ISNUMBER(SEARCH(";",$C894))),"Multiple assignees",IF(COUNTIF('Team Setup'!$B$10:$B$34,$C894)=1,"Matched","Unmatched")))))</x:f>
      </x:c>
      <x:c r="G894" s="13" t="str">
        <x:f>IF($A894="","",IF($D894&lt;&gt;'Team Setup'!$B$4,"Other sprint",IF($E894="","Unestimated",IF(NOT(ISNUMBER($E894)),"Check estimate in hours",IF($E894&lt;0,"Check estimate in hours",IF($E894=0,"Unestimated","Estimated"))))))</x:f>
      </x:c>
    </x:row>
    <x:row r="895">
      <x:c r="A895" s="12"/>
      <x:c r="B895" s="12"/>
      <x:c r="C895" s="12"/>
      <x:c r="D895" s="12"/>
      <x:c r="E895" s="14"/>
      <x:c r="F895" s="13" t="str">
        <x:f>IF($A895="","",IF($D895&lt;&gt;'Team Setup'!$B$4,"Other sprint",IF($C895="","Unassigned",IF(OR(ISNUMBER(SEARCH(",",$C895)),ISNUMBER(SEARCH(";",$C895))),"Multiple assignees",IF(COUNTIF('Team Setup'!$B$10:$B$34,$C895)=1,"Matched","Unmatched")))))</x:f>
      </x:c>
      <x:c r="G895" s="13" t="str">
        <x:f>IF($A895="","",IF($D895&lt;&gt;'Team Setup'!$B$4,"Other sprint",IF($E895="","Unestimated",IF(NOT(ISNUMBER($E895)),"Check estimate in hours",IF($E895&lt;0,"Check estimate in hours",IF($E895=0,"Unestimated","Estimated"))))))</x:f>
      </x:c>
    </x:row>
    <x:row r="896">
      <x:c r="A896" s="12"/>
      <x:c r="B896" s="12"/>
      <x:c r="C896" s="12"/>
      <x:c r="D896" s="12"/>
      <x:c r="E896" s="14"/>
      <x:c r="F896" s="13" t="str">
        <x:f>IF($A896="","",IF($D896&lt;&gt;'Team Setup'!$B$4,"Other sprint",IF($C896="","Unassigned",IF(OR(ISNUMBER(SEARCH(",",$C896)),ISNUMBER(SEARCH(";",$C896))),"Multiple assignees",IF(COUNTIF('Team Setup'!$B$10:$B$34,$C896)=1,"Matched","Unmatched")))))</x:f>
      </x:c>
      <x:c r="G896" s="13" t="str">
        <x:f>IF($A896="","",IF($D896&lt;&gt;'Team Setup'!$B$4,"Other sprint",IF($E896="","Unestimated",IF(NOT(ISNUMBER($E896)),"Check estimate in hours",IF($E896&lt;0,"Check estimate in hours",IF($E896=0,"Unestimated","Estimated"))))))</x:f>
      </x:c>
    </x:row>
    <x:row r="897">
      <x:c r="A897" s="12"/>
      <x:c r="B897" s="12"/>
      <x:c r="C897" s="12"/>
      <x:c r="D897" s="12"/>
      <x:c r="E897" s="14"/>
      <x:c r="F897" s="13" t="str">
        <x:f>IF($A897="","",IF($D897&lt;&gt;'Team Setup'!$B$4,"Other sprint",IF($C897="","Unassigned",IF(OR(ISNUMBER(SEARCH(",",$C897)),ISNUMBER(SEARCH(";",$C897))),"Multiple assignees",IF(COUNTIF('Team Setup'!$B$10:$B$34,$C897)=1,"Matched","Unmatched")))))</x:f>
      </x:c>
      <x:c r="G897" s="13" t="str">
        <x:f>IF($A897="","",IF($D897&lt;&gt;'Team Setup'!$B$4,"Other sprint",IF($E897="","Unestimated",IF(NOT(ISNUMBER($E897)),"Check estimate in hours",IF($E897&lt;0,"Check estimate in hours",IF($E897=0,"Unestimated","Estimated"))))))</x:f>
      </x:c>
    </x:row>
    <x:row r="898">
      <x:c r="A898" s="12"/>
      <x:c r="B898" s="12"/>
      <x:c r="C898" s="12"/>
      <x:c r="D898" s="12"/>
      <x:c r="E898" s="14"/>
      <x:c r="F898" s="13" t="str">
        <x:f>IF($A898="","",IF($D898&lt;&gt;'Team Setup'!$B$4,"Other sprint",IF($C898="","Unassigned",IF(OR(ISNUMBER(SEARCH(",",$C898)),ISNUMBER(SEARCH(";",$C898))),"Multiple assignees",IF(COUNTIF('Team Setup'!$B$10:$B$34,$C898)=1,"Matched","Unmatched")))))</x:f>
      </x:c>
      <x:c r="G898" s="13" t="str">
        <x:f>IF($A898="","",IF($D898&lt;&gt;'Team Setup'!$B$4,"Other sprint",IF($E898="","Unestimated",IF(NOT(ISNUMBER($E898)),"Check estimate in hours",IF($E898&lt;0,"Check estimate in hours",IF($E898=0,"Unestimated","Estimated"))))))</x:f>
      </x:c>
    </x:row>
    <x:row r="899">
      <x:c r="A899" s="12"/>
      <x:c r="B899" s="12"/>
      <x:c r="C899" s="12"/>
      <x:c r="D899" s="12"/>
      <x:c r="E899" s="14"/>
      <x:c r="F899" s="13" t="str">
        <x:f>IF($A899="","",IF($D899&lt;&gt;'Team Setup'!$B$4,"Other sprint",IF($C899="","Unassigned",IF(OR(ISNUMBER(SEARCH(",",$C899)),ISNUMBER(SEARCH(";",$C899))),"Multiple assignees",IF(COUNTIF('Team Setup'!$B$10:$B$34,$C899)=1,"Matched","Unmatched")))))</x:f>
      </x:c>
      <x:c r="G899" s="13" t="str">
        <x:f>IF($A899="","",IF($D899&lt;&gt;'Team Setup'!$B$4,"Other sprint",IF($E899="","Unestimated",IF(NOT(ISNUMBER($E899)),"Check estimate in hours",IF($E899&lt;0,"Check estimate in hours",IF($E899=0,"Unestimated","Estimated"))))))</x:f>
      </x:c>
    </x:row>
    <x:row r="900">
      <x:c r="A900" s="12"/>
      <x:c r="B900" s="12"/>
      <x:c r="C900" s="12"/>
      <x:c r="D900" s="12"/>
      <x:c r="E900" s="14"/>
      <x:c r="F900" s="13" t="str">
        <x:f>IF($A900="","",IF($D900&lt;&gt;'Team Setup'!$B$4,"Other sprint",IF($C900="","Unassigned",IF(OR(ISNUMBER(SEARCH(",",$C900)),ISNUMBER(SEARCH(";",$C900))),"Multiple assignees",IF(COUNTIF('Team Setup'!$B$10:$B$34,$C900)=1,"Matched","Unmatched")))))</x:f>
      </x:c>
      <x:c r="G900" s="13" t="str">
        <x:f>IF($A900="","",IF($D900&lt;&gt;'Team Setup'!$B$4,"Other sprint",IF($E900="","Unestimated",IF(NOT(ISNUMBER($E900)),"Check estimate in hours",IF($E900&lt;0,"Check estimate in hours",IF($E900=0,"Unestimated","Estimated"))))))</x:f>
      </x:c>
    </x:row>
    <x:row r="901">
      <x:c r="A901" s="12"/>
      <x:c r="B901" s="12"/>
      <x:c r="C901" s="12"/>
      <x:c r="D901" s="12"/>
      <x:c r="E901" s="14"/>
      <x:c r="F901" s="13" t="str">
        <x:f>IF($A901="","",IF($D901&lt;&gt;'Team Setup'!$B$4,"Other sprint",IF($C901="","Unassigned",IF(OR(ISNUMBER(SEARCH(",",$C901)),ISNUMBER(SEARCH(";",$C901))),"Multiple assignees",IF(COUNTIF('Team Setup'!$B$10:$B$34,$C901)=1,"Matched","Unmatched")))))</x:f>
      </x:c>
      <x:c r="G901" s="13" t="str">
        <x:f>IF($A901="","",IF($D901&lt;&gt;'Team Setup'!$B$4,"Other sprint",IF($E901="","Unestimated",IF(NOT(ISNUMBER($E901)),"Check estimate in hours",IF($E901&lt;0,"Check estimate in hours",IF($E901=0,"Unestimated","Estimated"))))))</x:f>
      </x:c>
    </x:row>
    <x:row r="902">
      <x:c r="A902" s="12"/>
      <x:c r="B902" s="12"/>
      <x:c r="C902" s="12"/>
      <x:c r="D902" s="12"/>
      <x:c r="E902" s="14"/>
      <x:c r="F902" s="13" t="str">
        <x:f>IF($A902="","",IF($D902&lt;&gt;'Team Setup'!$B$4,"Other sprint",IF($C902="","Unassigned",IF(OR(ISNUMBER(SEARCH(",",$C902)),ISNUMBER(SEARCH(";",$C902))),"Multiple assignees",IF(COUNTIF('Team Setup'!$B$10:$B$34,$C902)=1,"Matched","Unmatched")))))</x:f>
      </x:c>
      <x:c r="G902" s="13" t="str">
        <x:f>IF($A902="","",IF($D902&lt;&gt;'Team Setup'!$B$4,"Other sprint",IF($E902="","Unestimated",IF(NOT(ISNUMBER($E902)),"Check estimate in hours",IF($E902&lt;0,"Check estimate in hours",IF($E902=0,"Unestimated","Estimated"))))))</x:f>
      </x:c>
    </x:row>
    <x:row r="903">
      <x:c r="A903" s="12"/>
      <x:c r="B903" s="12"/>
      <x:c r="C903" s="12"/>
      <x:c r="D903" s="12"/>
      <x:c r="E903" s="14"/>
      <x:c r="F903" s="13" t="str">
        <x:f>IF($A903="","",IF($D903&lt;&gt;'Team Setup'!$B$4,"Other sprint",IF($C903="","Unassigned",IF(OR(ISNUMBER(SEARCH(",",$C903)),ISNUMBER(SEARCH(";",$C903))),"Multiple assignees",IF(COUNTIF('Team Setup'!$B$10:$B$34,$C903)=1,"Matched","Unmatched")))))</x:f>
      </x:c>
      <x:c r="G903" s="13" t="str">
        <x:f>IF($A903="","",IF($D903&lt;&gt;'Team Setup'!$B$4,"Other sprint",IF($E903="","Unestimated",IF(NOT(ISNUMBER($E903)),"Check estimate in hours",IF($E903&lt;0,"Check estimate in hours",IF($E903=0,"Unestimated","Estimated"))))))</x:f>
      </x:c>
    </x:row>
    <x:row r="904">
      <x:c r="A904" s="12"/>
      <x:c r="B904" s="12"/>
      <x:c r="C904" s="12"/>
      <x:c r="D904" s="12"/>
      <x:c r="E904" s="14"/>
      <x:c r="F904" s="13" t="str">
        <x:f>IF($A904="","",IF($D904&lt;&gt;'Team Setup'!$B$4,"Other sprint",IF($C904="","Unassigned",IF(OR(ISNUMBER(SEARCH(",",$C904)),ISNUMBER(SEARCH(";",$C904))),"Multiple assignees",IF(COUNTIF('Team Setup'!$B$10:$B$34,$C904)=1,"Matched","Unmatched")))))</x:f>
      </x:c>
      <x:c r="G904" s="13" t="str">
        <x:f>IF($A904="","",IF($D904&lt;&gt;'Team Setup'!$B$4,"Other sprint",IF($E904="","Unestimated",IF(NOT(ISNUMBER($E904)),"Check estimate in hours",IF($E904&lt;0,"Check estimate in hours",IF($E904=0,"Unestimated","Estimated"))))))</x:f>
      </x:c>
    </x:row>
    <x:row r="905">
      <x:c r="A905" s="12"/>
      <x:c r="B905" s="12"/>
      <x:c r="C905" s="12"/>
      <x:c r="D905" s="12"/>
      <x:c r="E905" s="14"/>
      <x:c r="F905" s="13" t="str">
        <x:f>IF($A905="","",IF($D905&lt;&gt;'Team Setup'!$B$4,"Other sprint",IF($C905="","Unassigned",IF(OR(ISNUMBER(SEARCH(",",$C905)),ISNUMBER(SEARCH(";",$C905))),"Multiple assignees",IF(COUNTIF('Team Setup'!$B$10:$B$34,$C905)=1,"Matched","Unmatched")))))</x:f>
      </x:c>
      <x:c r="G905" s="13" t="str">
        <x:f>IF($A905="","",IF($D905&lt;&gt;'Team Setup'!$B$4,"Other sprint",IF($E905="","Unestimated",IF(NOT(ISNUMBER($E905)),"Check estimate in hours",IF($E905&lt;0,"Check estimate in hours",IF($E905=0,"Unestimated","Estimated"))))))</x:f>
      </x:c>
    </x:row>
    <x:row r="906">
      <x:c r="A906" s="12"/>
      <x:c r="B906" s="12"/>
      <x:c r="C906" s="12"/>
      <x:c r="D906" s="12"/>
      <x:c r="E906" s="14"/>
      <x:c r="F906" s="13" t="str">
        <x:f>IF($A906="","",IF($D906&lt;&gt;'Team Setup'!$B$4,"Other sprint",IF($C906="","Unassigned",IF(OR(ISNUMBER(SEARCH(",",$C906)),ISNUMBER(SEARCH(";",$C906))),"Multiple assignees",IF(COUNTIF('Team Setup'!$B$10:$B$34,$C906)=1,"Matched","Unmatched")))))</x:f>
      </x:c>
      <x:c r="G906" s="13" t="str">
        <x:f>IF($A906="","",IF($D906&lt;&gt;'Team Setup'!$B$4,"Other sprint",IF($E906="","Unestimated",IF(NOT(ISNUMBER($E906)),"Check estimate in hours",IF($E906&lt;0,"Check estimate in hours",IF($E906=0,"Unestimated","Estimated"))))))</x:f>
      </x:c>
    </x:row>
    <x:row r="907">
      <x:c r="A907" s="12"/>
      <x:c r="B907" s="12"/>
      <x:c r="C907" s="12"/>
      <x:c r="D907" s="12"/>
      <x:c r="E907" s="14"/>
      <x:c r="F907" s="13" t="str">
        <x:f>IF($A907="","",IF($D907&lt;&gt;'Team Setup'!$B$4,"Other sprint",IF($C907="","Unassigned",IF(OR(ISNUMBER(SEARCH(",",$C907)),ISNUMBER(SEARCH(";",$C907))),"Multiple assignees",IF(COUNTIF('Team Setup'!$B$10:$B$34,$C907)=1,"Matched","Unmatched")))))</x:f>
      </x:c>
      <x:c r="G907" s="13" t="str">
        <x:f>IF($A907="","",IF($D907&lt;&gt;'Team Setup'!$B$4,"Other sprint",IF($E907="","Unestimated",IF(NOT(ISNUMBER($E907)),"Check estimate in hours",IF($E907&lt;0,"Check estimate in hours",IF($E907=0,"Unestimated","Estimated"))))))</x:f>
      </x:c>
    </x:row>
    <x:row r="908">
      <x:c r="A908" s="12"/>
      <x:c r="B908" s="12"/>
      <x:c r="C908" s="12"/>
      <x:c r="D908" s="12"/>
      <x:c r="E908" s="14"/>
      <x:c r="F908" s="13" t="str">
        <x:f>IF($A908="","",IF($D908&lt;&gt;'Team Setup'!$B$4,"Other sprint",IF($C908="","Unassigned",IF(OR(ISNUMBER(SEARCH(",",$C908)),ISNUMBER(SEARCH(";",$C908))),"Multiple assignees",IF(COUNTIF('Team Setup'!$B$10:$B$34,$C908)=1,"Matched","Unmatched")))))</x:f>
      </x:c>
      <x:c r="G908" s="13" t="str">
        <x:f>IF($A908="","",IF($D908&lt;&gt;'Team Setup'!$B$4,"Other sprint",IF($E908="","Unestimated",IF(NOT(ISNUMBER($E908)),"Check estimate in hours",IF($E908&lt;0,"Check estimate in hours",IF($E908=0,"Unestimated","Estimated"))))))</x:f>
      </x:c>
    </x:row>
    <x:row r="909">
      <x:c r="A909" s="12"/>
      <x:c r="B909" s="12"/>
      <x:c r="C909" s="12"/>
      <x:c r="D909" s="12"/>
      <x:c r="E909" s="14"/>
      <x:c r="F909" s="13" t="str">
        <x:f>IF($A909="","",IF($D909&lt;&gt;'Team Setup'!$B$4,"Other sprint",IF($C909="","Unassigned",IF(OR(ISNUMBER(SEARCH(",",$C909)),ISNUMBER(SEARCH(";",$C909))),"Multiple assignees",IF(COUNTIF('Team Setup'!$B$10:$B$34,$C909)=1,"Matched","Unmatched")))))</x:f>
      </x:c>
      <x:c r="G909" s="13" t="str">
        <x:f>IF($A909="","",IF($D909&lt;&gt;'Team Setup'!$B$4,"Other sprint",IF($E909="","Unestimated",IF(NOT(ISNUMBER($E909)),"Check estimate in hours",IF($E909&lt;0,"Check estimate in hours",IF($E909=0,"Unestimated","Estimated"))))))</x:f>
      </x:c>
    </x:row>
    <x:row r="910">
      <x:c r="A910" s="12"/>
      <x:c r="B910" s="12"/>
      <x:c r="C910" s="12"/>
      <x:c r="D910" s="12"/>
      <x:c r="E910" s="14"/>
      <x:c r="F910" s="13" t="str">
        <x:f>IF($A910="","",IF($D910&lt;&gt;'Team Setup'!$B$4,"Other sprint",IF($C910="","Unassigned",IF(OR(ISNUMBER(SEARCH(",",$C910)),ISNUMBER(SEARCH(";",$C910))),"Multiple assignees",IF(COUNTIF('Team Setup'!$B$10:$B$34,$C910)=1,"Matched","Unmatched")))))</x:f>
      </x:c>
      <x:c r="G910" s="13" t="str">
        <x:f>IF($A910="","",IF($D910&lt;&gt;'Team Setup'!$B$4,"Other sprint",IF($E910="","Unestimated",IF(NOT(ISNUMBER($E910)),"Check estimate in hours",IF($E910&lt;0,"Check estimate in hours",IF($E910=0,"Unestimated","Estimated"))))))</x:f>
      </x:c>
    </x:row>
    <x:row r="911">
      <x:c r="A911" s="12"/>
      <x:c r="B911" s="12"/>
      <x:c r="C911" s="12"/>
      <x:c r="D911" s="12"/>
      <x:c r="E911" s="14"/>
      <x:c r="F911" s="13" t="str">
        <x:f>IF($A911="","",IF($D911&lt;&gt;'Team Setup'!$B$4,"Other sprint",IF($C911="","Unassigned",IF(OR(ISNUMBER(SEARCH(",",$C911)),ISNUMBER(SEARCH(";",$C911))),"Multiple assignees",IF(COUNTIF('Team Setup'!$B$10:$B$34,$C911)=1,"Matched","Unmatched")))))</x:f>
      </x:c>
      <x:c r="G911" s="13" t="str">
        <x:f>IF($A911="","",IF($D911&lt;&gt;'Team Setup'!$B$4,"Other sprint",IF($E911="","Unestimated",IF(NOT(ISNUMBER($E911)),"Check estimate in hours",IF($E911&lt;0,"Check estimate in hours",IF($E911=0,"Unestimated","Estimated"))))))</x:f>
      </x:c>
    </x:row>
    <x:row r="912">
      <x:c r="A912" s="12"/>
      <x:c r="B912" s="12"/>
      <x:c r="C912" s="12"/>
      <x:c r="D912" s="12"/>
      <x:c r="E912" s="14"/>
      <x:c r="F912" s="13" t="str">
        <x:f>IF($A912="","",IF($D912&lt;&gt;'Team Setup'!$B$4,"Other sprint",IF($C912="","Unassigned",IF(OR(ISNUMBER(SEARCH(",",$C912)),ISNUMBER(SEARCH(";",$C912))),"Multiple assignees",IF(COUNTIF('Team Setup'!$B$10:$B$34,$C912)=1,"Matched","Unmatched")))))</x:f>
      </x:c>
      <x:c r="G912" s="13" t="str">
        <x:f>IF($A912="","",IF($D912&lt;&gt;'Team Setup'!$B$4,"Other sprint",IF($E912="","Unestimated",IF(NOT(ISNUMBER($E912)),"Check estimate in hours",IF($E912&lt;0,"Check estimate in hours",IF($E912=0,"Unestimated","Estimated"))))))</x:f>
      </x:c>
    </x:row>
    <x:row r="913">
      <x:c r="A913" s="12"/>
      <x:c r="B913" s="12"/>
      <x:c r="C913" s="12"/>
      <x:c r="D913" s="12"/>
      <x:c r="E913" s="14"/>
      <x:c r="F913" s="13" t="str">
        <x:f>IF($A913="","",IF($D913&lt;&gt;'Team Setup'!$B$4,"Other sprint",IF($C913="","Unassigned",IF(OR(ISNUMBER(SEARCH(",",$C913)),ISNUMBER(SEARCH(";",$C913))),"Multiple assignees",IF(COUNTIF('Team Setup'!$B$10:$B$34,$C913)=1,"Matched","Unmatched")))))</x:f>
      </x:c>
      <x:c r="G913" s="13" t="str">
        <x:f>IF($A913="","",IF($D913&lt;&gt;'Team Setup'!$B$4,"Other sprint",IF($E913="","Unestimated",IF(NOT(ISNUMBER($E913)),"Check estimate in hours",IF($E913&lt;0,"Check estimate in hours",IF($E913=0,"Unestimated","Estimated"))))))</x:f>
      </x:c>
    </x:row>
    <x:row r="914">
      <x:c r="A914" s="12"/>
      <x:c r="B914" s="12"/>
      <x:c r="C914" s="12"/>
      <x:c r="D914" s="12"/>
      <x:c r="E914" s="14"/>
      <x:c r="F914" s="13" t="str">
        <x:f>IF($A914="","",IF($D914&lt;&gt;'Team Setup'!$B$4,"Other sprint",IF($C914="","Unassigned",IF(OR(ISNUMBER(SEARCH(",",$C914)),ISNUMBER(SEARCH(";",$C914))),"Multiple assignees",IF(COUNTIF('Team Setup'!$B$10:$B$34,$C914)=1,"Matched","Unmatched")))))</x:f>
      </x:c>
      <x:c r="G914" s="13" t="str">
        <x:f>IF($A914="","",IF($D914&lt;&gt;'Team Setup'!$B$4,"Other sprint",IF($E914="","Unestimated",IF(NOT(ISNUMBER($E914)),"Check estimate in hours",IF($E914&lt;0,"Check estimate in hours",IF($E914=0,"Unestimated","Estimated"))))))</x:f>
      </x:c>
    </x:row>
    <x:row r="915">
      <x:c r="A915" s="12"/>
      <x:c r="B915" s="12"/>
      <x:c r="C915" s="12"/>
      <x:c r="D915" s="12"/>
      <x:c r="E915" s="14"/>
      <x:c r="F915" s="13" t="str">
        <x:f>IF($A915="","",IF($D915&lt;&gt;'Team Setup'!$B$4,"Other sprint",IF($C915="","Unassigned",IF(OR(ISNUMBER(SEARCH(",",$C915)),ISNUMBER(SEARCH(";",$C915))),"Multiple assignees",IF(COUNTIF('Team Setup'!$B$10:$B$34,$C915)=1,"Matched","Unmatched")))))</x:f>
      </x:c>
      <x:c r="G915" s="13" t="str">
        <x:f>IF($A915="","",IF($D915&lt;&gt;'Team Setup'!$B$4,"Other sprint",IF($E915="","Unestimated",IF(NOT(ISNUMBER($E915)),"Check estimate in hours",IF($E915&lt;0,"Check estimate in hours",IF($E915=0,"Unestimated","Estimated"))))))</x:f>
      </x:c>
    </x:row>
    <x:row r="916">
      <x:c r="A916" s="12"/>
      <x:c r="B916" s="12"/>
      <x:c r="C916" s="12"/>
      <x:c r="D916" s="12"/>
      <x:c r="E916" s="14"/>
      <x:c r="F916" s="13" t="str">
        <x:f>IF($A916="","",IF($D916&lt;&gt;'Team Setup'!$B$4,"Other sprint",IF($C916="","Unassigned",IF(OR(ISNUMBER(SEARCH(",",$C916)),ISNUMBER(SEARCH(";",$C916))),"Multiple assignees",IF(COUNTIF('Team Setup'!$B$10:$B$34,$C916)=1,"Matched","Unmatched")))))</x:f>
      </x:c>
      <x:c r="G916" s="13" t="str">
        <x:f>IF($A916="","",IF($D916&lt;&gt;'Team Setup'!$B$4,"Other sprint",IF($E916="","Unestimated",IF(NOT(ISNUMBER($E916)),"Check estimate in hours",IF($E916&lt;0,"Check estimate in hours",IF($E916=0,"Unestimated","Estimated"))))))</x:f>
      </x:c>
    </x:row>
    <x:row r="917">
      <x:c r="A917" s="12"/>
      <x:c r="B917" s="12"/>
      <x:c r="C917" s="12"/>
      <x:c r="D917" s="12"/>
      <x:c r="E917" s="14"/>
      <x:c r="F917" s="13" t="str">
        <x:f>IF($A917="","",IF($D917&lt;&gt;'Team Setup'!$B$4,"Other sprint",IF($C917="","Unassigned",IF(OR(ISNUMBER(SEARCH(",",$C917)),ISNUMBER(SEARCH(";",$C917))),"Multiple assignees",IF(COUNTIF('Team Setup'!$B$10:$B$34,$C917)=1,"Matched","Unmatched")))))</x:f>
      </x:c>
      <x:c r="G917" s="13" t="str">
        <x:f>IF($A917="","",IF($D917&lt;&gt;'Team Setup'!$B$4,"Other sprint",IF($E917="","Unestimated",IF(NOT(ISNUMBER($E917)),"Check estimate in hours",IF($E917&lt;0,"Check estimate in hours",IF($E917=0,"Unestimated","Estimated"))))))</x:f>
      </x:c>
    </x:row>
    <x:row r="918">
      <x:c r="A918" s="12"/>
      <x:c r="B918" s="12"/>
      <x:c r="C918" s="12"/>
      <x:c r="D918" s="12"/>
      <x:c r="E918" s="14"/>
      <x:c r="F918" s="13" t="str">
        <x:f>IF($A918="","",IF($D918&lt;&gt;'Team Setup'!$B$4,"Other sprint",IF($C918="","Unassigned",IF(OR(ISNUMBER(SEARCH(",",$C918)),ISNUMBER(SEARCH(";",$C918))),"Multiple assignees",IF(COUNTIF('Team Setup'!$B$10:$B$34,$C918)=1,"Matched","Unmatched")))))</x:f>
      </x:c>
      <x:c r="G918" s="13" t="str">
        <x:f>IF($A918="","",IF($D918&lt;&gt;'Team Setup'!$B$4,"Other sprint",IF($E918="","Unestimated",IF(NOT(ISNUMBER($E918)),"Check estimate in hours",IF($E918&lt;0,"Check estimate in hours",IF($E918=0,"Unestimated","Estimated"))))))</x:f>
      </x:c>
    </x:row>
    <x:row r="919">
      <x:c r="A919" s="12"/>
      <x:c r="B919" s="12"/>
      <x:c r="C919" s="12"/>
      <x:c r="D919" s="12"/>
      <x:c r="E919" s="14"/>
      <x:c r="F919" s="13" t="str">
        <x:f>IF($A919="","",IF($D919&lt;&gt;'Team Setup'!$B$4,"Other sprint",IF($C919="","Unassigned",IF(OR(ISNUMBER(SEARCH(",",$C919)),ISNUMBER(SEARCH(";",$C919))),"Multiple assignees",IF(COUNTIF('Team Setup'!$B$10:$B$34,$C919)=1,"Matched","Unmatched")))))</x:f>
      </x:c>
      <x:c r="G919" s="13" t="str">
        <x:f>IF($A919="","",IF($D919&lt;&gt;'Team Setup'!$B$4,"Other sprint",IF($E919="","Unestimated",IF(NOT(ISNUMBER($E919)),"Check estimate in hours",IF($E919&lt;0,"Check estimate in hours",IF($E919=0,"Unestimated","Estimated"))))))</x:f>
      </x:c>
    </x:row>
    <x:row r="920">
      <x:c r="A920" s="12"/>
      <x:c r="B920" s="12"/>
      <x:c r="C920" s="12"/>
      <x:c r="D920" s="12"/>
      <x:c r="E920" s="14"/>
      <x:c r="F920" s="13" t="str">
        <x:f>IF($A920="","",IF($D920&lt;&gt;'Team Setup'!$B$4,"Other sprint",IF($C920="","Unassigned",IF(OR(ISNUMBER(SEARCH(",",$C920)),ISNUMBER(SEARCH(";",$C920))),"Multiple assignees",IF(COUNTIF('Team Setup'!$B$10:$B$34,$C920)=1,"Matched","Unmatched")))))</x:f>
      </x:c>
      <x:c r="G920" s="13" t="str">
        <x:f>IF($A920="","",IF($D920&lt;&gt;'Team Setup'!$B$4,"Other sprint",IF($E920="","Unestimated",IF(NOT(ISNUMBER($E920)),"Check estimate in hours",IF($E920&lt;0,"Check estimate in hours",IF($E920=0,"Unestimated","Estimated"))))))</x:f>
      </x:c>
    </x:row>
    <x:row r="921">
      <x:c r="A921" s="12"/>
      <x:c r="B921" s="12"/>
      <x:c r="C921" s="12"/>
      <x:c r="D921" s="12"/>
      <x:c r="E921" s="14"/>
      <x:c r="F921" s="13" t="str">
        <x:f>IF($A921="","",IF($D921&lt;&gt;'Team Setup'!$B$4,"Other sprint",IF($C921="","Unassigned",IF(OR(ISNUMBER(SEARCH(",",$C921)),ISNUMBER(SEARCH(";",$C921))),"Multiple assignees",IF(COUNTIF('Team Setup'!$B$10:$B$34,$C921)=1,"Matched","Unmatched")))))</x:f>
      </x:c>
      <x:c r="G921" s="13" t="str">
        <x:f>IF($A921="","",IF($D921&lt;&gt;'Team Setup'!$B$4,"Other sprint",IF($E921="","Unestimated",IF(NOT(ISNUMBER($E921)),"Check estimate in hours",IF($E921&lt;0,"Check estimate in hours",IF($E921=0,"Unestimated","Estimated"))))))</x:f>
      </x:c>
    </x:row>
    <x:row r="922">
      <x:c r="A922" s="12"/>
      <x:c r="B922" s="12"/>
      <x:c r="C922" s="12"/>
      <x:c r="D922" s="12"/>
      <x:c r="E922" s="14"/>
      <x:c r="F922" s="13" t="str">
        <x:f>IF($A922="","",IF($D922&lt;&gt;'Team Setup'!$B$4,"Other sprint",IF($C922="","Unassigned",IF(OR(ISNUMBER(SEARCH(",",$C922)),ISNUMBER(SEARCH(";",$C922))),"Multiple assignees",IF(COUNTIF('Team Setup'!$B$10:$B$34,$C922)=1,"Matched","Unmatched")))))</x:f>
      </x:c>
      <x:c r="G922" s="13" t="str">
        <x:f>IF($A922="","",IF($D922&lt;&gt;'Team Setup'!$B$4,"Other sprint",IF($E922="","Unestimated",IF(NOT(ISNUMBER($E922)),"Check estimate in hours",IF($E922&lt;0,"Check estimate in hours",IF($E922=0,"Unestimated","Estimated"))))))</x:f>
      </x:c>
    </x:row>
    <x:row r="923">
      <x:c r="A923" s="12"/>
      <x:c r="B923" s="12"/>
      <x:c r="C923" s="12"/>
      <x:c r="D923" s="12"/>
      <x:c r="E923" s="14"/>
      <x:c r="F923" s="13" t="str">
        <x:f>IF($A923="","",IF($D923&lt;&gt;'Team Setup'!$B$4,"Other sprint",IF($C923="","Unassigned",IF(OR(ISNUMBER(SEARCH(",",$C923)),ISNUMBER(SEARCH(";",$C923))),"Multiple assignees",IF(COUNTIF('Team Setup'!$B$10:$B$34,$C923)=1,"Matched","Unmatched")))))</x:f>
      </x:c>
      <x:c r="G923" s="13" t="str">
        <x:f>IF($A923="","",IF($D923&lt;&gt;'Team Setup'!$B$4,"Other sprint",IF($E923="","Unestimated",IF(NOT(ISNUMBER($E923)),"Check estimate in hours",IF($E923&lt;0,"Check estimate in hours",IF($E923=0,"Unestimated","Estimated"))))))</x:f>
      </x:c>
    </x:row>
    <x:row r="924">
      <x:c r="A924" s="12"/>
      <x:c r="B924" s="12"/>
      <x:c r="C924" s="12"/>
      <x:c r="D924" s="12"/>
      <x:c r="E924" s="14"/>
      <x:c r="F924" s="13" t="str">
        <x:f>IF($A924="","",IF($D924&lt;&gt;'Team Setup'!$B$4,"Other sprint",IF($C924="","Unassigned",IF(OR(ISNUMBER(SEARCH(",",$C924)),ISNUMBER(SEARCH(";",$C924))),"Multiple assignees",IF(COUNTIF('Team Setup'!$B$10:$B$34,$C924)=1,"Matched","Unmatched")))))</x:f>
      </x:c>
      <x:c r="G924" s="13" t="str">
        <x:f>IF($A924="","",IF($D924&lt;&gt;'Team Setup'!$B$4,"Other sprint",IF($E924="","Unestimated",IF(NOT(ISNUMBER($E924)),"Check estimate in hours",IF($E924&lt;0,"Check estimate in hours",IF($E924=0,"Unestimated","Estimated"))))))</x:f>
      </x:c>
    </x:row>
    <x:row r="925">
      <x:c r="A925" s="12"/>
      <x:c r="B925" s="12"/>
      <x:c r="C925" s="12"/>
      <x:c r="D925" s="12"/>
      <x:c r="E925" s="14"/>
      <x:c r="F925" s="13" t="str">
        <x:f>IF($A925="","",IF($D925&lt;&gt;'Team Setup'!$B$4,"Other sprint",IF($C925="","Unassigned",IF(OR(ISNUMBER(SEARCH(",",$C925)),ISNUMBER(SEARCH(";",$C925))),"Multiple assignees",IF(COUNTIF('Team Setup'!$B$10:$B$34,$C925)=1,"Matched","Unmatched")))))</x:f>
      </x:c>
      <x:c r="G925" s="13" t="str">
        <x:f>IF($A925="","",IF($D925&lt;&gt;'Team Setup'!$B$4,"Other sprint",IF($E925="","Unestimated",IF(NOT(ISNUMBER($E925)),"Check estimate in hours",IF($E925&lt;0,"Check estimate in hours",IF($E925=0,"Unestimated","Estimated"))))))</x:f>
      </x:c>
    </x:row>
    <x:row r="926">
      <x:c r="A926" s="12"/>
      <x:c r="B926" s="12"/>
      <x:c r="C926" s="12"/>
      <x:c r="D926" s="12"/>
      <x:c r="E926" s="14"/>
      <x:c r="F926" s="13" t="str">
        <x:f>IF($A926="","",IF($D926&lt;&gt;'Team Setup'!$B$4,"Other sprint",IF($C926="","Unassigned",IF(OR(ISNUMBER(SEARCH(",",$C926)),ISNUMBER(SEARCH(";",$C926))),"Multiple assignees",IF(COUNTIF('Team Setup'!$B$10:$B$34,$C926)=1,"Matched","Unmatched")))))</x:f>
      </x:c>
      <x:c r="G926" s="13" t="str">
        <x:f>IF($A926="","",IF($D926&lt;&gt;'Team Setup'!$B$4,"Other sprint",IF($E926="","Unestimated",IF(NOT(ISNUMBER($E926)),"Check estimate in hours",IF($E926&lt;0,"Check estimate in hours",IF($E926=0,"Unestimated","Estimated"))))))</x:f>
      </x:c>
    </x:row>
    <x:row r="927">
      <x:c r="A927" s="12"/>
      <x:c r="B927" s="12"/>
      <x:c r="C927" s="12"/>
      <x:c r="D927" s="12"/>
      <x:c r="E927" s="14"/>
      <x:c r="F927" s="13" t="str">
        <x:f>IF($A927="","",IF($D927&lt;&gt;'Team Setup'!$B$4,"Other sprint",IF($C927="","Unassigned",IF(OR(ISNUMBER(SEARCH(",",$C927)),ISNUMBER(SEARCH(";",$C927))),"Multiple assignees",IF(COUNTIF('Team Setup'!$B$10:$B$34,$C927)=1,"Matched","Unmatched")))))</x:f>
      </x:c>
      <x:c r="G927" s="13" t="str">
        <x:f>IF($A927="","",IF($D927&lt;&gt;'Team Setup'!$B$4,"Other sprint",IF($E927="","Unestimated",IF(NOT(ISNUMBER($E927)),"Check estimate in hours",IF($E927&lt;0,"Check estimate in hours",IF($E927=0,"Unestimated","Estimated"))))))</x:f>
      </x:c>
    </x:row>
    <x:row r="928">
      <x:c r="A928" s="12"/>
      <x:c r="B928" s="12"/>
      <x:c r="C928" s="12"/>
      <x:c r="D928" s="12"/>
      <x:c r="E928" s="14"/>
      <x:c r="F928" s="13" t="str">
        <x:f>IF($A928="","",IF($D928&lt;&gt;'Team Setup'!$B$4,"Other sprint",IF($C928="","Unassigned",IF(OR(ISNUMBER(SEARCH(",",$C928)),ISNUMBER(SEARCH(";",$C928))),"Multiple assignees",IF(COUNTIF('Team Setup'!$B$10:$B$34,$C928)=1,"Matched","Unmatched")))))</x:f>
      </x:c>
      <x:c r="G928" s="13" t="str">
        <x:f>IF($A928="","",IF($D928&lt;&gt;'Team Setup'!$B$4,"Other sprint",IF($E928="","Unestimated",IF(NOT(ISNUMBER($E928)),"Check estimate in hours",IF($E928&lt;0,"Check estimate in hours",IF($E928=0,"Unestimated","Estimated"))))))</x:f>
      </x:c>
    </x:row>
    <x:row r="929">
      <x:c r="A929" s="12"/>
      <x:c r="B929" s="12"/>
      <x:c r="C929" s="12"/>
      <x:c r="D929" s="12"/>
      <x:c r="E929" s="14"/>
      <x:c r="F929" s="13" t="str">
        <x:f>IF($A929="","",IF($D929&lt;&gt;'Team Setup'!$B$4,"Other sprint",IF($C929="","Unassigned",IF(OR(ISNUMBER(SEARCH(",",$C929)),ISNUMBER(SEARCH(";",$C929))),"Multiple assignees",IF(COUNTIF('Team Setup'!$B$10:$B$34,$C929)=1,"Matched","Unmatched")))))</x:f>
      </x:c>
      <x:c r="G929" s="13" t="str">
        <x:f>IF($A929="","",IF($D929&lt;&gt;'Team Setup'!$B$4,"Other sprint",IF($E929="","Unestimated",IF(NOT(ISNUMBER($E929)),"Check estimate in hours",IF($E929&lt;0,"Check estimate in hours",IF($E929=0,"Unestimated","Estimated"))))))</x:f>
      </x:c>
    </x:row>
    <x:row r="930">
      <x:c r="A930" s="12"/>
      <x:c r="B930" s="12"/>
      <x:c r="C930" s="12"/>
      <x:c r="D930" s="12"/>
      <x:c r="E930" s="14"/>
      <x:c r="F930" s="13" t="str">
        <x:f>IF($A930="","",IF($D930&lt;&gt;'Team Setup'!$B$4,"Other sprint",IF($C930="","Unassigned",IF(OR(ISNUMBER(SEARCH(",",$C930)),ISNUMBER(SEARCH(";",$C930))),"Multiple assignees",IF(COUNTIF('Team Setup'!$B$10:$B$34,$C930)=1,"Matched","Unmatched")))))</x:f>
      </x:c>
      <x:c r="G930" s="13" t="str">
        <x:f>IF($A930="","",IF($D930&lt;&gt;'Team Setup'!$B$4,"Other sprint",IF($E930="","Unestimated",IF(NOT(ISNUMBER($E930)),"Check estimate in hours",IF($E930&lt;0,"Check estimate in hours",IF($E930=0,"Unestimated","Estimated"))))))</x:f>
      </x:c>
    </x:row>
    <x:row r="931">
      <x:c r="A931" s="12"/>
      <x:c r="B931" s="12"/>
      <x:c r="C931" s="12"/>
      <x:c r="D931" s="12"/>
      <x:c r="E931" s="14"/>
      <x:c r="F931" s="13" t="str">
        <x:f>IF($A931="","",IF($D931&lt;&gt;'Team Setup'!$B$4,"Other sprint",IF($C931="","Unassigned",IF(OR(ISNUMBER(SEARCH(",",$C931)),ISNUMBER(SEARCH(";",$C931))),"Multiple assignees",IF(COUNTIF('Team Setup'!$B$10:$B$34,$C931)=1,"Matched","Unmatched")))))</x:f>
      </x:c>
      <x:c r="G931" s="13" t="str">
        <x:f>IF($A931="","",IF($D931&lt;&gt;'Team Setup'!$B$4,"Other sprint",IF($E931="","Unestimated",IF(NOT(ISNUMBER($E931)),"Check estimate in hours",IF($E931&lt;0,"Check estimate in hours",IF($E931=0,"Unestimated","Estimated"))))))</x:f>
      </x:c>
    </x:row>
    <x:row r="932">
      <x:c r="A932" s="12"/>
      <x:c r="B932" s="12"/>
      <x:c r="C932" s="12"/>
      <x:c r="D932" s="12"/>
      <x:c r="E932" s="14"/>
      <x:c r="F932" s="13" t="str">
        <x:f>IF($A932="","",IF($D932&lt;&gt;'Team Setup'!$B$4,"Other sprint",IF($C932="","Unassigned",IF(OR(ISNUMBER(SEARCH(",",$C932)),ISNUMBER(SEARCH(";",$C932))),"Multiple assignees",IF(COUNTIF('Team Setup'!$B$10:$B$34,$C932)=1,"Matched","Unmatched")))))</x:f>
      </x:c>
      <x:c r="G932" s="13" t="str">
        <x:f>IF($A932="","",IF($D932&lt;&gt;'Team Setup'!$B$4,"Other sprint",IF($E932="","Unestimated",IF(NOT(ISNUMBER($E932)),"Check estimate in hours",IF($E932&lt;0,"Check estimate in hours",IF($E932=0,"Unestimated","Estimated"))))))</x:f>
      </x:c>
    </x:row>
    <x:row r="933">
      <x:c r="A933" s="12"/>
      <x:c r="B933" s="12"/>
      <x:c r="C933" s="12"/>
      <x:c r="D933" s="12"/>
      <x:c r="E933" s="14"/>
      <x:c r="F933" s="13" t="str">
        <x:f>IF($A933="","",IF($D933&lt;&gt;'Team Setup'!$B$4,"Other sprint",IF($C933="","Unassigned",IF(OR(ISNUMBER(SEARCH(",",$C933)),ISNUMBER(SEARCH(";",$C933))),"Multiple assignees",IF(COUNTIF('Team Setup'!$B$10:$B$34,$C933)=1,"Matched","Unmatched")))))</x:f>
      </x:c>
      <x:c r="G933" s="13" t="str">
        <x:f>IF($A933="","",IF($D933&lt;&gt;'Team Setup'!$B$4,"Other sprint",IF($E933="","Unestimated",IF(NOT(ISNUMBER($E933)),"Check estimate in hours",IF($E933&lt;0,"Check estimate in hours",IF($E933=0,"Unestimated","Estimated"))))))</x:f>
      </x:c>
    </x:row>
    <x:row r="934">
      <x:c r="A934" s="12"/>
      <x:c r="B934" s="12"/>
      <x:c r="C934" s="12"/>
      <x:c r="D934" s="12"/>
      <x:c r="E934" s="14"/>
      <x:c r="F934" s="13" t="str">
        <x:f>IF($A934="","",IF($D934&lt;&gt;'Team Setup'!$B$4,"Other sprint",IF($C934="","Unassigned",IF(OR(ISNUMBER(SEARCH(",",$C934)),ISNUMBER(SEARCH(";",$C934))),"Multiple assignees",IF(COUNTIF('Team Setup'!$B$10:$B$34,$C934)=1,"Matched","Unmatched")))))</x:f>
      </x:c>
      <x:c r="G934" s="13" t="str">
        <x:f>IF($A934="","",IF($D934&lt;&gt;'Team Setup'!$B$4,"Other sprint",IF($E934="","Unestimated",IF(NOT(ISNUMBER($E934)),"Check estimate in hours",IF($E934&lt;0,"Check estimate in hours",IF($E934=0,"Unestimated","Estimated"))))))</x:f>
      </x:c>
    </x:row>
    <x:row r="935">
      <x:c r="A935" s="12"/>
      <x:c r="B935" s="12"/>
      <x:c r="C935" s="12"/>
      <x:c r="D935" s="12"/>
      <x:c r="E935" s="14"/>
      <x:c r="F935" s="13" t="str">
        <x:f>IF($A935="","",IF($D935&lt;&gt;'Team Setup'!$B$4,"Other sprint",IF($C935="","Unassigned",IF(OR(ISNUMBER(SEARCH(",",$C935)),ISNUMBER(SEARCH(";",$C935))),"Multiple assignees",IF(COUNTIF('Team Setup'!$B$10:$B$34,$C935)=1,"Matched","Unmatched")))))</x:f>
      </x:c>
      <x:c r="G935" s="13" t="str">
        <x:f>IF($A935="","",IF($D935&lt;&gt;'Team Setup'!$B$4,"Other sprint",IF($E935="","Unestimated",IF(NOT(ISNUMBER($E935)),"Check estimate in hours",IF($E935&lt;0,"Check estimate in hours",IF($E935=0,"Unestimated","Estimated"))))))</x:f>
      </x:c>
    </x:row>
    <x:row r="936">
      <x:c r="A936" s="12"/>
      <x:c r="B936" s="12"/>
      <x:c r="C936" s="12"/>
      <x:c r="D936" s="12"/>
      <x:c r="E936" s="14"/>
      <x:c r="F936" s="13" t="str">
        <x:f>IF($A936="","",IF($D936&lt;&gt;'Team Setup'!$B$4,"Other sprint",IF($C936="","Unassigned",IF(OR(ISNUMBER(SEARCH(",",$C936)),ISNUMBER(SEARCH(";",$C936))),"Multiple assignees",IF(COUNTIF('Team Setup'!$B$10:$B$34,$C936)=1,"Matched","Unmatched")))))</x:f>
      </x:c>
      <x:c r="G936" s="13" t="str">
        <x:f>IF($A936="","",IF($D936&lt;&gt;'Team Setup'!$B$4,"Other sprint",IF($E936="","Unestimated",IF(NOT(ISNUMBER($E936)),"Check estimate in hours",IF($E936&lt;0,"Check estimate in hours",IF($E936=0,"Unestimated","Estimated"))))))</x:f>
      </x:c>
    </x:row>
    <x:row r="937">
      <x:c r="A937" s="12"/>
      <x:c r="B937" s="12"/>
      <x:c r="C937" s="12"/>
      <x:c r="D937" s="12"/>
      <x:c r="E937" s="14"/>
      <x:c r="F937" s="13" t="str">
        <x:f>IF($A937="","",IF($D937&lt;&gt;'Team Setup'!$B$4,"Other sprint",IF($C937="","Unassigned",IF(OR(ISNUMBER(SEARCH(",",$C937)),ISNUMBER(SEARCH(";",$C937))),"Multiple assignees",IF(COUNTIF('Team Setup'!$B$10:$B$34,$C937)=1,"Matched","Unmatched")))))</x:f>
      </x:c>
      <x:c r="G937" s="13" t="str">
        <x:f>IF($A937="","",IF($D937&lt;&gt;'Team Setup'!$B$4,"Other sprint",IF($E937="","Unestimated",IF(NOT(ISNUMBER($E937)),"Check estimate in hours",IF($E937&lt;0,"Check estimate in hours",IF($E937=0,"Unestimated","Estimated"))))))</x:f>
      </x:c>
    </x:row>
    <x:row r="938">
      <x:c r="A938" s="12"/>
      <x:c r="B938" s="12"/>
      <x:c r="C938" s="12"/>
      <x:c r="D938" s="12"/>
      <x:c r="E938" s="14"/>
      <x:c r="F938" s="13" t="str">
        <x:f>IF($A938="","",IF($D938&lt;&gt;'Team Setup'!$B$4,"Other sprint",IF($C938="","Unassigned",IF(OR(ISNUMBER(SEARCH(",",$C938)),ISNUMBER(SEARCH(";",$C938))),"Multiple assignees",IF(COUNTIF('Team Setup'!$B$10:$B$34,$C938)=1,"Matched","Unmatched")))))</x:f>
      </x:c>
      <x:c r="G938" s="13" t="str">
        <x:f>IF($A938="","",IF($D938&lt;&gt;'Team Setup'!$B$4,"Other sprint",IF($E938="","Unestimated",IF(NOT(ISNUMBER($E938)),"Check estimate in hours",IF($E938&lt;0,"Check estimate in hours",IF($E938=0,"Unestimated","Estimated"))))))</x:f>
      </x:c>
    </x:row>
    <x:row r="939">
      <x:c r="A939" s="12"/>
      <x:c r="B939" s="12"/>
      <x:c r="C939" s="12"/>
      <x:c r="D939" s="12"/>
      <x:c r="E939" s="14"/>
      <x:c r="F939" s="13" t="str">
        <x:f>IF($A939="","",IF($D939&lt;&gt;'Team Setup'!$B$4,"Other sprint",IF($C939="","Unassigned",IF(OR(ISNUMBER(SEARCH(",",$C939)),ISNUMBER(SEARCH(";",$C939))),"Multiple assignees",IF(COUNTIF('Team Setup'!$B$10:$B$34,$C939)=1,"Matched","Unmatched")))))</x:f>
      </x:c>
      <x:c r="G939" s="13" t="str">
        <x:f>IF($A939="","",IF($D939&lt;&gt;'Team Setup'!$B$4,"Other sprint",IF($E939="","Unestimated",IF(NOT(ISNUMBER($E939)),"Check estimate in hours",IF($E939&lt;0,"Check estimate in hours",IF($E939=0,"Unestimated","Estimated"))))))</x:f>
      </x:c>
    </x:row>
    <x:row r="940">
      <x:c r="A940" s="12"/>
      <x:c r="B940" s="12"/>
      <x:c r="C940" s="12"/>
      <x:c r="D940" s="12"/>
      <x:c r="E940" s="14"/>
      <x:c r="F940" s="13" t="str">
        <x:f>IF($A940="","",IF($D940&lt;&gt;'Team Setup'!$B$4,"Other sprint",IF($C940="","Unassigned",IF(OR(ISNUMBER(SEARCH(",",$C940)),ISNUMBER(SEARCH(";",$C940))),"Multiple assignees",IF(COUNTIF('Team Setup'!$B$10:$B$34,$C940)=1,"Matched","Unmatched")))))</x:f>
      </x:c>
      <x:c r="G940" s="13" t="str">
        <x:f>IF($A940="","",IF($D940&lt;&gt;'Team Setup'!$B$4,"Other sprint",IF($E940="","Unestimated",IF(NOT(ISNUMBER($E940)),"Check estimate in hours",IF($E940&lt;0,"Check estimate in hours",IF($E940=0,"Unestimated","Estimated"))))))</x:f>
      </x:c>
    </x:row>
    <x:row r="941">
      <x:c r="A941" s="12"/>
      <x:c r="B941" s="12"/>
      <x:c r="C941" s="12"/>
      <x:c r="D941" s="12"/>
      <x:c r="E941" s="14"/>
      <x:c r="F941" s="13" t="str">
        <x:f>IF($A941="","",IF($D941&lt;&gt;'Team Setup'!$B$4,"Other sprint",IF($C941="","Unassigned",IF(OR(ISNUMBER(SEARCH(",",$C941)),ISNUMBER(SEARCH(";",$C941))),"Multiple assignees",IF(COUNTIF('Team Setup'!$B$10:$B$34,$C941)=1,"Matched","Unmatched")))))</x:f>
      </x:c>
      <x:c r="G941" s="13" t="str">
        <x:f>IF($A941="","",IF($D941&lt;&gt;'Team Setup'!$B$4,"Other sprint",IF($E941="","Unestimated",IF(NOT(ISNUMBER($E941)),"Check estimate in hours",IF($E941&lt;0,"Check estimate in hours",IF($E941=0,"Unestimated","Estimated"))))))</x:f>
      </x:c>
    </x:row>
    <x:row r="942">
      <x:c r="A942" s="12"/>
      <x:c r="B942" s="12"/>
      <x:c r="C942" s="12"/>
      <x:c r="D942" s="12"/>
      <x:c r="E942" s="14"/>
      <x:c r="F942" s="13" t="str">
        <x:f>IF($A942="","",IF($D942&lt;&gt;'Team Setup'!$B$4,"Other sprint",IF($C942="","Unassigned",IF(OR(ISNUMBER(SEARCH(",",$C942)),ISNUMBER(SEARCH(";",$C942))),"Multiple assignees",IF(COUNTIF('Team Setup'!$B$10:$B$34,$C942)=1,"Matched","Unmatched")))))</x:f>
      </x:c>
      <x:c r="G942" s="13" t="str">
        <x:f>IF($A942="","",IF($D942&lt;&gt;'Team Setup'!$B$4,"Other sprint",IF($E942="","Unestimated",IF(NOT(ISNUMBER($E942)),"Check estimate in hours",IF($E942&lt;0,"Check estimate in hours",IF($E942=0,"Unestimated","Estimated"))))))</x:f>
      </x:c>
    </x:row>
    <x:row r="943">
      <x:c r="A943" s="12"/>
      <x:c r="B943" s="12"/>
      <x:c r="C943" s="12"/>
      <x:c r="D943" s="12"/>
      <x:c r="E943" s="14"/>
      <x:c r="F943" s="13" t="str">
        <x:f>IF($A943="","",IF($D943&lt;&gt;'Team Setup'!$B$4,"Other sprint",IF($C943="","Unassigned",IF(OR(ISNUMBER(SEARCH(",",$C943)),ISNUMBER(SEARCH(";",$C943))),"Multiple assignees",IF(COUNTIF('Team Setup'!$B$10:$B$34,$C943)=1,"Matched","Unmatched")))))</x:f>
      </x:c>
      <x:c r="G943" s="13" t="str">
        <x:f>IF($A943="","",IF($D943&lt;&gt;'Team Setup'!$B$4,"Other sprint",IF($E943="","Unestimated",IF(NOT(ISNUMBER($E943)),"Check estimate in hours",IF($E943&lt;0,"Check estimate in hours",IF($E943=0,"Unestimated","Estimated"))))))</x:f>
      </x:c>
    </x:row>
    <x:row r="944">
      <x:c r="A944" s="12"/>
      <x:c r="B944" s="12"/>
      <x:c r="C944" s="12"/>
      <x:c r="D944" s="12"/>
      <x:c r="E944" s="14"/>
      <x:c r="F944" s="13" t="str">
        <x:f>IF($A944="","",IF($D944&lt;&gt;'Team Setup'!$B$4,"Other sprint",IF($C944="","Unassigned",IF(OR(ISNUMBER(SEARCH(",",$C944)),ISNUMBER(SEARCH(";",$C944))),"Multiple assignees",IF(COUNTIF('Team Setup'!$B$10:$B$34,$C944)=1,"Matched","Unmatched")))))</x:f>
      </x:c>
      <x:c r="G944" s="13" t="str">
        <x:f>IF($A944="","",IF($D944&lt;&gt;'Team Setup'!$B$4,"Other sprint",IF($E944="","Unestimated",IF(NOT(ISNUMBER($E944)),"Check estimate in hours",IF($E944&lt;0,"Check estimate in hours",IF($E944=0,"Unestimated","Estimated"))))))</x:f>
      </x:c>
    </x:row>
    <x:row r="945">
      <x:c r="A945" s="12"/>
      <x:c r="B945" s="12"/>
      <x:c r="C945" s="12"/>
      <x:c r="D945" s="12"/>
      <x:c r="E945" s="14"/>
      <x:c r="F945" s="13" t="str">
        <x:f>IF($A945="","",IF($D945&lt;&gt;'Team Setup'!$B$4,"Other sprint",IF($C945="","Unassigned",IF(OR(ISNUMBER(SEARCH(",",$C945)),ISNUMBER(SEARCH(";",$C945))),"Multiple assignees",IF(COUNTIF('Team Setup'!$B$10:$B$34,$C945)=1,"Matched","Unmatched")))))</x:f>
      </x:c>
      <x:c r="G945" s="13" t="str">
        <x:f>IF($A945="","",IF($D945&lt;&gt;'Team Setup'!$B$4,"Other sprint",IF($E945="","Unestimated",IF(NOT(ISNUMBER($E945)),"Check estimate in hours",IF($E945&lt;0,"Check estimate in hours",IF($E945=0,"Unestimated","Estimated"))))))</x:f>
      </x:c>
    </x:row>
    <x:row r="946">
      <x:c r="A946" s="12"/>
      <x:c r="B946" s="12"/>
      <x:c r="C946" s="12"/>
      <x:c r="D946" s="12"/>
      <x:c r="E946" s="14"/>
      <x:c r="F946" s="13" t="str">
        <x:f>IF($A946="","",IF($D946&lt;&gt;'Team Setup'!$B$4,"Other sprint",IF($C946="","Unassigned",IF(OR(ISNUMBER(SEARCH(",",$C946)),ISNUMBER(SEARCH(";",$C946))),"Multiple assignees",IF(COUNTIF('Team Setup'!$B$10:$B$34,$C946)=1,"Matched","Unmatched")))))</x:f>
      </x:c>
      <x:c r="G946" s="13" t="str">
        <x:f>IF($A946="","",IF($D946&lt;&gt;'Team Setup'!$B$4,"Other sprint",IF($E946="","Unestimated",IF(NOT(ISNUMBER($E946)),"Check estimate in hours",IF($E946&lt;0,"Check estimate in hours",IF($E946=0,"Unestimated","Estimated"))))))</x:f>
      </x:c>
    </x:row>
    <x:row r="947">
      <x:c r="A947" s="12"/>
      <x:c r="B947" s="12"/>
      <x:c r="C947" s="12"/>
      <x:c r="D947" s="12"/>
      <x:c r="E947" s="14"/>
      <x:c r="F947" s="13" t="str">
        <x:f>IF($A947="","",IF($D947&lt;&gt;'Team Setup'!$B$4,"Other sprint",IF($C947="","Unassigned",IF(OR(ISNUMBER(SEARCH(",",$C947)),ISNUMBER(SEARCH(";",$C947))),"Multiple assignees",IF(COUNTIF('Team Setup'!$B$10:$B$34,$C947)=1,"Matched","Unmatched")))))</x:f>
      </x:c>
      <x:c r="G947" s="13" t="str">
        <x:f>IF($A947="","",IF($D947&lt;&gt;'Team Setup'!$B$4,"Other sprint",IF($E947="","Unestimated",IF(NOT(ISNUMBER($E947)),"Check estimate in hours",IF($E947&lt;0,"Check estimate in hours",IF($E947=0,"Unestimated","Estimated"))))))</x:f>
      </x:c>
    </x:row>
    <x:row r="948">
      <x:c r="A948" s="12"/>
      <x:c r="B948" s="12"/>
      <x:c r="C948" s="12"/>
      <x:c r="D948" s="12"/>
      <x:c r="E948" s="14"/>
      <x:c r="F948" s="13" t="str">
        <x:f>IF($A948="","",IF($D948&lt;&gt;'Team Setup'!$B$4,"Other sprint",IF($C948="","Unassigned",IF(OR(ISNUMBER(SEARCH(",",$C948)),ISNUMBER(SEARCH(";",$C948))),"Multiple assignees",IF(COUNTIF('Team Setup'!$B$10:$B$34,$C948)=1,"Matched","Unmatched")))))</x:f>
      </x:c>
      <x:c r="G948" s="13" t="str">
        <x:f>IF($A948="","",IF($D948&lt;&gt;'Team Setup'!$B$4,"Other sprint",IF($E948="","Unestimated",IF(NOT(ISNUMBER($E948)),"Check estimate in hours",IF($E948&lt;0,"Check estimate in hours",IF($E948=0,"Unestimated","Estimated"))))))</x:f>
      </x:c>
    </x:row>
    <x:row r="949">
      <x:c r="A949" s="12"/>
      <x:c r="B949" s="12"/>
      <x:c r="C949" s="12"/>
      <x:c r="D949" s="12"/>
      <x:c r="E949" s="14"/>
      <x:c r="F949" s="13" t="str">
        <x:f>IF($A949="","",IF($D949&lt;&gt;'Team Setup'!$B$4,"Other sprint",IF($C949="","Unassigned",IF(OR(ISNUMBER(SEARCH(",",$C949)),ISNUMBER(SEARCH(";",$C949))),"Multiple assignees",IF(COUNTIF('Team Setup'!$B$10:$B$34,$C949)=1,"Matched","Unmatched")))))</x:f>
      </x:c>
      <x:c r="G949" s="13" t="str">
        <x:f>IF($A949="","",IF($D949&lt;&gt;'Team Setup'!$B$4,"Other sprint",IF($E949="","Unestimated",IF(NOT(ISNUMBER($E949)),"Check estimate in hours",IF($E949&lt;0,"Check estimate in hours",IF($E949=0,"Unestimated","Estimated"))))))</x:f>
      </x:c>
    </x:row>
    <x:row r="950">
      <x:c r="A950" s="12"/>
      <x:c r="B950" s="12"/>
      <x:c r="C950" s="12"/>
      <x:c r="D950" s="12"/>
      <x:c r="E950" s="14"/>
      <x:c r="F950" s="13" t="str">
        <x:f>IF($A950="","",IF($D950&lt;&gt;'Team Setup'!$B$4,"Other sprint",IF($C950="","Unassigned",IF(OR(ISNUMBER(SEARCH(",",$C950)),ISNUMBER(SEARCH(";",$C950))),"Multiple assignees",IF(COUNTIF('Team Setup'!$B$10:$B$34,$C950)=1,"Matched","Unmatched")))))</x:f>
      </x:c>
      <x:c r="G950" s="13" t="str">
        <x:f>IF($A950="","",IF($D950&lt;&gt;'Team Setup'!$B$4,"Other sprint",IF($E950="","Unestimated",IF(NOT(ISNUMBER($E950)),"Check estimate in hours",IF($E950&lt;0,"Check estimate in hours",IF($E950=0,"Unestimated","Estimated"))))))</x:f>
      </x:c>
    </x:row>
    <x:row r="951">
      <x:c r="A951" s="12"/>
      <x:c r="B951" s="12"/>
      <x:c r="C951" s="12"/>
      <x:c r="D951" s="12"/>
      <x:c r="E951" s="14"/>
      <x:c r="F951" s="13" t="str">
        <x:f>IF($A951="","",IF($D951&lt;&gt;'Team Setup'!$B$4,"Other sprint",IF($C951="","Unassigned",IF(OR(ISNUMBER(SEARCH(",",$C951)),ISNUMBER(SEARCH(";",$C951))),"Multiple assignees",IF(COUNTIF('Team Setup'!$B$10:$B$34,$C951)=1,"Matched","Unmatched")))))</x:f>
      </x:c>
      <x:c r="G951" s="13" t="str">
        <x:f>IF($A951="","",IF($D951&lt;&gt;'Team Setup'!$B$4,"Other sprint",IF($E951="","Unestimated",IF(NOT(ISNUMBER($E951)),"Check estimate in hours",IF($E951&lt;0,"Check estimate in hours",IF($E951=0,"Unestimated","Estimated"))))))</x:f>
      </x:c>
    </x:row>
    <x:row r="952">
      <x:c r="A952" s="12"/>
      <x:c r="B952" s="12"/>
      <x:c r="C952" s="12"/>
      <x:c r="D952" s="12"/>
      <x:c r="E952" s="14"/>
      <x:c r="F952" s="13" t="str">
        <x:f>IF($A952="","",IF($D952&lt;&gt;'Team Setup'!$B$4,"Other sprint",IF($C952="","Unassigned",IF(OR(ISNUMBER(SEARCH(",",$C952)),ISNUMBER(SEARCH(";",$C952))),"Multiple assignees",IF(COUNTIF('Team Setup'!$B$10:$B$34,$C952)=1,"Matched","Unmatched")))))</x:f>
      </x:c>
      <x:c r="G952" s="13" t="str">
        <x:f>IF($A952="","",IF($D952&lt;&gt;'Team Setup'!$B$4,"Other sprint",IF($E952="","Unestimated",IF(NOT(ISNUMBER($E952)),"Check estimate in hours",IF($E952&lt;0,"Check estimate in hours",IF($E952=0,"Unestimated","Estimated"))))))</x:f>
      </x:c>
    </x:row>
    <x:row r="953">
      <x:c r="A953" s="12"/>
      <x:c r="B953" s="12"/>
      <x:c r="C953" s="12"/>
      <x:c r="D953" s="12"/>
      <x:c r="E953" s="14"/>
      <x:c r="F953" s="13" t="str">
        <x:f>IF($A953="","",IF($D953&lt;&gt;'Team Setup'!$B$4,"Other sprint",IF($C953="","Unassigned",IF(OR(ISNUMBER(SEARCH(",",$C953)),ISNUMBER(SEARCH(";",$C953))),"Multiple assignees",IF(COUNTIF('Team Setup'!$B$10:$B$34,$C953)=1,"Matched","Unmatched")))))</x:f>
      </x:c>
      <x:c r="G953" s="13" t="str">
        <x:f>IF($A953="","",IF($D953&lt;&gt;'Team Setup'!$B$4,"Other sprint",IF($E953="","Unestimated",IF(NOT(ISNUMBER($E953)),"Check estimate in hours",IF($E953&lt;0,"Check estimate in hours",IF($E953=0,"Unestimated","Estimated"))))))</x:f>
      </x:c>
    </x:row>
    <x:row r="954">
      <x:c r="A954" s="12"/>
      <x:c r="B954" s="12"/>
      <x:c r="C954" s="12"/>
      <x:c r="D954" s="12"/>
      <x:c r="E954" s="14"/>
      <x:c r="F954" s="13" t="str">
        <x:f>IF($A954="","",IF($D954&lt;&gt;'Team Setup'!$B$4,"Other sprint",IF($C954="","Unassigned",IF(OR(ISNUMBER(SEARCH(",",$C954)),ISNUMBER(SEARCH(";",$C954))),"Multiple assignees",IF(COUNTIF('Team Setup'!$B$10:$B$34,$C954)=1,"Matched","Unmatched")))))</x:f>
      </x:c>
      <x:c r="G954" s="13" t="str">
        <x:f>IF($A954="","",IF($D954&lt;&gt;'Team Setup'!$B$4,"Other sprint",IF($E954="","Unestimated",IF(NOT(ISNUMBER($E954)),"Check estimate in hours",IF($E954&lt;0,"Check estimate in hours",IF($E954=0,"Unestimated","Estimated"))))))</x:f>
      </x:c>
    </x:row>
    <x:row r="955">
      <x:c r="A955" s="12"/>
      <x:c r="B955" s="12"/>
      <x:c r="C955" s="12"/>
      <x:c r="D955" s="12"/>
      <x:c r="E955" s="14"/>
      <x:c r="F955" s="13" t="str">
        <x:f>IF($A955="","",IF($D955&lt;&gt;'Team Setup'!$B$4,"Other sprint",IF($C955="","Unassigned",IF(OR(ISNUMBER(SEARCH(",",$C955)),ISNUMBER(SEARCH(";",$C955))),"Multiple assignees",IF(COUNTIF('Team Setup'!$B$10:$B$34,$C955)=1,"Matched","Unmatched")))))</x:f>
      </x:c>
      <x:c r="G955" s="13" t="str">
        <x:f>IF($A955="","",IF($D955&lt;&gt;'Team Setup'!$B$4,"Other sprint",IF($E955="","Unestimated",IF(NOT(ISNUMBER($E955)),"Check estimate in hours",IF($E955&lt;0,"Check estimate in hours",IF($E955=0,"Unestimated","Estimated"))))))</x:f>
      </x:c>
    </x:row>
    <x:row r="956">
      <x:c r="A956" s="12"/>
      <x:c r="B956" s="12"/>
      <x:c r="C956" s="12"/>
      <x:c r="D956" s="12"/>
      <x:c r="E956" s="14"/>
      <x:c r="F956" s="13" t="str">
        <x:f>IF($A956="","",IF($D956&lt;&gt;'Team Setup'!$B$4,"Other sprint",IF($C956="","Unassigned",IF(OR(ISNUMBER(SEARCH(",",$C956)),ISNUMBER(SEARCH(";",$C956))),"Multiple assignees",IF(COUNTIF('Team Setup'!$B$10:$B$34,$C956)=1,"Matched","Unmatched")))))</x:f>
      </x:c>
      <x:c r="G956" s="13" t="str">
        <x:f>IF($A956="","",IF($D956&lt;&gt;'Team Setup'!$B$4,"Other sprint",IF($E956="","Unestimated",IF(NOT(ISNUMBER($E956)),"Check estimate in hours",IF($E956&lt;0,"Check estimate in hours",IF($E956=0,"Unestimated","Estimated"))))))</x:f>
      </x:c>
    </x:row>
    <x:row r="957">
      <x:c r="A957" s="12"/>
      <x:c r="B957" s="12"/>
      <x:c r="C957" s="12"/>
      <x:c r="D957" s="12"/>
      <x:c r="E957" s="14"/>
      <x:c r="F957" s="13" t="str">
        <x:f>IF($A957="","",IF($D957&lt;&gt;'Team Setup'!$B$4,"Other sprint",IF($C957="","Unassigned",IF(OR(ISNUMBER(SEARCH(",",$C957)),ISNUMBER(SEARCH(";",$C957))),"Multiple assignees",IF(COUNTIF('Team Setup'!$B$10:$B$34,$C957)=1,"Matched","Unmatched")))))</x:f>
      </x:c>
      <x:c r="G957" s="13" t="str">
        <x:f>IF($A957="","",IF($D957&lt;&gt;'Team Setup'!$B$4,"Other sprint",IF($E957="","Unestimated",IF(NOT(ISNUMBER($E957)),"Check estimate in hours",IF($E957&lt;0,"Check estimate in hours",IF($E957=0,"Unestimated","Estimated"))))))</x:f>
      </x:c>
    </x:row>
    <x:row r="958">
      <x:c r="A958" s="12"/>
      <x:c r="B958" s="12"/>
      <x:c r="C958" s="12"/>
      <x:c r="D958" s="12"/>
      <x:c r="E958" s="14"/>
      <x:c r="F958" s="13" t="str">
        <x:f>IF($A958="","",IF($D958&lt;&gt;'Team Setup'!$B$4,"Other sprint",IF($C958="","Unassigned",IF(OR(ISNUMBER(SEARCH(",",$C958)),ISNUMBER(SEARCH(";",$C958))),"Multiple assignees",IF(COUNTIF('Team Setup'!$B$10:$B$34,$C958)=1,"Matched","Unmatched")))))</x:f>
      </x:c>
      <x:c r="G958" s="13" t="str">
        <x:f>IF($A958="","",IF($D958&lt;&gt;'Team Setup'!$B$4,"Other sprint",IF($E958="","Unestimated",IF(NOT(ISNUMBER($E958)),"Check estimate in hours",IF($E958&lt;0,"Check estimate in hours",IF($E958=0,"Unestimated","Estimated"))))))</x:f>
      </x:c>
    </x:row>
    <x:row r="959">
      <x:c r="A959" s="12"/>
      <x:c r="B959" s="12"/>
      <x:c r="C959" s="12"/>
      <x:c r="D959" s="12"/>
      <x:c r="E959" s="14"/>
      <x:c r="F959" s="13" t="str">
        <x:f>IF($A959="","",IF($D959&lt;&gt;'Team Setup'!$B$4,"Other sprint",IF($C959="","Unassigned",IF(OR(ISNUMBER(SEARCH(",",$C959)),ISNUMBER(SEARCH(";",$C959))),"Multiple assignees",IF(COUNTIF('Team Setup'!$B$10:$B$34,$C959)=1,"Matched","Unmatched")))))</x:f>
      </x:c>
      <x:c r="G959" s="13" t="str">
        <x:f>IF($A959="","",IF($D959&lt;&gt;'Team Setup'!$B$4,"Other sprint",IF($E959="","Unestimated",IF(NOT(ISNUMBER($E959)),"Check estimate in hours",IF($E959&lt;0,"Check estimate in hours",IF($E959=0,"Unestimated","Estimated"))))))</x:f>
      </x:c>
    </x:row>
    <x:row r="960">
      <x:c r="A960" s="12"/>
      <x:c r="B960" s="12"/>
      <x:c r="C960" s="12"/>
      <x:c r="D960" s="12"/>
      <x:c r="E960" s="14"/>
      <x:c r="F960" s="13" t="str">
        <x:f>IF($A960="","",IF($D960&lt;&gt;'Team Setup'!$B$4,"Other sprint",IF($C960="","Unassigned",IF(OR(ISNUMBER(SEARCH(",",$C960)),ISNUMBER(SEARCH(";",$C960))),"Multiple assignees",IF(COUNTIF('Team Setup'!$B$10:$B$34,$C960)=1,"Matched","Unmatched")))))</x:f>
      </x:c>
      <x:c r="G960" s="13" t="str">
        <x:f>IF($A960="","",IF($D960&lt;&gt;'Team Setup'!$B$4,"Other sprint",IF($E960="","Unestimated",IF(NOT(ISNUMBER($E960)),"Check estimate in hours",IF($E960&lt;0,"Check estimate in hours",IF($E960=0,"Unestimated","Estimated"))))))</x:f>
      </x:c>
    </x:row>
    <x:row r="961">
      <x:c r="A961" s="12"/>
      <x:c r="B961" s="12"/>
      <x:c r="C961" s="12"/>
      <x:c r="D961" s="12"/>
      <x:c r="E961" s="14"/>
      <x:c r="F961" s="13" t="str">
        <x:f>IF($A961="","",IF($D961&lt;&gt;'Team Setup'!$B$4,"Other sprint",IF($C961="","Unassigned",IF(OR(ISNUMBER(SEARCH(",",$C961)),ISNUMBER(SEARCH(";",$C961))),"Multiple assignees",IF(COUNTIF('Team Setup'!$B$10:$B$34,$C961)=1,"Matched","Unmatched")))))</x:f>
      </x:c>
      <x:c r="G961" s="13" t="str">
        <x:f>IF($A961="","",IF($D961&lt;&gt;'Team Setup'!$B$4,"Other sprint",IF($E961="","Unestimated",IF(NOT(ISNUMBER($E961)),"Check estimate in hours",IF($E961&lt;0,"Check estimate in hours",IF($E961=0,"Unestimated","Estimated"))))))</x:f>
      </x:c>
    </x:row>
    <x:row r="962">
      <x:c r="A962" s="12"/>
      <x:c r="B962" s="12"/>
      <x:c r="C962" s="12"/>
      <x:c r="D962" s="12"/>
      <x:c r="E962" s="14"/>
      <x:c r="F962" s="13" t="str">
        <x:f>IF($A962="","",IF($D962&lt;&gt;'Team Setup'!$B$4,"Other sprint",IF($C962="","Unassigned",IF(OR(ISNUMBER(SEARCH(",",$C962)),ISNUMBER(SEARCH(";",$C962))),"Multiple assignees",IF(COUNTIF('Team Setup'!$B$10:$B$34,$C962)=1,"Matched","Unmatched")))))</x:f>
      </x:c>
      <x:c r="G962" s="13" t="str">
        <x:f>IF($A962="","",IF($D962&lt;&gt;'Team Setup'!$B$4,"Other sprint",IF($E962="","Unestimated",IF(NOT(ISNUMBER($E962)),"Check estimate in hours",IF($E962&lt;0,"Check estimate in hours",IF($E962=0,"Unestimated","Estimated"))))))</x:f>
      </x:c>
    </x:row>
    <x:row r="963">
      <x:c r="A963" s="12"/>
      <x:c r="B963" s="12"/>
      <x:c r="C963" s="12"/>
      <x:c r="D963" s="12"/>
      <x:c r="E963" s="14"/>
      <x:c r="F963" s="13" t="str">
        <x:f>IF($A963="","",IF($D963&lt;&gt;'Team Setup'!$B$4,"Other sprint",IF($C963="","Unassigned",IF(OR(ISNUMBER(SEARCH(",",$C963)),ISNUMBER(SEARCH(";",$C963))),"Multiple assignees",IF(COUNTIF('Team Setup'!$B$10:$B$34,$C963)=1,"Matched","Unmatched")))))</x:f>
      </x:c>
      <x:c r="G963" s="13" t="str">
        <x:f>IF($A963="","",IF($D963&lt;&gt;'Team Setup'!$B$4,"Other sprint",IF($E963="","Unestimated",IF(NOT(ISNUMBER($E963)),"Check estimate in hours",IF($E963&lt;0,"Check estimate in hours",IF($E963=0,"Unestimated","Estimated"))))))</x:f>
      </x:c>
    </x:row>
    <x:row r="964">
      <x:c r="A964" s="12"/>
      <x:c r="B964" s="12"/>
      <x:c r="C964" s="12"/>
      <x:c r="D964" s="12"/>
      <x:c r="E964" s="14"/>
      <x:c r="F964" s="13" t="str">
        <x:f>IF($A964="","",IF($D964&lt;&gt;'Team Setup'!$B$4,"Other sprint",IF($C964="","Unassigned",IF(OR(ISNUMBER(SEARCH(",",$C964)),ISNUMBER(SEARCH(";",$C964))),"Multiple assignees",IF(COUNTIF('Team Setup'!$B$10:$B$34,$C964)=1,"Matched","Unmatched")))))</x:f>
      </x:c>
      <x:c r="G964" s="13" t="str">
        <x:f>IF($A964="","",IF($D964&lt;&gt;'Team Setup'!$B$4,"Other sprint",IF($E964="","Unestimated",IF(NOT(ISNUMBER($E964)),"Check estimate in hours",IF($E964&lt;0,"Check estimate in hours",IF($E964=0,"Unestimated","Estimated"))))))</x:f>
      </x:c>
    </x:row>
    <x:row r="965">
      <x:c r="A965" s="12"/>
      <x:c r="B965" s="12"/>
      <x:c r="C965" s="12"/>
      <x:c r="D965" s="12"/>
      <x:c r="E965" s="14"/>
      <x:c r="F965" s="13" t="str">
        <x:f>IF($A965="","",IF($D965&lt;&gt;'Team Setup'!$B$4,"Other sprint",IF($C965="","Unassigned",IF(OR(ISNUMBER(SEARCH(",",$C965)),ISNUMBER(SEARCH(";",$C965))),"Multiple assignees",IF(COUNTIF('Team Setup'!$B$10:$B$34,$C965)=1,"Matched","Unmatched")))))</x:f>
      </x:c>
      <x:c r="G965" s="13" t="str">
        <x:f>IF($A965="","",IF($D965&lt;&gt;'Team Setup'!$B$4,"Other sprint",IF($E965="","Unestimated",IF(NOT(ISNUMBER($E965)),"Check estimate in hours",IF($E965&lt;0,"Check estimate in hours",IF($E965=0,"Unestimated","Estimated"))))))</x:f>
      </x:c>
    </x:row>
    <x:row r="966">
      <x:c r="A966" s="12"/>
      <x:c r="B966" s="12"/>
      <x:c r="C966" s="12"/>
      <x:c r="D966" s="12"/>
      <x:c r="E966" s="14"/>
      <x:c r="F966" s="13" t="str">
        <x:f>IF($A966="","",IF($D966&lt;&gt;'Team Setup'!$B$4,"Other sprint",IF($C966="","Unassigned",IF(OR(ISNUMBER(SEARCH(",",$C966)),ISNUMBER(SEARCH(";",$C966))),"Multiple assignees",IF(COUNTIF('Team Setup'!$B$10:$B$34,$C966)=1,"Matched","Unmatched")))))</x:f>
      </x:c>
      <x:c r="G966" s="13" t="str">
        <x:f>IF($A966="","",IF($D966&lt;&gt;'Team Setup'!$B$4,"Other sprint",IF($E966="","Unestimated",IF(NOT(ISNUMBER($E966)),"Check estimate in hours",IF($E966&lt;0,"Check estimate in hours",IF($E966=0,"Unestimated","Estimated"))))))</x:f>
      </x:c>
    </x:row>
    <x:row r="967">
      <x:c r="A967" s="12"/>
      <x:c r="B967" s="12"/>
      <x:c r="C967" s="12"/>
      <x:c r="D967" s="12"/>
      <x:c r="E967" s="14"/>
      <x:c r="F967" s="13" t="str">
        <x:f>IF($A967="","",IF($D967&lt;&gt;'Team Setup'!$B$4,"Other sprint",IF($C967="","Unassigned",IF(OR(ISNUMBER(SEARCH(",",$C967)),ISNUMBER(SEARCH(";",$C967))),"Multiple assignees",IF(COUNTIF('Team Setup'!$B$10:$B$34,$C967)=1,"Matched","Unmatched")))))</x:f>
      </x:c>
      <x:c r="G967" s="13" t="str">
        <x:f>IF($A967="","",IF($D967&lt;&gt;'Team Setup'!$B$4,"Other sprint",IF($E967="","Unestimated",IF(NOT(ISNUMBER($E967)),"Check estimate in hours",IF($E967&lt;0,"Check estimate in hours",IF($E967=0,"Unestimated","Estimated"))))))</x:f>
      </x:c>
    </x:row>
    <x:row r="968">
      <x:c r="A968" s="12"/>
      <x:c r="B968" s="12"/>
      <x:c r="C968" s="12"/>
      <x:c r="D968" s="12"/>
      <x:c r="E968" s="14"/>
      <x:c r="F968" s="13" t="str">
        <x:f>IF($A968="","",IF($D968&lt;&gt;'Team Setup'!$B$4,"Other sprint",IF($C968="","Unassigned",IF(OR(ISNUMBER(SEARCH(",",$C968)),ISNUMBER(SEARCH(";",$C968))),"Multiple assignees",IF(COUNTIF('Team Setup'!$B$10:$B$34,$C968)=1,"Matched","Unmatched")))))</x:f>
      </x:c>
      <x:c r="G968" s="13" t="str">
        <x:f>IF($A968="","",IF($D968&lt;&gt;'Team Setup'!$B$4,"Other sprint",IF($E968="","Unestimated",IF(NOT(ISNUMBER($E968)),"Check estimate in hours",IF($E968&lt;0,"Check estimate in hours",IF($E968=0,"Unestimated","Estimated"))))))</x:f>
      </x:c>
    </x:row>
    <x:row r="969">
      <x:c r="A969" s="12"/>
      <x:c r="B969" s="12"/>
      <x:c r="C969" s="12"/>
      <x:c r="D969" s="12"/>
      <x:c r="E969" s="14"/>
      <x:c r="F969" s="13" t="str">
        <x:f>IF($A969="","",IF($D969&lt;&gt;'Team Setup'!$B$4,"Other sprint",IF($C969="","Unassigned",IF(OR(ISNUMBER(SEARCH(",",$C969)),ISNUMBER(SEARCH(";",$C969))),"Multiple assignees",IF(COUNTIF('Team Setup'!$B$10:$B$34,$C969)=1,"Matched","Unmatched")))))</x:f>
      </x:c>
      <x:c r="G969" s="13" t="str">
        <x:f>IF($A969="","",IF($D969&lt;&gt;'Team Setup'!$B$4,"Other sprint",IF($E969="","Unestimated",IF(NOT(ISNUMBER($E969)),"Check estimate in hours",IF($E969&lt;0,"Check estimate in hours",IF($E969=0,"Unestimated","Estimated"))))))</x:f>
      </x:c>
    </x:row>
    <x:row r="970">
      <x:c r="A970" s="12"/>
      <x:c r="B970" s="12"/>
      <x:c r="C970" s="12"/>
      <x:c r="D970" s="12"/>
      <x:c r="E970" s="14"/>
      <x:c r="F970" s="13" t="str">
        <x:f>IF($A970="","",IF($D970&lt;&gt;'Team Setup'!$B$4,"Other sprint",IF($C970="","Unassigned",IF(OR(ISNUMBER(SEARCH(",",$C970)),ISNUMBER(SEARCH(";",$C970))),"Multiple assignees",IF(COUNTIF('Team Setup'!$B$10:$B$34,$C970)=1,"Matched","Unmatched")))))</x:f>
      </x:c>
      <x:c r="G970" s="13" t="str">
        <x:f>IF($A970="","",IF($D970&lt;&gt;'Team Setup'!$B$4,"Other sprint",IF($E970="","Unestimated",IF(NOT(ISNUMBER($E970)),"Check estimate in hours",IF($E970&lt;0,"Check estimate in hours",IF($E970=0,"Unestimated","Estimated"))))))</x:f>
      </x:c>
    </x:row>
    <x:row r="971">
      <x:c r="A971" s="12"/>
      <x:c r="B971" s="12"/>
      <x:c r="C971" s="12"/>
      <x:c r="D971" s="12"/>
      <x:c r="E971" s="14"/>
      <x:c r="F971" s="13" t="str">
        <x:f>IF($A971="","",IF($D971&lt;&gt;'Team Setup'!$B$4,"Other sprint",IF($C971="","Unassigned",IF(OR(ISNUMBER(SEARCH(",",$C971)),ISNUMBER(SEARCH(";",$C971))),"Multiple assignees",IF(COUNTIF('Team Setup'!$B$10:$B$34,$C971)=1,"Matched","Unmatched")))))</x:f>
      </x:c>
      <x:c r="G971" s="13" t="str">
        <x:f>IF($A971="","",IF($D971&lt;&gt;'Team Setup'!$B$4,"Other sprint",IF($E971="","Unestimated",IF(NOT(ISNUMBER($E971)),"Check estimate in hours",IF($E971&lt;0,"Check estimate in hours",IF($E971=0,"Unestimated","Estimated"))))))</x:f>
      </x:c>
    </x:row>
    <x:row r="972">
      <x:c r="A972" s="12"/>
      <x:c r="B972" s="12"/>
      <x:c r="C972" s="12"/>
      <x:c r="D972" s="12"/>
      <x:c r="E972" s="14"/>
      <x:c r="F972" s="13" t="str">
        <x:f>IF($A972="","",IF($D972&lt;&gt;'Team Setup'!$B$4,"Other sprint",IF($C972="","Unassigned",IF(OR(ISNUMBER(SEARCH(",",$C972)),ISNUMBER(SEARCH(";",$C972))),"Multiple assignees",IF(COUNTIF('Team Setup'!$B$10:$B$34,$C972)=1,"Matched","Unmatched")))))</x:f>
      </x:c>
      <x:c r="G972" s="13" t="str">
        <x:f>IF($A972="","",IF($D972&lt;&gt;'Team Setup'!$B$4,"Other sprint",IF($E972="","Unestimated",IF(NOT(ISNUMBER($E972)),"Check estimate in hours",IF($E972&lt;0,"Check estimate in hours",IF($E972=0,"Unestimated","Estimated"))))))</x:f>
      </x:c>
    </x:row>
    <x:row r="973">
      <x:c r="A973" s="12"/>
      <x:c r="B973" s="12"/>
      <x:c r="C973" s="12"/>
      <x:c r="D973" s="12"/>
      <x:c r="E973" s="14"/>
      <x:c r="F973" s="13" t="str">
        <x:f>IF($A973="","",IF($D973&lt;&gt;'Team Setup'!$B$4,"Other sprint",IF($C973="","Unassigned",IF(OR(ISNUMBER(SEARCH(",",$C973)),ISNUMBER(SEARCH(";",$C973))),"Multiple assignees",IF(COUNTIF('Team Setup'!$B$10:$B$34,$C973)=1,"Matched","Unmatched")))))</x:f>
      </x:c>
      <x:c r="G973" s="13" t="str">
        <x:f>IF($A973="","",IF($D973&lt;&gt;'Team Setup'!$B$4,"Other sprint",IF($E973="","Unestimated",IF(NOT(ISNUMBER($E973)),"Check estimate in hours",IF($E973&lt;0,"Check estimate in hours",IF($E973=0,"Unestimated","Estimated"))))))</x:f>
      </x:c>
    </x:row>
    <x:row r="974">
      <x:c r="A974" s="12"/>
      <x:c r="B974" s="12"/>
      <x:c r="C974" s="12"/>
      <x:c r="D974" s="12"/>
      <x:c r="E974" s="14"/>
      <x:c r="F974" s="13" t="str">
        <x:f>IF($A974="","",IF($D974&lt;&gt;'Team Setup'!$B$4,"Other sprint",IF($C974="","Unassigned",IF(OR(ISNUMBER(SEARCH(",",$C974)),ISNUMBER(SEARCH(";",$C974))),"Multiple assignees",IF(COUNTIF('Team Setup'!$B$10:$B$34,$C974)=1,"Matched","Unmatched")))))</x:f>
      </x:c>
      <x:c r="G974" s="13" t="str">
        <x:f>IF($A974="","",IF($D974&lt;&gt;'Team Setup'!$B$4,"Other sprint",IF($E974="","Unestimated",IF(NOT(ISNUMBER($E974)),"Check estimate in hours",IF($E974&lt;0,"Check estimate in hours",IF($E974=0,"Unestimated","Estimated"))))))</x:f>
      </x:c>
    </x:row>
    <x:row r="975">
      <x:c r="A975" s="12"/>
      <x:c r="B975" s="12"/>
      <x:c r="C975" s="12"/>
      <x:c r="D975" s="12"/>
      <x:c r="E975" s="14"/>
      <x:c r="F975" s="13" t="str">
        <x:f>IF($A975="","",IF($D975&lt;&gt;'Team Setup'!$B$4,"Other sprint",IF($C975="","Unassigned",IF(OR(ISNUMBER(SEARCH(",",$C975)),ISNUMBER(SEARCH(";",$C975))),"Multiple assignees",IF(COUNTIF('Team Setup'!$B$10:$B$34,$C975)=1,"Matched","Unmatched")))))</x:f>
      </x:c>
      <x:c r="G975" s="13" t="str">
        <x:f>IF($A975="","",IF($D975&lt;&gt;'Team Setup'!$B$4,"Other sprint",IF($E975="","Unestimated",IF(NOT(ISNUMBER($E975)),"Check estimate in hours",IF($E975&lt;0,"Check estimate in hours",IF($E975=0,"Unestimated","Estimated"))))))</x:f>
      </x:c>
    </x:row>
    <x:row r="976">
      <x:c r="A976" s="12"/>
      <x:c r="B976" s="12"/>
      <x:c r="C976" s="12"/>
      <x:c r="D976" s="12"/>
      <x:c r="E976" s="14"/>
      <x:c r="F976" s="13" t="str">
        <x:f>IF($A976="","",IF($D976&lt;&gt;'Team Setup'!$B$4,"Other sprint",IF($C976="","Unassigned",IF(OR(ISNUMBER(SEARCH(",",$C976)),ISNUMBER(SEARCH(";",$C976))),"Multiple assignees",IF(COUNTIF('Team Setup'!$B$10:$B$34,$C976)=1,"Matched","Unmatched")))))</x:f>
      </x:c>
      <x:c r="G976" s="13" t="str">
        <x:f>IF($A976="","",IF($D976&lt;&gt;'Team Setup'!$B$4,"Other sprint",IF($E976="","Unestimated",IF(NOT(ISNUMBER($E976)),"Check estimate in hours",IF($E976&lt;0,"Check estimate in hours",IF($E976=0,"Unestimated","Estimated"))))))</x:f>
      </x:c>
    </x:row>
    <x:row r="977">
      <x:c r="A977" s="12"/>
      <x:c r="B977" s="12"/>
      <x:c r="C977" s="12"/>
      <x:c r="D977" s="12"/>
      <x:c r="E977" s="14"/>
      <x:c r="F977" s="13" t="str">
        <x:f>IF($A977="","",IF($D977&lt;&gt;'Team Setup'!$B$4,"Other sprint",IF($C977="","Unassigned",IF(OR(ISNUMBER(SEARCH(",",$C977)),ISNUMBER(SEARCH(";",$C977))),"Multiple assignees",IF(COUNTIF('Team Setup'!$B$10:$B$34,$C977)=1,"Matched","Unmatched")))))</x:f>
      </x:c>
      <x:c r="G977" s="13" t="str">
        <x:f>IF($A977="","",IF($D977&lt;&gt;'Team Setup'!$B$4,"Other sprint",IF($E977="","Unestimated",IF(NOT(ISNUMBER($E977)),"Check estimate in hours",IF($E977&lt;0,"Check estimate in hours",IF($E977=0,"Unestimated","Estimated"))))))</x:f>
      </x:c>
    </x:row>
    <x:row r="978">
      <x:c r="A978" s="12"/>
      <x:c r="B978" s="12"/>
      <x:c r="C978" s="12"/>
      <x:c r="D978" s="12"/>
      <x:c r="E978" s="14"/>
      <x:c r="F978" s="13" t="str">
        <x:f>IF($A978="","",IF($D978&lt;&gt;'Team Setup'!$B$4,"Other sprint",IF($C978="","Unassigned",IF(OR(ISNUMBER(SEARCH(",",$C978)),ISNUMBER(SEARCH(";",$C978))),"Multiple assignees",IF(COUNTIF('Team Setup'!$B$10:$B$34,$C978)=1,"Matched","Unmatched")))))</x:f>
      </x:c>
      <x:c r="G978" s="13" t="str">
        <x:f>IF($A978="","",IF($D978&lt;&gt;'Team Setup'!$B$4,"Other sprint",IF($E978="","Unestimated",IF(NOT(ISNUMBER($E978)),"Check estimate in hours",IF($E978&lt;0,"Check estimate in hours",IF($E978=0,"Unestimated","Estimated"))))))</x:f>
      </x:c>
    </x:row>
    <x:row r="979">
      <x:c r="A979" s="12"/>
      <x:c r="B979" s="12"/>
      <x:c r="C979" s="12"/>
      <x:c r="D979" s="12"/>
      <x:c r="E979" s="14"/>
      <x:c r="F979" s="13" t="str">
        <x:f>IF($A979="","",IF($D979&lt;&gt;'Team Setup'!$B$4,"Other sprint",IF($C979="","Unassigned",IF(OR(ISNUMBER(SEARCH(",",$C979)),ISNUMBER(SEARCH(";",$C979))),"Multiple assignees",IF(COUNTIF('Team Setup'!$B$10:$B$34,$C979)=1,"Matched","Unmatched")))))</x:f>
      </x:c>
      <x:c r="G979" s="13" t="str">
        <x:f>IF($A979="","",IF($D979&lt;&gt;'Team Setup'!$B$4,"Other sprint",IF($E979="","Unestimated",IF(NOT(ISNUMBER($E979)),"Check estimate in hours",IF($E979&lt;0,"Check estimate in hours",IF($E979=0,"Unestimated","Estimated"))))))</x:f>
      </x:c>
    </x:row>
    <x:row r="980">
      <x:c r="A980" s="12"/>
      <x:c r="B980" s="12"/>
      <x:c r="C980" s="12"/>
      <x:c r="D980" s="12"/>
      <x:c r="E980" s="14"/>
      <x:c r="F980" s="13" t="str">
        <x:f>IF($A980="","",IF($D980&lt;&gt;'Team Setup'!$B$4,"Other sprint",IF($C980="","Unassigned",IF(OR(ISNUMBER(SEARCH(",",$C980)),ISNUMBER(SEARCH(";",$C980))),"Multiple assignees",IF(COUNTIF('Team Setup'!$B$10:$B$34,$C980)=1,"Matched","Unmatched")))))</x:f>
      </x:c>
      <x:c r="G980" s="13" t="str">
        <x:f>IF($A980="","",IF($D980&lt;&gt;'Team Setup'!$B$4,"Other sprint",IF($E980="","Unestimated",IF(NOT(ISNUMBER($E980)),"Check estimate in hours",IF($E980&lt;0,"Check estimate in hours",IF($E980=0,"Unestimated","Estimated"))))))</x:f>
      </x:c>
    </x:row>
    <x:row r="981">
      <x:c r="A981" s="12"/>
      <x:c r="B981" s="12"/>
      <x:c r="C981" s="12"/>
      <x:c r="D981" s="12"/>
      <x:c r="E981" s="14"/>
      <x:c r="F981" s="13" t="str">
        <x:f>IF($A981="","",IF($D981&lt;&gt;'Team Setup'!$B$4,"Other sprint",IF($C981="","Unassigned",IF(OR(ISNUMBER(SEARCH(",",$C981)),ISNUMBER(SEARCH(";",$C981))),"Multiple assignees",IF(COUNTIF('Team Setup'!$B$10:$B$34,$C981)=1,"Matched","Unmatched")))))</x:f>
      </x:c>
      <x:c r="G981" s="13" t="str">
        <x:f>IF($A981="","",IF($D981&lt;&gt;'Team Setup'!$B$4,"Other sprint",IF($E981="","Unestimated",IF(NOT(ISNUMBER($E981)),"Check estimate in hours",IF($E981&lt;0,"Check estimate in hours",IF($E981=0,"Unestimated","Estimated"))))))</x:f>
      </x:c>
    </x:row>
    <x:row r="982">
      <x:c r="A982" s="12"/>
      <x:c r="B982" s="12"/>
      <x:c r="C982" s="12"/>
      <x:c r="D982" s="12"/>
      <x:c r="E982" s="14"/>
      <x:c r="F982" s="13" t="str">
        <x:f>IF($A982="","",IF($D982&lt;&gt;'Team Setup'!$B$4,"Other sprint",IF($C982="","Unassigned",IF(OR(ISNUMBER(SEARCH(",",$C982)),ISNUMBER(SEARCH(";",$C982))),"Multiple assignees",IF(COUNTIF('Team Setup'!$B$10:$B$34,$C982)=1,"Matched","Unmatched")))))</x:f>
      </x:c>
      <x:c r="G982" s="13" t="str">
        <x:f>IF($A982="","",IF($D982&lt;&gt;'Team Setup'!$B$4,"Other sprint",IF($E982="","Unestimated",IF(NOT(ISNUMBER($E982)),"Check estimate in hours",IF($E982&lt;0,"Check estimate in hours",IF($E982=0,"Unestimated","Estimated"))))))</x:f>
      </x:c>
    </x:row>
    <x:row r="983">
      <x:c r="A983" s="12"/>
      <x:c r="B983" s="12"/>
      <x:c r="C983" s="12"/>
      <x:c r="D983" s="12"/>
      <x:c r="E983" s="14"/>
      <x:c r="F983" s="13" t="str">
        <x:f>IF($A983="","",IF($D983&lt;&gt;'Team Setup'!$B$4,"Other sprint",IF($C983="","Unassigned",IF(OR(ISNUMBER(SEARCH(",",$C983)),ISNUMBER(SEARCH(";",$C983))),"Multiple assignees",IF(COUNTIF('Team Setup'!$B$10:$B$34,$C983)=1,"Matched","Unmatched")))))</x:f>
      </x:c>
      <x:c r="G983" s="13" t="str">
        <x:f>IF($A983="","",IF($D983&lt;&gt;'Team Setup'!$B$4,"Other sprint",IF($E983="","Unestimated",IF(NOT(ISNUMBER($E983)),"Check estimate in hours",IF($E983&lt;0,"Check estimate in hours",IF($E983=0,"Unestimated","Estimated"))))))</x:f>
      </x:c>
    </x:row>
    <x:row r="984">
      <x:c r="A984" s="12"/>
      <x:c r="B984" s="12"/>
      <x:c r="C984" s="12"/>
      <x:c r="D984" s="12"/>
      <x:c r="E984" s="14"/>
      <x:c r="F984" s="13" t="str">
        <x:f>IF($A984="","",IF($D984&lt;&gt;'Team Setup'!$B$4,"Other sprint",IF($C984="","Unassigned",IF(OR(ISNUMBER(SEARCH(",",$C984)),ISNUMBER(SEARCH(";",$C984))),"Multiple assignees",IF(COUNTIF('Team Setup'!$B$10:$B$34,$C984)=1,"Matched","Unmatched")))))</x:f>
      </x:c>
      <x:c r="G984" s="13" t="str">
        <x:f>IF($A984="","",IF($D984&lt;&gt;'Team Setup'!$B$4,"Other sprint",IF($E984="","Unestimated",IF(NOT(ISNUMBER($E984)),"Check estimate in hours",IF($E984&lt;0,"Check estimate in hours",IF($E984=0,"Unestimated","Estimated"))))))</x:f>
      </x:c>
    </x:row>
    <x:row r="985">
      <x:c r="A985" s="12"/>
      <x:c r="B985" s="12"/>
      <x:c r="C985" s="12"/>
      <x:c r="D985" s="12"/>
      <x:c r="E985" s="14"/>
      <x:c r="F985" s="13" t="str">
        <x:f>IF($A985="","",IF($D985&lt;&gt;'Team Setup'!$B$4,"Other sprint",IF($C985="","Unassigned",IF(OR(ISNUMBER(SEARCH(",",$C985)),ISNUMBER(SEARCH(";",$C985))),"Multiple assignees",IF(COUNTIF('Team Setup'!$B$10:$B$34,$C985)=1,"Matched","Unmatched")))))</x:f>
      </x:c>
      <x:c r="G985" s="13" t="str">
        <x:f>IF($A985="","",IF($D985&lt;&gt;'Team Setup'!$B$4,"Other sprint",IF($E985="","Unestimated",IF(NOT(ISNUMBER($E985)),"Check estimate in hours",IF($E985&lt;0,"Check estimate in hours",IF($E985=0,"Unestimated","Estimated"))))))</x:f>
      </x:c>
    </x:row>
    <x:row r="986">
      <x:c r="A986" s="12"/>
      <x:c r="B986" s="12"/>
      <x:c r="C986" s="12"/>
      <x:c r="D986" s="12"/>
      <x:c r="E986" s="14"/>
      <x:c r="F986" s="13" t="str">
        <x:f>IF($A986="","",IF($D986&lt;&gt;'Team Setup'!$B$4,"Other sprint",IF($C986="","Unassigned",IF(OR(ISNUMBER(SEARCH(",",$C986)),ISNUMBER(SEARCH(";",$C986))),"Multiple assignees",IF(COUNTIF('Team Setup'!$B$10:$B$34,$C986)=1,"Matched","Unmatched")))))</x:f>
      </x:c>
      <x:c r="G986" s="13" t="str">
        <x:f>IF($A986="","",IF($D986&lt;&gt;'Team Setup'!$B$4,"Other sprint",IF($E986="","Unestimated",IF(NOT(ISNUMBER($E986)),"Check estimate in hours",IF($E986&lt;0,"Check estimate in hours",IF($E986=0,"Unestimated","Estimated"))))))</x:f>
      </x:c>
    </x:row>
    <x:row r="987">
      <x:c r="A987" s="12"/>
      <x:c r="B987" s="12"/>
      <x:c r="C987" s="12"/>
      <x:c r="D987" s="12"/>
      <x:c r="E987" s="14"/>
      <x:c r="F987" s="13" t="str">
        <x:f>IF($A987="","",IF($D987&lt;&gt;'Team Setup'!$B$4,"Other sprint",IF($C987="","Unassigned",IF(OR(ISNUMBER(SEARCH(",",$C987)),ISNUMBER(SEARCH(";",$C987))),"Multiple assignees",IF(COUNTIF('Team Setup'!$B$10:$B$34,$C987)=1,"Matched","Unmatched")))))</x:f>
      </x:c>
      <x:c r="G987" s="13" t="str">
        <x:f>IF($A987="","",IF($D987&lt;&gt;'Team Setup'!$B$4,"Other sprint",IF($E987="","Unestimated",IF(NOT(ISNUMBER($E987)),"Check estimate in hours",IF($E987&lt;0,"Check estimate in hours",IF($E987=0,"Unestimated","Estimated"))))))</x:f>
      </x:c>
    </x:row>
    <x:row r="988">
      <x:c r="A988" s="12"/>
      <x:c r="B988" s="12"/>
      <x:c r="C988" s="12"/>
      <x:c r="D988" s="12"/>
      <x:c r="E988" s="14"/>
      <x:c r="F988" s="13" t="str">
        <x:f>IF($A988="","",IF($D988&lt;&gt;'Team Setup'!$B$4,"Other sprint",IF($C988="","Unassigned",IF(OR(ISNUMBER(SEARCH(",",$C988)),ISNUMBER(SEARCH(";",$C988))),"Multiple assignees",IF(COUNTIF('Team Setup'!$B$10:$B$34,$C988)=1,"Matched","Unmatched")))))</x:f>
      </x:c>
      <x:c r="G988" s="13" t="str">
        <x:f>IF($A988="","",IF($D988&lt;&gt;'Team Setup'!$B$4,"Other sprint",IF($E988="","Unestimated",IF(NOT(ISNUMBER($E988)),"Check estimate in hours",IF($E988&lt;0,"Check estimate in hours",IF($E988=0,"Unestimated","Estimated"))))))</x:f>
      </x:c>
    </x:row>
    <x:row r="989">
      <x:c r="A989" s="12"/>
      <x:c r="B989" s="12"/>
      <x:c r="C989" s="12"/>
      <x:c r="D989" s="12"/>
      <x:c r="E989" s="14"/>
      <x:c r="F989" s="13" t="str">
        <x:f>IF($A989="","",IF($D989&lt;&gt;'Team Setup'!$B$4,"Other sprint",IF($C989="","Unassigned",IF(OR(ISNUMBER(SEARCH(",",$C989)),ISNUMBER(SEARCH(";",$C989))),"Multiple assignees",IF(COUNTIF('Team Setup'!$B$10:$B$34,$C989)=1,"Matched","Unmatched")))))</x:f>
      </x:c>
      <x:c r="G989" s="13" t="str">
        <x:f>IF($A989="","",IF($D989&lt;&gt;'Team Setup'!$B$4,"Other sprint",IF($E989="","Unestimated",IF(NOT(ISNUMBER($E989)),"Check estimate in hours",IF($E989&lt;0,"Check estimate in hours",IF($E989=0,"Unestimated","Estimated"))))))</x:f>
      </x:c>
    </x:row>
    <x:row r="990">
      <x:c r="A990" s="12"/>
      <x:c r="B990" s="12"/>
      <x:c r="C990" s="12"/>
      <x:c r="D990" s="12"/>
      <x:c r="E990" s="14"/>
      <x:c r="F990" s="13" t="str">
        <x:f>IF($A990="","",IF($D990&lt;&gt;'Team Setup'!$B$4,"Other sprint",IF($C990="","Unassigned",IF(OR(ISNUMBER(SEARCH(",",$C990)),ISNUMBER(SEARCH(";",$C990))),"Multiple assignees",IF(COUNTIF('Team Setup'!$B$10:$B$34,$C990)=1,"Matched","Unmatched")))))</x:f>
      </x:c>
      <x:c r="G990" s="13" t="str">
        <x:f>IF($A990="","",IF($D990&lt;&gt;'Team Setup'!$B$4,"Other sprint",IF($E990="","Unestimated",IF(NOT(ISNUMBER($E990)),"Check estimate in hours",IF($E990&lt;0,"Check estimate in hours",IF($E990=0,"Unestimated","Estimated"))))))</x:f>
      </x:c>
    </x:row>
    <x:row r="991">
      <x:c r="A991" s="12"/>
      <x:c r="B991" s="12"/>
      <x:c r="C991" s="12"/>
      <x:c r="D991" s="12"/>
      <x:c r="E991" s="14"/>
      <x:c r="F991" s="13" t="str">
        <x:f>IF($A991="","",IF($D991&lt;&gt;'Team Setup'!$B$4,"Other sprint",IF($C991="","Unassigned",IF(OR(ISNUMBER(SEARCH(",",$C991)),ISNUMBER(SEARCH(";",$C991))),"Multiple assignees",IF(COUNTIF('Team Setup'!$B$10:$B$34,$C991)=1,"Matched","Unmatched")))))</x:f>
      </x:c>
      <x:c r="G991" s="13" t="str">
        <x:f>IF($A991="","",IF($D991&lt;&gt;'Team Setup'!$B$4,"Other sprint",IF($E991="","Unestimated",IF(NOT(ISNUMBER($E991)),"Check estimate in hours",IF($E991&lt;0,"Check estimate in hours",IF($E991=0,"Unestimated","Estimated"))))))</x:f>
      </x:c>
    </x:row>
    <x:row r="992">
      <x:c r="A992" s="12"/>
      <x:c r="B992" s="12"/>
      <x:c r="C992" s="12"/>
      <x:c r="D992" s="12"/>
      <x:c r="E992" s="14"/>
      <x:c r="F992" s="13" t="str">
        <x:f>IF($A992="","",IF($D992&lt;&gt;'Team Setup'!$B$4,"Other sprint",IF($C992="","Unassigned",IF(OR(ISNUMBER(SEARCH(",",$C992)),ISNUMBER(SEARCH(";",$C992))),"Multiple assignees",IF(COUNTIF('Team Setup'!$B$10:$B$34,$C992)=1,"Matched","Unmatched")))))</x:f>
      </x:c>
      <x:c r="G992" s="13" t="str">
        <x:f>IF($A992="","",IF($D992&lt;&gt;'Team Setup'!$B$4,"Other sprint",IF($E992="","Unestimated",IF(NOT(ISNUMBER($E992)),"Check estimate in hours",IF($E992&lt;0,"Check estimate in hours",IF($E992=0,"Unestimated","Estimated"))))))</x:f>
      </x:c>
    </x:row>
    <x:row r="993">
      <x:c r="A993" s="12"/>
      <x:c r="B993" s="12"/>
      <x:c r="C993" s="12"/>
      <x:c r="D993" s="12"/>
      <x:c r="E993" s="14"/>
      <x:c r="F993" s="13" t="str">
        <x:f>IF($A993="","",IF($D993&lt;&gt;'Team Setup'!$B$4,"Other sprint",IF($C993="","Unassigned",IF(OR(ISNUMBER(SEARCH(",",$C993)),ISNUMBER(SEARCH(";",$C993))),"Multiple assignees",IF(COUNTIF('Team Setup'!$B$10:$B$34,$C993)=1,"Matched","Unmatched")))))</x:f>
      </x:c>
      <x:c r="G993" s="13" t="str">
        <x:f>IF($A993="","",IF($D993&lt;&gt;'Team Setup'!$B$4,"Other sprint",IF($E993="","Unestimated",IF(NOT(ISNUMBER($E993)),"Check estimate in hours",IF($E993&lt;0,"Check estimate in hours",IF($E993=0,"Unestimated","Estimated"))))))</x:f>
      </x:c>
    </x:row>
    <x:row r="994">
      <x:c r="A994" s="12"/>
      <x:c r="B994" s="12"/>
      <x:c r="C994" s="12"/>
      <x:c r="D994" s="12"/>
      <x:c r="E994" s="14"/>
      <x:c r="F994" s="13" t="str">
        <x:f>IF($A994="","",IF($D994&lt;&gt;'Team Setup'!$B$4,"Other sprint",IF($C994="","Unassigned",IF(OR(ISNUMBER(SEARCH(",",$C994)),ISNUMBER(SEARCH(";",$C994))),"Multiple assignees",IF(COUNTIF('Team Setup'!$B$10:$B$34,$C994)=1,"Matched","Unmatched")))))</x:f>
      </x:c>
      <x:c r="G994" s="13" t="str">
        <x:f>IF($A994="","",IF($D994&lt;&gt;'Team Setup'!$B$4,"Other sprint",IF($E994="","Unestimated",IF(NOT(ISNUMBER($E994)),"Check estimate in hours",IF($E994&lt;0,"Check estimate in hours",IF($E994=0,"Unestimated","Estimated"))))))</x:f>
      </x:c>
    </x:row>
    <x:row r="995">
      <x:c r="A995" s="12"/>
      <x:c r="B995" s="12"/>
      <x:c r="C995" s="12"/>
      <x:c r="D995" s="12"/>
      <x:c r="E995" s="14"/>
      <x:c r="F995" s="13" t="str">
        <x:f>IF($A995="","",IF($D995&lt;&gt;'Team Setup'!$B$4,"Other sprint",IF($C995="","Unassigned",IF(OR(ISNUMBER(SEARCH(",",$C995)),ISNUMBER(SEARCH(";",$C995))),"Multiple assignees",IF(COUNTIF('Team Setup'!$B$10:$B$34,$C995)=1,"Matched","Unmatched")))))</x:f>
      </x:c>
      <x:c r="G995" s="13" t="str">
        <x:f>IF($A995="","",IF($D995&lt;&gt;'Team Setup'!$B$4,"Other sprint",IF($E995="","Unestimated",IF(NOT(ISNUMBER($E995)),"Check estimate in hours",IF($E995&lt;0,"Check estimate in hours",IF($E995=0,"Unestimated","Estimated"))))))</x:f>
      </x:c>
    </x:row>
    <x:row r="996">
      <x:c r="A996" s="12"/>
      <x:c r="B996" s="12"/>
      <x:c r="C996" s="12"/>
      <x:c r="D996" s="12"/>
      <x:c r="E996" s="14"/>
      <x:c r="F996" s="13" t="str">
        <x:f>IF($A996="","",IF($D996&lt;&gt;'Team Setup'!$B$4,"Other sprint",IF($C996="","Unassigned",IF(OR(ISNUMBER(SEARCH(",",$C996)),ISNUMBER(SEARCH(";",$C996))),"Multiple assignees",IF(COUNTIF('Team Setup'!$B$10:$B$34,$C996)=1,"Matched","Unmatched")))))</x:f>
      </x:c>
      <x:c r="G996" s="13" t="str">
        <x:f>IF($A996="","",IF($D996&lt;&gt;'Team Setup'!$B$4,"Other sprint",IF($E996="","Unestimated",IF(NOT(ISNUMBER($E996)),"Check estimate in hours",IF($E996&lt;0,"Check estimate in hours",IF($E996=0,"Unestimated","Estimated"))))))</x:f>
      </x:c>
    </x:row>
    <x:row r="997">
      <x:c r="A997" s="12"/>
      <x:c r="B997" s="12"/>
      <x:c r="C997" s="12"/>
      <x:c r="D997" s="12"/>
      <x:c r="E997" s="14"/>
      <x:c r="F997" s="13" t="str">
        <x:f>IF($A997="","",IF($D997&lt;&gt;'Team Setup'!$B$4,"Other sprint",IF($C997="","Unassigned",IF(OR(ISNUMBER(SEARCH(",",$C997)),ISNUMBER(SEARCH(";",$C997))),"Multiple assignees",IF(COUNTIF('Team Setup'!$B$10:$B$34,$C997)=1,"Matched","Unmatched")))))</x:f>
      </x:c>
      <x:c r="G997" s="13" t="str">
        <x:f>IF($A997="","",IF($D997&lt;&gt;'Team Setup'!$B$4,"Other sprint",IF($E997="","Unestimated",IF(NOT(ISNUMBER($E997)),"Check estimate in hours",IF($E997&lt;0,"Check estimate in hours",IF($E997=0,"Unestimated","Estimated"))))))</x:f>
      </x:c>
    </x:row>
    <x:row r="998">
      <x:c r="A998" s="12"/>
      <x:c r="B998" s="12"/>
      <x:c r="C998" s="12"/>
      <x:c r="D998" s="12"/>
      <x:c r="E998" s="14"/>
      <x:c r="F998" s="13" t="str">
        <x:f>IF($A998="","",IF($D998&lt;&gt;'Team Setup'!$B$4,"Other sprint",IF($C998="","Unassigned",IF(OR(ISNUMBER(SEARCH(",",$C998)),ISNUMBER(SEARCH(";",$C998))),"Multiple assignees",IF(COUNTIF('Team Setup'!$B$10:$B$34,$C998)=1,"Matched","Unmatched")))))</x:f>
      </x:c>
      <x:c r="G998" s="13" t="str">
        <x:f>IF($A998="","",IF($D998&lt;&gt;'Team Setup'!$B$4,"Other sprint",IF($E998="","Unestimated",IF(NOT(ISNUMBER($E998)),"Check estimate in hours",IF($E998&lt;0,"Check estimate in hours",IF($E998=0,"Unestimated","Estimated"))))))</x:f>
      </x:c>
    </x:row>
    <x:row r="999">
      <x:c r="A999" s="12"/>
      <x:c r="B999" s="12"/>
      <x:c r="C999" s="12"/>
      <x:c r="D999" s="12"/>
      <x:c r="E999" s="14"/>
      <x:c r="F999" s="13" t="str">
        <x:f>IF($A999="","",IF($D999&lt;&gt;'Team Setup'!$B$4,"Other sprint",IF($C999="","Unassigned",IF(OR(ISNUMBER(SEARCH(",",$C999)),ISNUMBER(SEARCH(";",$C999))),"Multiple assignees",IF(COUNTIF('Team Setup'!$B$10:$B$34,$C999)=1,"Matched","Unmatched")))))</x:f>
      </x:c>
      <x:c r="G999" s="13" t="str">
        <x:f>IF($A999="","",IF($D999&lt;&gt;'Team Setup'!$B$4,"Other sprint",IF($E999="","Unestimated",IF(NOT(ISNUMBER($E999)),"Check estimate in hours",IF($E999&lt;0,"Check estimate in hours",IF($E999=0,"Unestimated","Estimated"))))))</x:f>
      </x:c>
    </x:row>
    <x:row r="1000">
      <x:c r="A1000" s="12"/>
      <x:c r="B1000" s="12"/>
      <x:c r="C1000" s="12"/>
      <x:c r="D1000" s="12"/>
      <x:c r="E1000" s="14"/>
      <x:c r="F1000" s="13" t="str">
        <x:f>IF($A1000="","",IF($D1000&lt;&gt;'Team Setup'!$B$4,"Other sprint",IF($C1000="","Unassigned",IF(OR(ISNUMBER(SEARCH(",",$C1000)),ISNUMBER(SEARCH(";",$C1000))),"Multiple assignees",IF(COUNTIF('Team Setup'!$B$10:$B$34,$C1000)=1,"Matched","Unmatched")))))</x:f>
      </x:c>
      <x:c r="G1000" s="13" t="str">
        <x:f>IF($A1000="","",IF($D1000&lt;&gt;'Team Setup'!$B$4,"Other sprint",IF($E1000="","Unestimated",IF(NOT(ISNUMBER($E1000)),"Check estimate in hours",IF($E1000&lt;0,"Check estimate in hours",IF($E1000=0,"Unestimated","Estimated"))))))</x:f>
      </x:c>
    </x:row>
    <x:row r="1001">
      <x:c r="A1001" s="12"/>
      <x:c r="B1001" s="12"/>
      <x:c r="C1001" s="12"/>
      <x:c r="D1001" s="12"/>
      <x:c r="E1001" s="14"/>
      <x:c r="F1001" s="13" t="str">
        <x:f>IF($A1001="","",IF($D1001&lt;&gt;'Team Setup'!$B$4,"Other sprint",IF($C1001="","Unassigned",IF(OR(ISNUMBER(SEARCH(",",$C1001)),ISNUMBER(SEARCH(";",$C1001))),"Multiple assignees",IF(COUNTIF('Team Setup'!$B$10:$B$34,$C1001)=1,"Matched","Unmatched")))))</x:f>
      </x:c>
      <x:c r="G1001" s="13" t="str">
        <x:f>IF($A1001="","",IF($D1001&lt;&gt;'Team Setup'!$B$4,"Other sprint",IF($E1001="","Unestimated",IF(NOT(ISNUMBER($E1001)),"Check estimate in hours",IF($E1001&lt;0,"Check estimate in hours",IF($E1001=0,"Unestimated","Estimated"))))))</x:f>
      </x:c>
    </x:row>
    <x:row r="1002">
      <x:c r="A1002" s="12"/>
      <x:c r="B1002" s="12"/>
      <x:c r="C1002" s="12"/>
      <x:c r="D1002" s="12"/>
      <x:c r="E1002" s="14"/>
      <x:c r="F1002" s="13" t="str">
        <x:f>IF($A1002="","",IF($D1002&lt;&gt;'Team Setup'!$B$4,"Other sprint",IF($C1002="","Unassigned",IF(OR(ISNUMBER(SEARCH(",",$C1002)),ISNUMBER(SEARCH(";",$C1002))),"Multiple assignees",IF(COUNTIF('Team Setup'!$B$10:$B$34,$C1002)=1,"Matched","Unmatched")))))</x:f>
      </x:c>
      <x:c r="G1002" s="13" t="str">
        <x:f>IF($A1002="","",IF($D1002&lt;&gt;'Team Setup'!$B$4,"Other sprint",IF($E1002="","Unestimated",IF(NOT(ISNUMBER($E1002)),"Check estimate in hours",IF($E1002&lt;0,"Check estimate in hours",IF($E1002=0,"Unestimated","Estimated"))))))</x:f>
      </x:c>
    </x:row>
    <x:row r="1003">
      <x:c r="A1003" s="12"/>
      <x:c r="B1003" s="12"/>
      <x:c r="C1003" s="12"/>
      <x:c r="D1003" s="12"/>
      <x:c r="E1003" s="14"/>
      <x:c r="F1003" s="13" t="str">
        <x:f>IF($A1003="","",IF($D1003&lt;&gt;'Team Setup'!$B$4,"Other sprint",IF($C1003="","Unassigned",IF(OR(ISNUMBER(SEARCH(",",$C1003)),ISNUMBER(SEARCH(";",$C1003))),"Multiple assignees",IF(COUNTIF('Team Setup'!$B$10:$B$34,$C1003)=1,"Matched","Unmatched")))))</x:f>
      </x:c>
      <x:c r="G1003" s="13" t="str">
        <x:f>IF($A1003="","",IF($D1003&lt;&gt;'Team Setup'!$B$4,"Other sprint",IF($E1003="","Unestimated",IF(NOT(ISNUMBER($E1003)),"Check estimate in hours",IF($E1003&lt;0,"Check estimate in hours",IF($E1003=0,"Unestimated","Estimated"))))))</x:f>
      </x:c>
    </x:row>
    <x:row r="1004">
      <x:c r="A1004" s="12"/>
      <x:c r="B1004" s="12"/>
      <x:c r="C1004" s="12"/>
      <x:c r="D1004" s="12"/>
      <x:c r="E1004" s="14"/>
      <x:c r="F1004" s="13" t="str">
        <x:f>IF($A1004="","",IF($D1004&lt;&gt;'Team Setup'!$B$4,"Other sprint",IF($C1004="","Unassigned",IF(OR(ISNUMBER(SEARCH(",",$C1004)),ISNUMBER(SEARCH(";",$C1004))),"Multiple assignees",IF(COUNTIF('Team Setup'!$B$10:$B$34,$C1004)=1,"Matched","Unmatched")))))</x:f>
      </x:c>
      <x:c r="G1004" s="13" t="str">
        <x:f>IF($A1004="","",IF($D1004&lt;&gt;'Team Setup'!$B$4,"Other sprint",IF($E1004="","Unestimated",IF(NOT(ISNUMBER($E1004)),"Check estimate in hours",IF($E1004&lt;0,"Check estimate in hours",IF($E1004=0,"Unestimated","Estimated"))))))</x:f>
      </x:c>
    </x:row>
    <x:row r="1005">
      <x:c r="A1005" s="12"/>
      <x:c r="B1005" s="12"/>
      <x:c r="C1005" s="12"/>
      <x:c r="D1005" s="12"/>
      <x:c r="E1005" s="14"/>
      <x:c r="F1005" s="13" t="str">
        <x:f>IF($A1005="","",IF($D1005&lt;&gt;'Team Setup'!$B$4,"Other sprint",IF($C1005="","Unassigned",IF(OR(ISNUMBER(SEARCH(",",$C1005)),ISNUMBER(SEARCH(";",$C1005))),"Multiple assignees",IF(COUNTIF('Team Setup'!$B$10:$B$34,$C1005)=1,"Matched","Unmatched")))))</x:f>
      </x:c>
      <x:c r="G1005" s="13" t="str">
        <x:f>IF($A1005="","",IF($D1005&lt;&gt;'Team Setup'!$B$4,"Other sprint",IF($E1005="","Unestimated",IF(NOT(ISNUMBER($E1005)),"Check estimate in hours",IF($E1005&lt;0,"Check estimate in hours",IF($E1005=0,"Unestimated","Estimated"))))))</x:f>
      </x:c>
    </x:row>
    <x:row r="1006">
      <x:c r="A1006" s="12"/>
      <x:c r="B1006" s="12"/>
      <x:c r="C1006" s="12"/>
      <x:c r="D1006" s="12"/>
      <x:c r="E1006" s="14"/>
      <x:c r="F1006" s="13" t="str">
        <x:f>IF($A1006="","",IF($D1006&lt;&gt;'Team Setup'!$B$4,"Other sprint",IF($C1006="","Unassigned",IF(OR(ISNUMBER(SEARCH(",",$C1006)),ISNUMBER(SEARCH(";",$C1006))),"Multiple assignees",IF(COUNTIF('Team Setup'!$B$10:$B$34,$C1006)=1,"Matched","Unmatched")))))</x:f>
      </x:c>
      <x:c r="G1006" s="13" t="str">
        <x:f>IF($A1006="","",IF($D1006&lt;&gt;'Team Setup'!$B$4,"Other sprint",IF($E1006="","Unestimated",IF(NOT(ISNUMBER($E1006)),"Check estimate in hours",IF($E1006&lt;0,"Check estimate in hours",IF($E1006=0,"Unestimated","Estimated"))))))</x:f>
      </x:c>
    </x:row>
    <x:row r="1007">
      <x:c r="A1007" s="12"/>
      <x:c r="B1007" s="12"/>
      <x:c r="C1007" s="12"/>
      <x:c r="D1007" s="12"/>
      <x:c r="E1007" s="14"/>
      <x:c r="F1007" s="13" t="str">
        <x:f>IF($A1007="","",IF($D1007&lt;&gt;'Team Setup'!$B$4,"Other sprint",IF($C1007="","Unassigned",IF(OR(ISNUMBER(SEARCH(",",$C1007)),ISNUMBER(SEARCH(";",$C1007))),"Multiple assignees",IF(COUNTIF('Team Setup'!$B$10:$B$34,$C1007)=1,"Matched","Unmatched")))))</x:f>
      </x:c>
      <x:c r="G1007" s="13" t="str">
        <x:f>IF($A1007="","",IF($D1007&lt;&gt;'Team Setup'!$B$4,"Other sprint",IF($E1007="","Unestimated",IF(NOT(ISNUMBER($E1007)),"Check estimate in hours",IF($E1007&lt;0,"Check estimate in hours",IF($E1007=0,"Unestimated","Estimated"))))))</x:f>
      </x:c>
    </x:row>
    <x:row r="1008">
      <x:c r="A1008" s="12"/>
      <x:c r="B1008" s="12"/>
      <x:c r="C1008" s="12"/>
      <x:c r="D1008" s="12"/>
      <x:c r="E1008" s="14"/>
      <x:c r="F1008" s="13" t="str">
        <x:f>IF($A1008="","",IF($D1008&lt;&gt;'Team Setup'!$B$4,"Other sprint",IF($C1008="","Unassigned",IF(OR(ISNUMBER(SEARCH(",",$C1008)),ISNUMBER(SEARCH(";",$C1008))),"Multiple assignees",IF(COUNTIF('Team Setup'!$B$10:$B$34,$C1008)=1,"Matched","Unmatched")))))</x:f>
      </x:c>
      <x:c r="G1008" s="13" t="str">
        <x:f>IF($A1008="","",IF($D1008&lt;&gt;'Team Setup'!$B$4,"Other sprint",IF($E1008="","Unestimated",IF(NOT(ISNUMBER($E1008)),"Check estimate in hours",IF($E1008&lt;0,"Check estimate in hours",IF($E1008=0,"Unestimated","Estimated"))))))</x:f>
      </x:c>
    </x:row>
    <x:row r="1009">
      <x:c r="A1009" s="12"/>
      <x:c r="B1009" s="12"/>
      <x:c r="C1009" s="12"/>
      <x:c r="D1009" s="12"/>
      <x:c r="E1009" s="14"/>
      <x:c r="F1009" s="13" t="str">
        <x:f>IF($A1009="","",IF($D1009&lt;&gt;'Team Setup'!$B$4,"Other sprint",IF($C1009="","Unassigned",IF(OR(ISNUMBER(SEARCH(",",$C1009)),ISNUMBER(SEARCH(";",$C1009))),"Multiple assignees",IF(COUNTIF('Team Setup'!$B$10:$B$34,$C1009)=1,"Matched","Unmatched")))))</x:f>
      </x:c>
      <x:c r="G1009" s="13" t="str">
        <x:f>IF($A1009="","",IF($D1009&lt;&gt;'Team Setup'!$B$4,"Other sprint",IF($E1009="","Unestimated",IF(NOT(ISNUMBER($E1009)),"Check estimate in hours",IF($E1009&lt;0,"Check estimate in hours",IF($E1009=0,"Unestimated","Estimated"))))))</x:f>
      </x:c>
    </x:row>
    <x:row r="1010">
      <x:c r="A1010" s="12"/>
      <x:c r="B1010" s="12"/>
      <x:c r="C1010" s="12"/>
      <x:c r="D1010" s="12"/>
      <x:c r="E1010" s="14"/>
      <x:c r="F1010" s="13" t="str">
        <x:f>IF($A1010="","",IF($D1010&lt;&gt;'Team Setup'!$B$4,"Other sprint",IF($C1010="","Unassigned",IF(OR(ISNUMBER(SEARCH(",",$C1010)),ISNUMBER(SEARCH(";",$C1010))),"Multiple assignees",IF(COUNTIF('Team Setup'!$B$10:$B$34,$C1010)=1,"Matched","Unmatched")))))</x:f>
      </x:c>
      <x:c r="G1010" s="13" t="str">
        <x:f>IF($A1010="","",IF($D1010&lt;&gt;'Team Setup'!$B$4,"Other sprint",IF($E1010="","Unestimated",IF(NOT(ISNUMBER($E1010)),"Check estimate in hours",IF($E1010&lt;0,"Check estimate in hours",IF($E1010=0,"Unestimated","Estimated"))))))</x:f>
      </x:c>
    </x:row>
    <x:row r="1011">
      <x:c r="A1011" s="12"/>
      <x:c r="B1011" s="12"/>
      <x:c r="C1011" s="12"/>
      <x:c r="D1011" s="12"/>
      <x:c r="E1011" s="14"/>
      <x:c r="F1011" s="13" t="str">
        <x:f>IF($A1011="","",IF($D1011&lt;&gt;'Team Setup'!$B$4,"Other sprint",IF($C1011="","Unassigned",IF(OR(ISNUMBER(SEARCH(",",$C1011)),ISNUMBER(SEARCH(";",$C1011))),"Multiple assignees",IF(COUNTIF('Team Setup'!$B$10:$B$34,$C1011)=1,"Matched","Unmatched")))))</x:f>
      </x:c>
      <x:c r="G1011" s="13" t="str">
        <x:f>IF($A1011="","",IF($D1011&lt;&gt;'Team Setup'!$B$4,"Other sprint",IF($E1011="","Unestimated",IF(NOT(ISNUMBER($E1011)),"Check estimate in hours",IF($E1011&lt;0,"Check estimate in hours",IF($E1011=0,"Unestimated","Estimated"))))))</x:f>
      </x:c>
    </x:row>
    <x:row r="1012">
      <x:c r="A1012" s="12"/>
      <x:c r="B1012" s="12"/>
      <x:c r="C1012" s="12"/>
      <x:c r="D1012" s="12"/>
      <x:c r="E1012" s="14"/>
      <x:c r="F1012" s="13" t="str">
        <x:f>IF($A1012="","",IF($D1012&lt;&gt;'Team Setup'!$B$4,"Other sprint",IF($C1012="","Unassigned",IF(OR(ISNUMBER(SEARCH(",",$C1012)),ISNUMBER(SEARCH(";",$C1012))),"Multiple assignees",IF(COUNTIF('Team Setup'!$B$10:$B$34,$C1012)=1,"Matched","Unmatched")))))</x:f>
      </x:c>
      <x:c r="G1012" s="13" t="str">
        <x:f>IF($A1012="","",IF($D1012&lt;&gt;'Team Setup'!$B$4,"Other sprint",IF($E1012="","Unestimated",IF(NOT(ISNUMBER($E1012)),"Check estimate in hours",IF($E1012&lt;0,"Check estimate in hours",IF($E1012=0,"Unestimated","Estimated"))))))</x:f>
      </x:c>
    </x:row>
    <x:row r="1013">
      <x:c r="A1013" s="12"/>
      <x:c r="B1013" s="12"/>
      <x:c r="C1013" s="12"/>
      <x:c r="D1013" s="12"/>
      <x:c r="E1013" s="14"/>
      <x:c r="F1013" s="13" t="str">
        <x:f>IF($A1013="","",IF($D1013&lt;&gt;'Team Setup'!$B$4,"Other sprint",IF($C1013="","Unassigned",IF(OR(ISNUMBER(SEARCH(",",$C1013)),ISNUMBER(SEARCH(";",$C1013))),"Multiple assignees",IF(COUNTIF('Team Setup'!$B$10:$B$34,$C1013)=1,"Matched","Unmatched")))))</x:f>
      </x:c>
      <x:c r="G1013" s="13" t="str">
        <x:f>IF($A1013="","",IF($D1013&lt;&gt;'Team Setup'!$B$4,"Other sprint",IF($E1013="","Unestimated",IF(NOT(ISNUMBER($E1013)),"Check estimate in hours",IF($E1013&lt;0,"Check estimate in hours",IF($E1013=0,"Unestimated","Estimated"))))))</x:f>
      </x:c>
    </x:row>
    <x:row r="1014">
      <x:c r="A1014" s="12"/>
      <x:c r="B1014" s="12"/>
      <x:c r="C1014" s="12"/>
      <x:c r="D1014" s="12"/>
      <x:c r="E1014" s="14"/>
      <x:c r="F1014" s="13" t="str">
        <x:f>IF($A1014="","",IF($D1014&lt;&gt;'Team Setup'!$B$4,"Other sprint",IF($C1014="","Unassigned",IF(OR(ISNUMBER(SEARCH(",",$C1014)),ISNUMBER(SEARCH(";",$C1014))),"Multiple assignees",IF(COUNTIF('Team Setup'!$B$10:$B$34,$C1014)=1,"Matched","Unmatched")))))</x:f>
      </x:c>
      <x:c r="G1014" s="13" t="str">
        <x:f>IF($A1014="","",IF($D1014&lt;&gt;'Team Setup'!$B$4,"Other sprint",IF($E1014="","Unestimated",IF(NOT(ISNUMBER($E1014)),"Check estimate in hours",IF($E1014&lt;0,"Check estimate in hours",IF($E1014=0,"Unestimated","Estimated"))))))</x:f>
      </x:c>
    </x:row>
    <x:row r="1015">
      <x:c r="A1015" s="12"/>
      <x:c r="B1015" s="12"/>
      <x:c r="C1015" s="12"/>
      <x:c r="D1015" s="12"/>
      <x:c r="E1015" s="14"/>
      <x:c r="F1015" s="13" t="str">
        <x:f>IF($A1015="","",IF($D1015&lt;&gt;'Team Setup'!$B$4,"Other sprint",IF($C1015="","Unassigned",IF(OR(ISNUMBER(SEARCH(",",$C1015)),ISNUMBER(SEARCH(";",$C1015))),"Multiple assignees",IF(COUNTIF('Team Setup'!$B$10:$B$34,$C1015)=1,"Matched","Unmatched")))))</x:f>
      </x:c>
      <x:c r="G1015" s="13" t="str">
        <x:f>IF($A1015="","",IF($D1015&lt;&gt;'Team Setup'!$B$4,"Other sprint",IF($E1015="","Unestimated",IF(NOT(ISNUMBER($E1015)),"Check estimate in hours",IF($E1015&lt;0,"Check estimate in hours",IF($E1015=0,"Unestimated","Estimated"))))))</x:f>
      </x:c>
    </x:row>
    <x:row r="1016">
      <x:c r="A1016" s="12"/>
      <x:c r="B1016" s="12"/>
      <x:c r="C1016" s="12"/>
      <x:c r="D1016" s="12"/>
      <x:c r="E1016" s="14"/>
      <x:c r="F1016" s="13" t="str">
        <x:f>IF($A1016="","",IF($D1016&lt;&gt;'Team Setup'!$B$4,"Other sprint",IF($C1016="","Unassigned",IF(OR(ISNUMBER(SEARCH(",",$C1016)),ISNUMBER(SEARCH(";",$C1016))),"Multiple assignees",IF(COUNTIF('Team Setup'!$B$10:$B$34,$C1016)=1,"Matched","Unmatched")))))</x:f>
      </x:c>
      <x:c r="G1016" s="13" t="str">
        <x:f>IF($A1016="","",IF($D1016&lt;&gt;'Team Setup'!$B$4,"Other sprint",IF($E1016="","Unestimated",IF(NOT(ISNUMBER($E1016)),"Check estimate in hours",IF($E1016&lt;0,"Check estimate in hours",IF($E1016=0,"Unestimated","Estimated"))))))</x:f>
      </x:c>
    </x:row>
    <x:row r="1017">
      <x:c r="A1017" s="12"/>
      <x:c r="B1017" s="12"/>
      <x:c r="C1017" s="12"/>
      <x:c r="D1017" s="12"/>
      <x:c r="E1017" s="14"/>
      <x:c r="F1017" s="13" t="str">
        <x:f>IF($A1017="","",IF($D1017&lt;&gt;'Team Setup'!$B$4,"Other sprint",IF($C1017="","Unassigned",IF(OR(ISNUMBER(SEARCH(",",$C1017)),ISNUMBER(SEARCH(";",$C1017))),"Multiple assignees",IF(COUNTIF('Team Setup'!$B$10:$B$34,$C1017)=1,"Matched","Unmatched")))))</x:f>
      </x:c>
      <x:c r="G1017" s="13" t="str">
        <x:f>IF($A1017="","",IF($D1017&lt;&gt;'Team Setup'!$B$4,"Other sprint",IF($E1017="","Unestimated",IF(NOT(ISNUMBER($E1017)),"Check estimate in hours",IF($E1017&lt;0,"Check estimate in hours",IF($E1017=0,"Unestimated","Estimated"))))))</x:f>
      </x:c>
    </x:row>
    <x:row r="1018">
      <x:c r="A1018" s="12"/>
      <x:c r="B1018" s="12"/>
      <x:c r="C1018" s="12"/>
      <x:c r="D1018" s="12"/>
      <x:c r="E1018" s="14"/>
      <x:c r="F1018" s="13" t="str">
        <x:f>IF($A1018="","",IF($D1018&lt;&gt;'Team Setup'!$B$4,"Other sprint",IF($C1018="","Unassigned",IF(OR(ISNUMBER(SEARCH(",",$C1018)),ISNUMBER(SEARCH(";",$C1018))),"Multiple assignees",IF(COUNTIF('Team Setup'!$B$10:$B$34,$C1018)=1,"Matched","Unmatched")))))</x:f>
      </x:c>
      <x:c r="G1018" s="13" t="str">
        <x:f>IF($A1018="","",IF($D1018&lt;&gt;'Team Setup'!$B$4,"Other sprint",IF($E1018="","Unestimated",IF(NOT(ISNUMBER($E1018)),"Check estimate in hours",IF($E1018&lt;0,"Check estimate in hours",IF($E1018=0,"Unestimated","Estimated"))))))</x:f>
      </x:c>
    </x:row>
    <x:row r="1019">
      <x:c r="A1019" s="12"/>
      <x:c r="B1019" s="12"/>
      <x:c r="C1019" s="12"/>
      <x:c r="D1019" s="12"/>
      <x:c r="E1019" s="14"/>
      <x:c r="F1019" s="13" t="str">
        <x:f>IF($A1019="","",IF($D1019&lt;&gt;'Team Setup'!$B$4,"Other sprint",IF($C1019="","Unassigned",IF(OR(ISNUMBER(SEARCH(",",$C1019)),ISNUMBER(SEARCH(";",$C1019))),"Multiple assignees",IF(COUNTIF('Team Setup'!$B$10:$B$34,$C1019)=1,"Matched","Unmatched")))))</x:f>
      </x:c>
      <x:c r="G1019" s="13" t="str">
        <x:f>IF($A1019="","",IF($D1019&lt;&gt;'Team Setup'!$B$4,"Other sprint",IF($E1019="","Unestimated",IF(NOT(ISNUMBER($E1019)),"Check estimate in hours",IF($E1019&lt;0,"Check estimate in hours",IF($E1019=0,"Unestimated","Estimated"))))))</x:f>
      </x:c>
    </x:row>
    <x:row r="1020">
      <x:c r="A1020" s="12"/>
      <x:c r="B1020" s="12"/>
      <x:c r="C1020" s="12"/>
      <x:c r="D1020" s="12"/>
      <x:c r="E1020" s="14"/>
      <x:c r="F1020" s="13" t="str">
        <x:f>IF($A1020="","",IF($D1020&lt;&gt;'Team Setup'!$B$4,"Other sprint",IF($C1020="","Unassigned",IF(OR(ISNUMBER(SEARCH(",",$C1020)),ISNUMBER(SEARCH(";",$C1020))),"Multiple assignees",IF(COUNTIF('Team Setup'!$B$10:$B$34,$C1020)=1,"Matched","Unmatched")))))</x:f>
      </x:c>
      <x:c r="G1020" s="13" t="str">
        <x:f>IF($A1020="","",IF($D1020&lt;&gt;'Team Setup'!$B$4,"Other sprint",IF($E1020="","Unestimated",IF(NOT(ISNUMBER($E1020)),"Check estimate in hours",IF($E1020&lt;0,"Check estimate in hours",IF($E1020=0,"Unestimated","Estimated"))))))</x:f>
      </x:c>
    </x:row>
    <x:row r="1021">
      <x:c r="A1021" s="12"/>
      <x:c r="B1021" s="12"/>
      <x:c r="C1021" s="12"/>
      <x:c r="D1021" s="12"/>
      <x:c r="E1021" s="14"/>
      <x:c r="F1021" s="13" t="str">
        <x:f>IF($A1021="","",IF($D1021&lt;&gt;'Team Setup'!$B$4,"Other sprint",IF($C1021="","Unassigned",IF(OR(ISNUMBER(SEARCH(",",$C1021)),ISNUMBER(SEARCH(";",$C1021))),"Multiple assignees",IF(COUNTIF('Team Setup'!$B$10:$B$34,$C1021)=1,"Matched","Unmatched")))))</x:f>
      </x:c>
      <x:c r="G1021" s="13" t="str">
        <x:f>IF($A1021="","",IF($D1021&lt;&gt;'Team Setup'!$B$4,"Other sprint",IF($E1021="","Unestimated",IF(NOT(ISNUMBER($E1021)),"Check estimate in hours",IF($E1021&lt;0,"Check estimate in hours",IF($E1021=0,"Unestimated","Estimated"))))))</x:f>
      </x:c>
    </x:row>
    <x:row r="1022">
      <x:c r="A1022" s="12"/>
      <x:c r="B1022" s="12"/>
      <x:c r="C1022" s="12"/>
      <x:c r="D1022" s="12"/>
      <x:c r="E1022" s="14"/>
      <x:c r="F1022" s="13" t="str">
        <x:f>IF($A1022="","",IF($D1022&lt;&gt;'Team Setup'!$B$4,"Other sprint",IF($C1022="","Unassigned",IF(OR(ISNUMBER(SEARCH(",",$C1022)),ISNUMBER(SEARCH(";",$C1022))),"Multiple assignees",IF(COUNTIF('Team Setup'!$B$10:$B$34,$C1022)=1,"Matched","Unmatched")))))</x:f>
      </x:c>
      <x:c r="G1022" s="13" t="str">
        <x:f>IF($A1022="","",IF($D1022&lt;&gt;'Team Setup'!$B$4,"Other sprint",IF($E1022="","Unestimated",IF(NOT(ISNUMBER($E1022)),"Check estimate in hours",IF($E1022&lt;0,"Check estimate in hours",IF($E1022=0,"Unestimated","Estimated"))))))</x:f>
      </x:c>
    </x:row>
    <x:row r="1023">
      <x:c r="A1023" s="12"/>
      <x:c r="B1023" s="12"/>
      <x:c r="C1023" s="12"/>
      <x:c r="D1023" s="12"/>
      <x:c r="E1023" s="14"/>
      <x:c r="F1023" s="13" t="str">
        <x:f>IF($A1023="","",IF($D1023&lt;&gt;'Team Setup'!$B$4,"Other sprint",IF($C1023="","Unassigned",IF(OR(ISNUMBER(SEARCH(",",$C1023)),ISNUMBER(SEARCH(";",$C1023))),"Multiple assignees",IF(COUNTIF('Team Setup'!$B$10:$B$34,$C1023)=1,"Matched","Unmatched")))))</x:f>
      </x:c>
      <x:c r="G1023" s="13" t="str">
        <x:f>IF($A1023="","",IF($D1023&lt;&gt;'Team Setup'!$B$4,"Other sprint",IF($E1023="","Unestimated",IF(NOT(ISNUMBER($E1023)),"Check estimate in hours",IF($E1023&lt;0,"Check estimate in hours",IF($E1023=0,"Unestimated","Estimated"))))))</x:f>
      </x:c>
    </x:row>
    <x:row r="1024">
      <x:c r="A1024" s="12"/>
      <x:c r="B1024" s="12"/>
      <x:c r="C1024" s="12"/>
      <x:c r="D1024" s="12"/>
      <x:c r="E1024" s="14"/>
      <x:c r="F1024" s="13" t="str">
        <x:f>IF($A1024="","",IF($D1024&lt;&gt;'Team Setup'!$B$4,"Other sprint",IF($C1024="","Unassigned",IF(OR(ISNUMBER(SEARCH(",",$C1024)),ISNUMBER(SEARCH(";",$C1024))),"Multiple assignees",IF(COUNTIF('Team Setup'!$B$10:$B$34,$C1024)=1,"Matched","Unmatched")))))</x:f>
      </x:c>
      <x:c r="G1024" s="13" t="str">
        <x:f>IF($A1024="","",IF($D1024&lt;&gt;'Team Setup'!$B$4,"Other sprint",IF($E1024="","Unestimated",IF(NOT(ISNUMBER($E1024)),"Check estimate in hours",IF($E1024&lt;0,"Check estimate in hours",IF($E1024=0,"Unestimated","Estimated"))))))</x:f>
      </x:c>
    </x:row>
    <x:row r="1025">
      <x:c r="A1025" s="12"/>
      <x:c r="B1025" s="12"/>
      <x:c r="C1025" s="12"/>
      <x:c r="D1025" s="12"/>
      <x:c r="E1025" s="14"/>
      <x:c r="F1025" s="13" t="str">
        <x:f>IF($A1025="","",IF($D1025&lt;&gt;'Team Setup'!$B$4,"Other sprint",IF($C1025="","Unassigned",IF(OR(ISNUMBER(SEARCH(",",$C1025)),ISNUMBER(SEARCH(";",$C1025))),"Multiple assignees",IF(COUNTIF('Team Setup'!$B$10:$B$34,$C1025)=1,"Matched","Unmatched")))))</x:f>
      </x:c>
      <x:c r="G1025" s="13" t="str">
        <x:f>IF($A1025="","",IF($D1025&lt;&gt;'Team Setup'!$B$4,"Other sprint",IF($E1025="","Unestimated",IF(NOT(ISNUMBER($E1025)),"Check estimate in hours",IF($E1025&lt;0,"Check estimate in hours",IF($E1025=0,"Unestimated","Estimated"))))))</x:f>
      </x:c>
    </x:row>
    <x:row r="1026">
      <x:c r="A1026" s="12"/>
      <x:c r="B1026" s="12"/>
      <x:c r="C1026" s="12"/>
      <x:c r="D1026" s="12"/>
      <x:c r="E1026" s="14"/>
      <x:c r="F1026" s="13" t="str">
        <x:f>IF($A1026="","",IF($D1026&lt;&gt;'Team Setup'!$B$4,"Other sprint",IF($C1026="","Unassigned",IF(OR(ISNUMBER(SEARCH(",",$C1026)),ISNUMBER(SEARCH(";",$C1026))),"Multiple assignees",IF(COUNTIF('Team Setup'!$B$10:$B$34,$C1026)=1,"Matched","Unmatched")))))</x:f>
      </x:c>
      <x:c r="G1026" s="13" t="str">
        <x:f>IF($A1026="","",IF($D1026&lt;&gt;'Team Setup'!$B$4,"Other sprint",IF($E1026="","Unestimated",IF(NOT(ISNUMBER($E1026)),"Check estimate in hours",IF($E1026&lt;0,"Check estimate in hours",IF($E1026=0,"Unestimated","Estimated"))))))</x:f>
      </x:c>
    </x:row>
    <x:row r="1027">
      <x:c r="A1027" s="12"/>
      <x:c r="B1027" s="12"/>
      <x:c r="C1027" s="12"/>
      <x:c r="D1027" s="12"/>
      <x:c r="E1027" s="14"/>
      <x:c r="F1027" s="13" t="str">
        <x:f>IF($A1027="","",IF($D1027&lt;&gt;'Team Setup'!$B$4,"Other sprint",IF($C1027="","Unassigned",IF(OR(ISNUMBER(SEARCH(",",$C1027)),ISNUMBER(SEARCH(";",$C1027))),"Multiple assignees",IF(COUNTIF('Team Setup'!$B$10:$B$34,$C1027)=1,"Matched","Unmatched")))))</x:f>
      </x:c>
      <x:c r="G1027" s="13" t="str">
        <x:f>IF($A1027="","",IF($D1027&lt;&gt;'Team Setup'!$B$4,"Other sprint",IF($E1027="","Unestimated",IF(NOT(ISNUMBER($E1027)),"Check estimate in hours",IF($E1027&lt;0,"Check estimate in hours",IF($E1027=0,"Unestimated","Estimated"))))))</x:f>
      </x:c>
    </x:row>
    <x:row r="1028">
      <x:c r="A1028" s="12"/>
      <x:c r="B1028" s="12"/>
      <x:c r="C1028" s="12"/>
      <x:c r="D1028" s="12"/>
      <x:c r="E1028" s="14"/>
      <x:c r="F1028" s="13" t="str">
        <x:f>IF($A1028="","",IF($D1028&lt;&gt;'Team Setup'!$B$4,"Other sprint",IF($C1028="","Unassigned",IF(OR(ISNUMBER(SEARCH(",",$C1028)),ISNUMBER(SEARCH(";",$C1028))),"Multiple assignees",IF(COUNTIF('Team Setup'!$B$10:$B$34,$C1028)=1,"Matched","Unmatched")))))</x:f>
      </x:c>
      <x:c r="G1028" s="13" t="str">
        <x:f>IF($A1028="","",IF($D1028&lt;&gt;'Team Setup'!$B$4,"Other sprint",IF($E1028="","Unestimated",IF(NOT(ISNUMBER($E1028)),"Check estimate in hours",IF($E1028&lt;0,"Check estimate in hours",IF($E1028=0,"Unestimated","Estimated"))))))</x:f>
      </x:c>
    </x:row>
    <x:row r="1029">
      <x:c r="A1029" s="12"/>
      <x:c r="B1029" s="12"/>
      <x:c r="C1029" s="12"/>
      <x:c r="D1029" s="12"/>
      <x:c r="E1029" s="14"/>
      <x:c r="F1029" s="13" t="str">
        <x:f>IF($A1029="","",IF($D1029&lt;&gt;'Team Setup'!$B$4,"Other sprint",IF($C1029="","Unassigned",IF(OR(ISNUMBER(SEARCH(",",$C1029)),ISNUMBER(SEARCH(";",$C1029))),"Multiple assignees",IF(COUNTIF('Team Setup'!$B$10:$B$34,$C1029)=1,"Matched","Unmatched")))))</x:f>
      </x:c>
      <x:c r="G1029" s="13" t="str">
        <x:f>IF($A1029="","",IF($D1029&lt;&gt;'Team Setup'!$B$4,"Other sprint",IF($E1029="","Unestimated",IF(NOT(ISNUMBER($E1029)),"Check estimate in hours",IF($E1029&lt;0,"Check estimate in hours",IF($E1029=0,"Unestimated","Estimated"))))))</x:f>
      </x:c>
    </x:row>
    <x:row r="1030">
      <x:c r="A1030" s="12"/>
      <x:c r="B1030" s="12"/>
      <x:c r="C1030" s="12"/>
      <x:c r="D1030" s="12"/>
      <x:c r="E1030" s="14"/>
      <x:c r="F1030" s="13" t="str">
        <x:f>IF($A1030="","",IF($D1030&lt;&gt;'Team Setup'!$B$4,"Other sprint",IF($C1030="","Unassigned",IF(OR(ISNUMBER(SEARCH(",",$C1030)),ISNUMBER(SEARCH(";",$C1030))),"Multiple assignees",IF(COUNTIF('Team Setup'!$B$10:$B$34,$C1030)=1,"Matched","Unmatched")))))</x:f>
      </x:c>
      <x:c r="G1030" s="13" t="str">
        <x:f>IF($A1030="","",IF($D1030&lt;&gt;'Team Setup'!$B$4,"Other sprint",IF($E1030="","Unestimated",IF(NOT(ISNUMBER($E1030)),"Check estimate in hours",IF($E1030&lt;0,"Check estimate in hours",IF($E1030=0,"Unestimated","Estimated"))))))</x:f>
      </x:c>
    </x:row>
    <x:row r="1031">
      <x:c r="A1031" s="12"/>
      <x:c r="B1031" s="12"/>
      <x:c r="C1031" s="12"/>
      <x:c r="D1031" s="12"/>
      <x:c r="E1031" s="14"/>
      <x:c r="F1031" s="13" t="str">
        <x:f>IF($A1031="","",IF($D1031&lt;&gt;'Team Setup'!$B$4,"Other sprint",IF($C1031="","Unassigned",IF(OR(ISNUMBER(SEARCH(",",$C1031)),ISNUMBER(SEARCH(";",$C1031))),"Multiple assignees",IF(COUNTIF('Team Setup'!$B$10:$B$34,$C1031)=1,"Matched","Unmatched")))))</x:f>
      </x:c>
      <x:c r="G1031" s="13" t="str">
        <x:f>IF($A1031="","",IF($D1031&lt;&gt;'Team Setup'!$B$4,"Other sprint",IF($E1031="","Unestimated",IF(NOT(ISNUMBER($E1031)),"Check estimate in hours",IF($E1031&lt;0,"Check estimate in hours",IF($E1031=0,"Unestimated","Estimated"))))))</x:f>
      </x:c>
    </x:row>
    <x:row r="1032">
      <x:c r="A1032" s="12"/>
      <x:c r="B1032" s="12"/>
      <x:c r="C1032" s="12"/>
      <x:c r="D1032" s="12"/>
      <x:c r="E1032" s="14"/>
      <x:c r="F1032" s="13" t="str">
        <x:f>IF($A1032="","",IF($D1032&lt;&gt;'Team Setup'!$B$4,"Other sprint",IF($C1032="","Unassigned",IF(OR(ISNUMBER(SEARCH(",",$C1032)),ISNUMBER(SEARCH(";",$C1032))),"Multiple assignees",IF(COUNTIF('Team Setup'!$B$10:$B$34,$C1032)=1,"Matched","Unmatched")))))</x:f>
      </x:c>
      <x:c r="G1032" s="13" t="str">
        <x:f>IF($A1032="","",IF($D1032&lt;&gt;'Team Setup'!$B$4,"Other sprint",IF($E1032="","Unestimated",IF(NOT(ISNUMBER($E1032)),"Check estimate in hours",IF($E1032&lt;0,"Check estimate in hours",IF($E1032=0,"Unestimated","Estimated"))))))</x:f>
      </x:c>
    </x:row>
    <x:row r="1033">
      <x:c r="A1033" s="12"/>
      <x:c r="B1033" s="12"/>
      <x:c r="C1033" s="12"/>
      <x:c r="D1033" s="12"/>
      <x:c r="E1033" s="14"/>
      <x:c r="F1033" s="13" t="str">
        <x:f>IF($A1033="","",IF($D1033&lt;&gt;'Team Setup'!$B$4,"Other sprint",IF($C1033="","Unassigned",IF(OR(ISNUMBER(SEARCH(",",$C1033)),ISNUMBER(SEARCH(";",$C1033))),"Multiple assignees",IF(COUNTIF('Team Setup'!$B$10:$B$34,$C1033)=1,"Matched","Unmatched")))))</x:f>
      </x:c>
      <x:c r="G1033" s="13" t="str">
        <x:f>IF($A1033="","",IF($D1033&lt;&gt;'Team Setup'!$B$4,"Other sprint",IF($E1033="","Unestimated",IF(NOT(ISNUMBER($E1033)),"Check estimate in hours",IF($E1033&lt;0,"Check estimate in hours",IF($E1033=0,"Unestimated","Estimated"))))))</x:f>
      </x:c>
    </x:row>
    <x:row r="1034">
      <x:c r="A1034" s="12"/>
      <x:c r="B1034" s="12"/>
      <x:c r="C1034" s="12"/>
      <x:c r="D1034" s="12"/>
      <x:c r="E1034" s="14"/>
      <x:c r="F1034" s="13" t="str">
        <x:f>IF($A1034="","",IF($D1034&lt;&gt;'Team Setup'!$B$4,"Other sprint",IF($C1034="","Unassigned",IF(OR(ISNUMBER(SEARCH(",",$C1034)),ISNUMBER(SEARCH(";",$C1034))),"Multiple assignees",IF(COUNTIF('Team Setup'!$B$10:$B$34,$C1034)=1,"Matched","Unmatched")))))</x:f>
      </x:c>
      <x:c r="G1034" s="13" t="str">
        <x:f>IF($A1034="","",IF($D1034&lt;&gt;'Team Setup'!$B$4,"Other sprint",IF($E1034="","Unestimated",IF(NOT(ISNUMBER($E1034)),"Check estimate in hours",IF($E1034&lt;0,"Check estimate in hours",IF($E1034=0,"Unestimated","Estimated"))))))</x:f>
      </x:c>
    </x:row>
    <x:row r="1035">
      <x:c r="A1035" s="12"/>
      <x:c r="B1035" s="12"/>
      <x:c r="C1035" s="12"/>
      <x:c r="D1035" s="12"/>
      <x:c r="E1035" s="14"/>
      <x:c r="F1035" s="13" t="str">
        <x:f>IF($A1035="","",IF($D1035&lt;&gt;'Team Setup'!$B$4,"Other sprint",IF($C1035="","Unassigned",IF(OR(ISNUMBER(SEARCH(",",$C1035)),ISNUMBER(SEARCH(";",$C1035))),"Multiple assignees",IF(COUNTIF('Team Setup'!$B$10:$B$34,$C1035)=1,"Matched","Unmatched")))))</x:f>
      </x:c>
      <x:c r="G1035" s="13" t="str">
        <x:f>IF($A1035="","",IF($D1035&lt;&gt;'Team Setup'!$B$4,"Other sprint",IF($E1035="","Unestimated",IF(NOT(ISNUMBER($E1035)),"Check estimate in hours",IF($E1035&lt;0,"Check estimate in hours",IF($E1035=0,"Unestimated","Estimated"))))))</x:f>
      </x:c>
    </x:row>
    <x:row r="1036">
      <x:c r="A1036" s="12"/>
      <x:c r="B1036" s="12"/>
      <x:c r="C1036" s="12"/>
      <x:c r="D1036" s="12"/>
      <x:c r="E1036" s="14"/>
      <x:c r="F1036" s="13" t="str">
        <x:f>IF($A1036="","",IF($D1036&lt;&gt;'Team Setup'!$B$4,"Other sprint",IF($C1036="","Unassigned",IF(OR(ISNUMBER(SEARCH(",",$C1036)),ISNUMBER(SEARCH(";",$C1036))),"Multiple assignees",IF(COUNTIF('Team Setup'!$B$10:$B$34,$C1036)=1,"Matched","Unmatched")))))</x:f>
      </x:c>
      <x:c r="G1036" s="13" t="str">
        <x:f>IF($A1036="","",IF($D1036&lt;&gt;'Team Setup'!$B$4,"Other sprint",IF($E1036="","Unestimated",IF(NOT(ISNUMBER($E1036)),"Check estimate in hours",IF($E1036&lt;0,"Check estimate in hours",IF($E1036=0,"Unestimated","Estimated"))))))</x:f>
      </x:c>
    </x:row>
    <x:row r="1037">
      <x:c r="A1037" s="12"/>
      <x:c r="B1037" s="12"/>
      <x:c r="C1037" s="12"/>
      <x:c r="D1037" s="12"/>
      <x:c r="E1037" s="14"/>
      <x:c r="F1037" s="13" t="str">
        <x:f>IF($A1037="","",IF($D1037&lt;&gt;'Team Setup'!$B$4,"Other sprint",IF($C1037="","Unassigned",IF(OR(ISNUMBER(SEARCH(",",$C1037)),ISNUMBER(SEARCH(";",$C1037))),"Multiple assignees",IF(COUNTIF('Team Setup'!$B$10:$B$34,$C1037)=1,"Matched","Unmatched")))))</x:f>
      </x:c>
      <x:c r="G1037" s="13" t="str">
        <x:f>IF($A1037="","",IF($D1037&lt;&gt;'Team Setup'!$B$4,"Other sprint",IF($E1037="","Unestimated",IF(NOT(ISNUMBER($E1037)),"Check estimate in hours",IF($E1037&lt;0,"Check estimate in hours",IF($E1037=0,"Unestimated","Estimated"))))))</x:f>
      </x:c>
    </x:row>
    <x:row r="1038">
      <x:c r="A1038" s="12"/>
      <x:c r="B1038" s="12"/>
      <x:c r="C1038" s="12"/>
      <x:c r="D1038" s="12"/>
      <x:c r="E1038" s="14"/>
      <x:c r="F1038" s="13" t="str">
        <x:f>IF($A1038="","",IF($D1038&lt;&gt;'Team Setup'!$B$4,"Other sprint",IF($C1038="","Unassigned",IF(OR(ISNUMBER(SEARCH(",",$C1038)),ISNUMBER(SEARCH(";",$C1038))),"Multiple assignees",IF(COUNTIF('Team Setup'!$B$10:$B$34,$C1038)=1,"Matched","Unmatched")))))</x:f>
      </x:c>
      <x:c r="G1038" s="13" t="str">
        <x:f>IF($A1038="","",IF($D1038&lt;&gt;'Team Setup'!$B$4,"Other sprint",IF($E1038="","Unestimated",IF(NOT(ISNUMBER($E1038)),"Check estimate in hours",IF($E1038&lt;0,"Check estimate in hours",IF($E1038=0,"Unestimated","Estimated"))))))</x:f>
      </x:c>
    </x:row>
    <x:row r="1039">
      <x:c r="A1039" s="12"/>
      <x:c r="B1039" s="12"/>
      <x:c r="C1039" s="12"/>
      <x:c r="D1039" s="12"/>
      <x:c r="E1039" s="14"/>
      <x:c r="F1039" s="13" t="str">
        <x:f>IF($A1039="","",IF($D1039&lt;&gt;'Team Setup'!$B$4,"Other sprint",IF($C1039="","Unassigned",IF(OR(ISNUMBER(SEARCH(",",$C1039)),ISNUMBER(SEARCH(";",$C1039))),"Multiple assignees",IF(COUNTIF('Team Setup'!$B$10:$B$34,$C1039)=1,"Matched","Unmatched")))))</x:f>
      </x:c>
      <x:c r="G1039" s="13" t="str">
        <x:f>IF($A1039="","",IF($D1039&lt;&gt;'Team Setup'!$B$4,"Other sprint",IF($E1039="","Unestimated",IF(NOT(ISNUMBER($E1039)),"Check estimate in hours",IF($E1039&lt;0,"Check estimate in hours",IF($E1039=0,"Unestimated","Estimated"))))))</x:f>
      </x:c>
    </x:row>
    <x:row r="1040">
      <x:c r="A1040" s="12"/>
      <x:c r="B1040" s="12"/>
      <x:c r="C1040" s="12"/>
      <x:c r="D1040" s="12"/>
      <x:c r="E1040" s="14"/>
      <x:c r="F1040" s="13" t="str">
        <x:f>IF($A1040="","",IF($D1040&lt;&gt;'Team Setup'!$B$4,"Other sprint",IF($C1040="","Unassigned",IF(OR(ISNUMBER(SEARCH(",",$C1040)),ISNUMBER(SEARCH(";",$C1040))),"Multiple assignees",IF(COUNTIF('Team Setup'!$B$10:$B$34,$C1040)=1,"Matched","Unmatched")))))</x:f>
      </x:c>
      <x:c r="G1040" s="13" t="str">
        <x:f>IF($A1040="","",IF($D1040&lt;&gt;'Team Setup'!$B$4,"Other sprint",IF($E1040="","Unestimated",IF(NOT(ISNUMBER($E1040)),"Check estimate in hours",IF($E1040&lt;0,"Check estimate in hours",IF($E1040=0,"Unestimated","Estimated"))))))</x:f>
      </x:c>
    </x:row>
    <x:row r="1041">
      <x:c r="A1041" s="12"/>
      <x:c r="B1041" s="12"/>
      <x:c r="C1041" s="12"/>
      <x:c r="D1041" s="12"/>
      <x:c r="E1041" s="14"/>
      <x:c r="F1041" s="13" t="str">
        <x:f>IF($A1041="","",IF($D1041&lt;&gt;'Team Setup'!$B$4,"Other sprint",IF($C1041="","Unassigned",IF(OR(ISNUMBER(SEARCH(",",$C1041)),ISNUMBER(SEARCH(";",$C1041))),"Multiple assignees",IF(COUNTIF('Team Setup'!$B$10:$B$34,$C1041)=1,"Matched","Unmatched")))))</x:f>
      </x:c>
      <x:c r="G1041" s="13" t="str">
        <x:f>IF($A1041="","",IF($D1041&lt;&gt;'Team Setup'!$B$4,"Other sprint",IF($E1041="","Unestimated",IF(NOT(ISNUMBER($E1041)),"Check estimate in hours",IF($E1041&lt;0,"Check estimate in hours",IF($E1041=0,"Unestimated","Estimated"))))))</x:f>
      </x:c>
    </x:row>
    <x:row r="1042">
      <x:c r="A1042" s="12"/>
      <x:c r="B1042" s="12"/>
      <x:c r="C1042" s="12"/>
      <x:c r="D1042" s="12"/>
      <x:c r="E1042" s="14"/>
      <x:c r="F1042" s="13" t="str">
        <x:f>IF($A1042="","",IF($D1042&lt;&gt;'Team Setup'!$B$4,"Other sprint",IF($C1042="","Unassigned",IF(OR(ISNUMBER(SEARCH(",",$C1042)),ISNUMBER(SEARCH(";",$C1042))),"Multiple assignees",IF(COUNTIF('Team Setup'!$B$10:$B$34,$C1042)=1,"Matched","Unmatched")))))</x:f>
      </x:c>
      <x:c r="G1042" s="13" t="str">
        <x:f>IF($A1042="","",IF($D1042&lt;&gt;'Team Setup'!$B$4,"Other sprint",IF($E1042="","Unestimated",IF(NOT(ISNUMBER($E1042)),"Check estimate in hours",IF($E1042&lt;0,"Check estimate in hours",IF($E1042=0,"Unestimated","Estimated"))))))</x:f>
      </x:c>
    </x:row>
    <x:row r="1043">
      <x:c r="A1043" s="12"/>
      <x:c r="B1043" s="12"/>
      <x:c r="C1043" s="12"/>
      <x:c r="D1043" s="12"/>
      <x:c r="E1043" s="14"/>
      <x:c r="F1043" s="13" t="str">
        <x:f>IF($A1043="","",IF($D1043&lt;&gt;'Team Setup'!$B$4,"Other sprint",IF($C1043="","Unassigned",IF(OR(ISNUMBER(SEARCH(",",$C1043)),ISNUMBER(SEARCH(";",$C1043))),"Multiple assignees",IF(COUNTIF('Team Setup'!$B$10:$B$34,$C1043)=1,"Matched","Unmatched")))))</x:f>
      </x:c>
      <x:c r="G1043" s="13" t="str">
        <x:f>IF($A1043="","",IF($D1043&lt;&gt;'Team Setup'!$B$4,"Other sprint",IF($E1043="","Unestimated",IF(NOT(ISNUMBER($E1043)),"Check estimate in hours",IF($E1043&lt;0,"Check estimate in hours",IF($E1043=0,"Unestimated","Estimated"))))))</x:f>
      </x:c>
    </x:row>
    <x:row r="1044">
      <x:c r="A1044" s="12"/>
      <x:c r="B1044" s="12"/>
      <x:c r="C1044" s="12"/>
      <x:c r="D1044" s="12"/>
      <x:c r="E1044" s="14"/>
      <x:c r="F1044" s="13" t="str">
        <x:f>IF($A1044="","",IF($D1044&lt;&gt;'Team Setup'!$B$4,"Other sprint",IF($C1044="","Unassigned",IF(OR(ISNUMBER(SEARCH(",",$C1044)),ISNUMBER(SEARCH(";",$C1044))),"Multiple assignees",IF(COUNTIF('Team Setup'!$B$10:$B$34,$C1044)=1,"Matched","Unmatched")))))</x:f>
      </x:c>
      <x:c r="G1044" s="13" t="str">
        <x:f>IF($A1044="","",IF($D1044&lt;&gt;'Team Setup'!$B$4,"Other sprint",IF($E1044="","Unestimated",IF(NOT(ISNUMBER($E1044)),"Check estimate in hours",IF($E1044&lt;0,"Check estimate in hours",IF($E1044=0,"Unestimated","Estimated"))))))</x:f>
      </x:c>
    </x:row>
    <x:row r="1045">
      <x:c r="A1045" s="12"/>
      <x:c r="B1045" s="12"/>
      <x:c r="C1045" s="12"/>
      <x:c r="D1045" s="12"/>
      <x:c r="E1045" s="14"/>
      <x:c r="F1045" s="13" t="str">
        <x:f>IF($A1045="","",IF($D1045&lt;&gt;'Team Setup'!$B$4,"Other sprint",IF($C1045="","Unassigned",IF(OR(ISNUMBER(SEARCH(",",$C1045)),ISNUMBER(SEARCH(";",$C1045))),"Multiple assignees",IF(COUNTIF('Team Setup'!$B$10:$B$34,$C1045)=1,"Matched","Unmatched")))))</x:f>
      </x:c>
      <x:c r="G1045" s="13" t="str">
        <x:f>IF($A1045="","",IF($D1045&lt;&gt;'Team Setup'!$B$4,"Other sprint",IF($E1045="","Unestimated",IF(NOT(ISNUMBER($E1045)),"Check estimate in hours",IF($E1045&lt;0,"Check estimate in hours",IF($E1045=0,"Unestimated","Estimated"))))))</x:f>
      </x:c>
    </x:row>
    <x:row r="1046">
      <x:c r="A1046" s="12"/>
      <x:c r="B1046" s="12"/>
      <x:c r="C1046" s="12"/>
      <x:c r="D1046" s="12"/>
      <x:c r="E1046" s="14"/>
      <x:c r="F1046" s="13" t="str">
        <x:f>IF($A1046="","",IF($D1046&lt;&gt;'Team Setup'!$B$4,"Other sprint",IF($C1046="","Unassigned",IF(OR(ISNUMBER(SEARCH(",",$C1046)),ISNUMBER(SEARCH(";",$C1046))),"Multiple assignees",IF(COUNTIF('Team Setup'!$B$10:$B$34,$C1046)=1,"Matched","Unmatched")))))</x:f>
      </x:c>
      <x:c r="G1046" s="13" t="str">
        <x:f>IF($A1046="","",IF($D1046&lt;&gt;'Team Setup'!$B$4,"Other sprint",IF($E1046="","Unestimated",IF(NOT(ISNUMBER($E1046)),"Check estimate in hours",IF($E1046&lt;0,"Check estimate in hours",IF($E1046=0,"Unestimated","Estimated"))))))</x:f>
      </x:c>
    </x:row>
    <x:row r="1047">
      <x:c r="A1047" s="12"/>
      <x:c r="B1047" s="12"/>
      <x:c r="C1047" s="12"/>
      <x:c r="D1047" s="12"/>
      <x:c r="E1047" s="14"/>
      <x:c r="F1047" s="13" t="str">
        <x:f>IF($A1047="","",IF($D1047&lt;&gt;'Team Setup'!$B$4,"Other sprint",IF($C1047="","Unassigned",IF(OR(ISNUMBER(SEARCH(",",$C1047)),ISNUMBER(SEARCH(";",$C1047))),"Multiple assignees",IF(COUNTIF('Team Setup'!$B$10:$B$34,$C1047)=1,"Matched","Unmatched")))))</x:f>
      </x:c>
      <x:c r="G1047" s="13" t="str">
        <x:f>IF($A1047="","",IF($D1047&lt;&gt;'Team Setup'!$B$4,"Other sprint",IF($E1047="","Unestimated",IF(NOT(ISNUMBER($E1047)),"Check estimate in hours",IF($E1047&lt;0,"Check estimate in hours",IF($E1047=0,"Unestimated","Estimated"))))))</x:f>
      </x:c>
    </x:row>
    <x:row r="1048">
      <x:c r="A1048" s="12"/>
      <x:c r="B1048" s="12"/>
      <x:c r="C1048" s="12"/>
      <x:c r="D1048" s="12"/>
      <x:c r="E1048" s="14"/>
      <x:c r="F1048" s="13" t="str">
        <x:f>IF($A1048="","",IF($D1048&lt;&gt;'Team Setup'!$B$4,"Other sprint",IF($C1048="","Unassigned",IF(OR(ISNUMBER(SEARCH(",",$C1048)),ISNUMBER(SEARCH(";",$C1048))),"Multiple assignees",IF(COUNTIF('Team Setup'!$B$10:$B$34,$C1048)=1,"Matched","Unmatched")))))</x:f>
      </x:c>
      <x:c r="G1048" s="13" t="str">
        <x:f>IF($A1048="","",IF($D1048&lt;&gt;'Team Setup'!$B$4,"Other sprint",IF($E1048="","Unestimated",IF(NOT(ISNUMBER($E1048)),"Check estimate in hours",IF($E1048&lt;0,"Check estimate in hours",IF($E1048=0,"Unestimated","Estimated"))))))</x:f>
      </x:c>
    </x:row>
    <x:row r="1049">
      <x:c r="A1049" s="12"/>
      <x:c r="B1049" s="12"/>
      <x:c r="C1049" s="12"/>
      <x:c r="D1049" s="12"/>
      <x:c r="E1049" s="14"/>
      <x:c r="F1049" s="13" t="str">
        <x:f>IF($A1049="","",IF($D1049&lt;&gt;'Team Setup'!$B$4,"Other sprint",IF($C1049="","Unassigned",IF(OR(ISNUMBER(SEARCH(",",$C1049)),ISNUMBER(SEARCH(";",$C1049))),"Multiple assignees",IF(COUNTIF('Team Setup'!$B$10:$B$34,$C1049)=1,"Matched","Unmatched")))))</x:f>
      </x:c>
      <x:c r="G1049" s="13" t="str">
        <x:f>IF($A1049="","",IF($D1049&lt;&gt;'Team Setup'!$B$4,"Other sprint",IF($E1049="","Unestimated",IF(NOT(ISNUMBER($E1049)),"Check estimate in hours",IF($E1049&lt;0,"Check estimate in hours",IF($E1049=0,"Unestimated","Estimated"))))))</x:f>
      </x:c>
    </x:row>
    <x:row r="1050">
      <x:c r="A1050" s="12"/>
      <x:c r="B1050" s="12"/>
      <x:c r="C1050" s="12"/>
      <x:c r="D1050" s="12"/>
      <x:c r="E1050" s="14"/>
      <x:c r="F1050" s="13" t="str">
        <x:f>IF($A1050="","",IF($D1050&lt;&gt;'Team Setup'!$B$4,"Other sprint",IF($C1050="","Unassigned",IF(OR(ISNUMBER(SEARCH(",",$C1050)),ISNUMBER(SEARCH(";",$C1050))),"Multiple assignees",IF(COUNTIF('Team Setup'!$B$10:$B$34,$C1050)=1,"Matched","Unmatched")))))</x:f>
      </x:c>
      <x:c r="G1050" s="13" t="str">
        <x:f>IF($A1050="","",IF($D1050&lt;&gt;'Team Setup'!$B$4,"Other sprint",IF($E1050="","Unestimated",IF(NOT(ISNUMBER($E1050)),"Check estimate in hours",IF($E1050&lt;0,"Check estimate in hours",IF($E1050=0,"Unestimated","Estimated"))))))</x:f>
      </x:c>
    </x:row>
    <x:row r="1051">
      <x:c r="A1051" s="12"/>
      <x:c r="B1051" s="12"/>
      <x:c r="C1051" s="12"/>
      <x:c r="D1051" s="12"/>
      <x:c r="E1051" s="14"/>
      <x:c r="F1051" s="13" t="str">
        <x:f>IF($A1051="","",IF($D1051&lt;&gt;'Team Setup'!$B$4,"Other sprint",IF($C1051="","Unassigned",IF(OR(ISNUMBER(SEARCH(",",$C1051)),ISNUMBER(SEARCH(";",$C1051))),"Multiple assignees",IF(COUNTIF('Team Setup'!$B$10:$B$34,$C1051)=1,"Matched","Unmatched")))))</x:f>
      </x:c>
      <x:c r="G1051" s="13" t="str">
        <x:f>IF($A1051="","",IF($D1051&lt;&gt;'Team Setup'!$B$4,"Other sprint",IF($E1051="","Unestimated",IF(NOT(ISNUMBER($E1051)),"Check estimate in hours",IF($E1051&lt;0,"Check estimate in hours",IF($E1051=0,"Unestimated","Estimated"))))))</x:f>
      </x:c>
    </x:row>
    <x:row r="1052">
      <x:c r="A1052" s="12"/>
      <x:c r="B1052" s="12"/>
      <x:c r="C1052" s="12"/>
      <x:c r="D1052" s="12"/>
      <x:c r="E1052" s="14"/>
      <x:c r="F1052" s="13" t="str">
        <x:f>IF($A1052="","",IF($D1052&lt;&gt;'Team Setup'!$B$4,"Other sprint",IF($C1052="","Unassigned",IF(OR(ISNUMBER(SEARCH(",",$C1052)),ISNUMBER(SEARCH(";",$C1052))),"Multiple assignees",IF(COUNTIF('Team Setup'!$B$10:$B$34,$C1052)=1,"Matched","Unmatched")))))</x:f>
      </x:c>
      <x:c r="G1052" s="13" t="str">
        <x:f>IF($A1052="","",IF($D1052&lt;&gt;'Team Setup'!$B$4,"Other sprint",IF($E1052="","Unestimated",IF(NOT(ISNUMBER($E1052)),"Check estimate in hours",IF($E1052&lt;0,"Check estimate in hours",IF($E1052=0,"Unestimated","Estimated"))))))</x:f>
      </x:c>
    </x:row>
    <x:row r="1053">
      <x:c r="A1053" s="12"/>
      <x:c r="B1053" s="12"/>
      <x:c r="C1053" s="12"/>
      <x:c r="D1053" s="12"/>
      <x:c r="E1053" s="14"/>
      <x:c r="F1053" s="13" t="str">
        <x:f>IF($A1053="","",IF($D1053&lt;&gt;'Team Setup'!$B$4,"Other sprint",IF($C1053="","Unassigned",IF(OR(ISNUMBER(SEARCH(",",$C1053)),ISNUMBER(SEARCH(";",$C1053))),"Multiple assignees",IF(COUNTIF('Team Setup'!$B$10:$B$34,$C1053)=1,"Matched","Unmatched")))))</x:f>
      </x:c>
      <x:c r="G1053" s="13" t="str">
        <x:f>IF($A1053="","",IF($D1053&lt;&gt;'Team Setup'!$B$4,"Other sprint",IF($E1053="","Unestimated",IF(NOT(ISNUMBER($E1053)),"Check estimate in hours",IF($E1053&lt;0,"Check estimate in hours",IF($E1053=0,"Unestimated","Estimated"))))))</x:f>
      </x:c>
    </x:row>
    <x:row r="1054">
      <x:c r="A1054" s="12"/>
      <x:c r="B1054" s="12"/>
      <x:c r="C1054" s="12"/>
      <x:c r="D1054" s="12"/>
      <x:c r="E1054" s="14"/>
      <x:c r="F1054" s="13" t="str">
        <x:f>IF($A1054="","",IF($D1054&lt;&gt;'Team Setup'!$B$4,"Other sprint",IF($C1054="","Unassigned",IF(OR(ISNUMBER(SEARCH(",",$C1054)),ISNUMBER(SEARCH(";",$C1054))),"Multiple assignees",IF(COUNTIF('Team Setup'!$B$10:$B$34,$C1054)=1,"Matched","Unmatched")))))</x:f>
      </x:c>
      <x:c r="G1054" s="13" t="str">
        <x:f>IF($A1054="","",IF($D1054&lt;&gt;'Team Setup'!$B$4,"Other sprint",IF($E1054="","Unestimated",IF(NOT(ISNUMBER($E1054)),"Check estimate in hours",IF($E1054&lt;0,"Check estimate in hours",IF($E1054=0,"Unestimated","Estimated"))))))</x:f>
      </x:c>
    </x:row>
    <x:row r="1055">
      <x:c r="A1055" s="12"/>
      <x:c r="B1055" s="12"/>
      <x:c r="C1055" s="12"/>
      <x:c r="D1055" s="12"/>
      <x:c r="E1055" s="14"/>
      <x:c r="F1055" s="13" t="str">
        <x:f>IF($A1055="","",IF($D1055&lt;&gt;'Team Setup'!$B$4,"Other sprint",IF($C1055="","Unassigned",IF(OR(ISNUMBER(SEARCH(",",$C1055)),ISNUMBER(SEARCH(";",$C1055))),"Multiple assignees",IF(COUNTIF('Team Setup'!$B$10:$B$34,$C1055)=1,"Matched","Unmatched")))))</x:f>
      </x:c>
      <x:c r="G1055" s="13" t="str">
        <x:f>IF($A1055="","",IF($D1055&lt;&gt;'Team Setup'!$B$4,"Other sprint",IF($E1055="","Unestimated",IF(NOT(ISNUMBER($E1055)),"Check estimate in hours",IF($E1055&lt;0,"Check estimate in hours",IF($E1055=0,"Unestimated","Estimated"))))))</x:f>
      </x:c>
    </x:row>
    <x:row r="1056">
      <x:c r="A1056" s="12"/>
      <x:c r="B1056" s="12"/>
      <x:c r="C1056" s="12"/>
      <x:c r="D1056" s="12"/>
      <x:c r="E1056" s="14"/>
      <x:c r="F1056" s="13" t="str">
        <x:f>IF($A1056="","",IF($D1056&lt;&gt;'Team Setup'!$B$4,"Other sprint",IF($C1056="","Unassigned",IF(OR(ISNUMBER(SEARCH(",",$C1056)),ISNUMBER(SEARCH(";",$C1056))),"Multiple assignees",IF(COUNTIF('Team Setup'!$B$10:$B$34,$C1056)=1,"Matched","Unmatched")))))</x:f>
      </x:c>
      <x:c r="G1056" s="13" t="str">
        <x:f>IF($A1056="","",IF($D1056&lt;&gt;'Team Setup'!$B$4,"Other sprint",IF($E1056="","Unestimated",IF(NOT(ISNUMBER($E1056)),"Check estimate in hours",IF($E1056&lt;0,"Check estimate in hours",IF($E1056=0,"Unestimated","Estimated"))))))</x:f>
      </x:c>
    </x:row>
    <x:row r="1057">
      <x:c r="A1057" s="12"/>
      <x:c r="B1057" s="12"/>
      <x:c r="C1057" s="12"/>
      <x:c r="D1057" s="12"/>
      <x:c r="E1057" s="14"/>
      <x:c r="F1057" s="13" t="str">
        <x:f>IF($A1057="","",IF($D1057&lt;&gt;'Team Setup'!$B$4,"Other sprint",IF($C1057="","Unassigned",IF(OR(ISNUMBER(SEARCH(",",$C1057)),ISNUMBER(SEARCH(";",$C1057))),"Multiple assignees",IF(COUNTIF('Team Setup'!$B$10:$B$34,$C1057)=1,"Matched","Unmatched")))))</x:f>
      </x:c>
      <x:c r="G1057" s="13" t="str">
        <x:f>IF($A1057="","",IF($D1057&lt;&gt;'Team Setup'!$B$4,"Other sprint",IF($E1057="","Unestimated",IF(NOT(ISNUMBER($E1057)),"Check estimate in hours",IF($E1057&lt;0,"Check estimate in hours",IF($E1057=0,"Unestimated","Estimated"))))))</x:f>
      </x:c>
    </x:row>
    <x:row r="1058">
      <x:c r="A1058" s="12"/>
      <x:c r="B1058" s="12"/>
      <x:c r="C1058" s="12"/>
      <x:c r="D1058" s="12"/>
      <x:c r="E1058" s="14"/>
      <x:c r="F1058" s="13" t="str">
        <x:f>IF($A1058="","",IF($D1058&lt;&gt;'Team Setup'!$B$4,"Other sprint",IF($C1058="","Unassigned",IF(OR(ISNUMBER(SEARCH(",",$C1058)),ISNUMBER(SEARCH(";",$C1058))),"Multiple assignees",IF(COUNTIF('Team Setup'!$B$10:$B$34,$C1058)=1,"Matched","Unmatched")))))</x:f>
      </x:c>
      <x:c r="G1058" s="13" t="str">
        <x:f>IF($A1058="","",IF($D1058&lt;&gt;'Team Setup'!$B$4,"Other sprint",IF($E1058="","Unestimated",IF(NOT(ISNUMBER($E1058)),"Check estimate in hours",IF($E1058&lt;0,"Check estimate in hours",IF($E1058=0,"Unestimated","Estimated"))))))</x:f>
      </x:c>
    </x:row>
    <x:row r="1059">
      <x:c r="A1059" s="12"/>
      <x:c r="B1059" s="12"/>
      <x:c r="C1059" s="12"/>
      <x:c r="D1059" s="12"/>
      <x:c r="E1059" s="14"/>
      <x:c r="F1059" s="13" t="str">
        <x:f>IF($A1059="","",IF($D1059&lt;&gt;'Team Setup'!$B$4,"Other sprint",IF($C1059="","Unassigned",IF(OR(ISNUMBER(SEARCH(",",$C1059)),ISNUMBER(SEARCH(";",$C1059))),"Multiple assignees",IF(COUNTIF('Team Setup'!$B$10:$B$34,$C1059)=1,"Matched","Unmatched")))))</x:f>
      </x:c>
      <x:c r="G1059" s="13" t="str">
        <x:f>IF($A1059="","",IF($D1059&lt;&gt;'Team Setup'!$B$4,"Other sprint",IF($E1059="","Unestimated",IF(NOT(ISNUMBER($E1059)),"Check estimate in hours",IF($E1059&lt;0,"Check estimate in hours",IF($E1059=0,"Unestimated","Estimated"))))))</x:f>
      </x:c>
    </x:row>
    <x:row r="1060">
      <x:c r="A1060" s="12"/>
      <x:c r="B1060" s="12"/>
      <x:c r="C1060" s="12"/>
      <x:c r="D1060" s="12"/>
      <x:c r="E1060" s="14"/>
      <x:c r="F1060" s="13" t="str">
        <x:f>IF($A1060="","",IF($D1060&lt;&gt;'Team Setup'!$B$4,"Other sprint",IF($C1060="","Unassigned",IF(OR(ISNUMBER(SEARCH(",",$C1060)),ISNUMBER(SEARCH(";",$C1060))),"Multiple assignees",IF(COUNTIF('Team Setup'!$B$10:$B$34,$C1060)=1,"Matched","Unmatched")))))</x:f>
      </x:c>
      <x:c r="G1060" s="13" t="str">
        <x:f>IF($A1060="","",IF($D1060&lt;&gt;'Team Setup'!$B$4,"Other sprint",IF($E1060="","Unestimated",IF(NOT(ISNUMBER($E1060)),"Check estimate in hours",IF($E1060&lt;0,"Check estimate in hours",IF($E1060=0,"Unestimated","Estimated"))))))</x:f>
      </x:c>
    </x:row>
    <x:row r="1061">
      <x:c r="A1061" s="12"/>
      <x:c r="B1061" s="12"/>
      <x:c r="C1061" s="12"/>
      <x:c r="D1061" s="12"/>
      <x:c r="E1061" s="14"/>
      <x:c r="F1061" s="13" t="str">
        <x:f>IF($A1061="","",IF($D1061&lt;&gt;'Team Setup'!$B$4,"Other sprint",IF($C1061="","Unassigned",IF(OR(ISNUMBER(SEARCH(",",$C1061)),ISNUMBER(SEARCH(";",$C1061))),"Multiple assignees",IF(COUNTIF('Team Setup'!$B$10:$B$34,$C1061)=1,"Matched","Unmatched")))))</x:f>
      </x:c>
      <x:c r="G1061" s="13" t="str">
        <x:f>IF($A1061="","",IF($D1061&lt;&gt;'Team Setup'!$B$4,"Other sprint",IF($E1061="","Unestimated",IF(NOT(ISNUMBER($E1061)),"Check estimate in hours",IF($E1061&lt;0,"Check estimate in hours",IF($E1061=0,"Unestimated","Estimated"))))))</x:f>
      </x:c>
    </x:row>
    <x:row r="1062">
      <x:c r="A1062" s="12"/>
      <x:c r="B1062" s="12"/>
      <x:c r="C1062" s="12"/>
      <x:c r="D1062" s="12"/>
      <x:c r="E1062" s="14"/>
      <x:c r="F1062" s="13" t="str">
        <x:f>IF($A1062="","",IF($D1062&lt;&gt;'Team Setup'!$B$4,"Other sprint",IF($C1062="","Unassigned",IF(OR(ISNUMBER(SEARCH(",",$C1062)),ISNUMBER(SEARCH(";",$C1062))),"Multiple assignees",IF(COUNTIF('Team Setup'!$B$10:$B$34,$C1062)=1,"Matched","Unmatched")))))</x:f>
      </x:c>
      <x:c r="G1062" s="13" t="str">
        <x:f>IF($A1062="","",IF($D1062&lt;&gt;'Team Setup'!$B$4,"Other sprint",IF($E1062="","Unestimated",IF(NOT(ISNUMBER($E1062)),"Check estimate in hours",IF($E1062&lt;0,"Check estimate in hours",IF($E1062=0,"Unestimated","Estimated"))))))</x:f>
      </x:c>
    </x:row>
    <x:row r="1063">
      <x:c r="A1063" s="12"/>
      <x:c r="B1063" s="12"/>
      <x:c r="C1063" s="12"/>
      <x:c r="D1063" s="12"/>
      <x:c r="E1063" s="14"/>
      <x:c r="F1063" s="13" t="str">
        <x:f>IF($A1063="","",IF($D1063&lt;&gt;'Team Setup'!$B$4,"Other sprint",IF($C1063="","Unassigned",IF(OR(ISNUMBER(SEARCH(",",$C1063)),ISNUMBER(SEARCH(";",$C1063))),"Multiple assignees",IF(COUNTIF('Team Setup'!$B$10:$B$34,$C1063)=1,"Matched","Unmatched")))))</x:f>
      </x:c>
      <x:c r="G1063" s="13" t="str">
        <x:f>IF($A1063="","",IF($D1063&lt;&gt;'Team Setup'!$B$4,"Other sprint",IF($E1063="","Unestimated",IF(NOT(ISNUMBER($E1063)),"Check estimate in hours",IF($E1063&lt;0,"Check estimate in hours",IF($E1063=0,"Unestimated","Estimated"))))))</x:f>
      </x:c>
    </x:row>
    <x:row r="1064">
      <x:c r="A1064" s="12"/>
      <x:c r="B1064" s="12"/>
      <x:c r="C1064" s="12"/>
      <x:c r="D1064" s="12"/>
      <x:c r="E1064" s="14"/>
      <x:c r="F1064" s="13" t="str">
        <x:f>IF($A1064="","",IF($D1064&lt;&gt;'Team Setup'!$B$4,"Other sprint",IF($C1064="","Unassigned",IF(OR(ISNUMBER(SEARCH(",",$C1064)),ISNUMBER(SEARCH(";",$C1064))),"Multiple assignees",IF(COUNTIF('Team Setup'!$B$10:$B$34,$C1064)=1,"Matched","Unmatched")))))</x:f>
      </x:c>
      <x:c r="G1064" s="13" t="str">
        <x:f>IF($A1064="","",IF($D1064&lt;&gt;'Team Setup'!$B$4,"Other sprint",IF($E1064="","Unestimated",IF(NOT(ISNUMBER($E1064)),"Check estimate in hours",IF($E1064&lt;0,"Check estimate in hours",IF($E1064=0,"Unestimated","Estimated"))))))</x:f>
      </x:c>
    </x:row>
    <x:row r="1065">
      <x:c r="A1065" s="12"/>
      <x:c r="B1065" s="12"/>
      <x:c r="C1065" s="12"/>
      <x:c r="D1065" s="12"/>
      <x:c r="E1065" s="14"/>
      <x:c r="F1065" s="13" t="str">
        <x:f>IF($A1065="","",IF($D1065&lt;&gt;'Team Setup'!$B$4,"Other sprint",IF($C1065="","Unassigned",IF(OR(ISNUMBER(SEARCH(",",$C1065)),ISNUMBER(SEARCH(";",$C1065))),"Multiple assignees",IF(COUNTIF('Team Setup'!$B$10:$B$34,$C1065)=1,"Matched","Unmatched")))))</x:f>
      </x:c>
      <x:c r="G1065" s="13" t="str">
        <x:f>IF($A1065="","",IF($D1065&lt;&gt;'Team Setup'!$B$4,"Other sprint",IF($E1065="","Unestimated",IF(NOT(ISNUMBER($E1065)),"Check estimate in hours",IF($E1065&lt;0,"Check estimate in hours",IF($E1065=0,"Unestimated","Estimated"))))))</x:f>
      </x:c>
    </x:row>
    <x:row r="1066">
      <x:c r="A1066" s="12"/>
      <x:c r="B1066" s="12"/>
      <x:c r="C1066" s="12"/>
      <x:c r="D1066" s="12"/>
      <x:c r="E1066" s="14"/>
      <x:c r="F1066" s="13" t="str">
        <x:f>IF($A1066="","",IF($D1066&lt;&gt;'Team Setup'!$B$4,"Other sprint",IF($C1066="","Unassigned",IF(OR(ISNUMBER(SEARCH(",",$C1066)),ISNUMBER(SEARCH(";",$C1066))),"Multiple assignees",IF(COUNTIF('Team Setup'!$B$10:$B$34,$C1066)=1,"Matched","Unmatched")))))</x:f>
      </x:c>
      <x:c r="G1066" s="13" t="str">
        <x:f>IF($A1066="","",IF($D1066&lt;&gt;'Team Setup'!$B$4,"Other sprint",IF($E1066="","Unestimated",IF(NOT(ISNUMBER($E1066)),"Check estimate in hours",IF($E1066&lt;0,"Check estimate in hours",IF($E1066=0,"Unestimated","Estimated"))))))</x:f>
      </x:c>
    </x:row>
    <x:row r="1067">
      <x:c r="A1067" s="12"/>
      <x:c r="B1067" s="12"/>
      <x:c r="C1067" s="12"/>
      <x:c r="D1067" s="12"/>
      <x:c r="E1067" s="14"/>
      <x:c r="F1067" s="13" t="str">
        <x:f>IF($A1067="","",IF($D1067&lt;&gt;'Team Setup'!$B$4,"Other sprint",IF($C1067="","Unassigned",IF(OR(ISNUMBER(SEARCH(",",$C1067)),ISNUMBER(SEARCH(";",$C1067))),"Multiple assignees",IF(COUNTIF('Team Setup'!$B$10:$B$34,$C1067)=1,"Matched","Unmatched")))))</x:f>
      </x:c>
      <x:c r="G1067" s="13" t="str">
        <x:f>IF($A1067="","",IF($D1067&lt;&gt;'Team Setup'!$B$4,"Other sprint",IF($E1067="","Unestimated",IF(NOT(ISNUMBER($E1067)),"Check estimate in hours",IF($E1067&lt;0,"Check estimate in hours",IF($E1067=0,"Unestimated","Estimated"))))))</x:f>
      </x:c>
    </x:row>
    <x:row r="1068">
      <x:c r="A1068" s="12"/>
      <x:c r="B1068" s="12"/>
      <x:c r="C1068" s="12"/>
      <x:c r="D1068" s="12"/>
      <x:c r="E1068" s="14"/>
      <x:c r="F1068" s="13" t="str">
        <x:f>IF($A1068="","",IF($D1068&lt;&gt;'Team Setup'!$B$4,"Other sprint",IF($C1068="","Unassigned",IF(OR(ISNUMBER(SEARCH(",",$C1068)),ISNUMBER(SEARCH(";",$C1068))),"Multiple assignees",IF(COUNTIF('Team Setup'!$B$10:$B$34,$C1068)=1,"Matched","Unmatched")))))</x:f>
      </x:c>
      <x:c r="G1068" s="13" t="str">
        <x:f>IF($A1068="","",IF($D1068&lt;&gt;'Team Setup'!$B$4,"Other sprint",IF($E1068="","Unestimated",IF(NOT(ISNUMBER($E1068)),"Check estimate in hours",IF($E1068&lt;0,"Check estimate in hours",IF($E1068=0,"Unestimated","Estimated"))))))</x:f>
      </x:c>
    </x:row>
    <x:row r="1069">
      <x:c r="A1069" s="12"/>
      <x:c r="B1069" s="12"/>
      <x:c r="C1069" s="12"/>
      <x:c r="D1069" s="12"/>
      <x:c r="E1069" s="14"/>
      <x:c r="F1069" s="13" t="str">
        <x:f>IF($A1069="","",IF($D1069&lt;&gt;'Team Setup'!$B$4,"Other sprint",IF($C1069="","Unassigned",IF(OR(ISNUMBER(SEARCH(",",$C1069)),ISNUMBER(SEARCH(";",$C1069))),"Multiple assignees",IF(COUNTIF('Team Setup'!$B$10:$B$34,$C1069)=1,"Matched","Unmatched")))))</x:f>
      </x:c>
      <x:c r="G1069" s="13" t="str">
        <x:f>IF($A1069="","",IF($D1069&lt;&gt;'Team Setup'!$B$4,"Other sprint",IF($E1069="","Unestimated",IF(NOT(ISNUMBER($E1069)),"Check estimate in hours",IF($E1069&lt;0,"Check estimate in hours",IF($E1069=0,"Unestimated","Estimated"))))))</x:f>
      </x:c>
    </x:row>
    <x:row r="1070">
      <x:c r="A1070" s="12"/>
      <x:c r="B1070" s="12"/>
      <x:c r="C1070" s="12"/>
      <x:c r="D1070" s="12"/>
      <x:c r="E1070" s="14"/>
      <x:c r="F1070" s="13" t="str">
        <x:f>IF($A1070="","",IF($D1070&lt;&gt;'Team Setup'!$B$4,"Other sprint",IF($C1070="","Unassigned",IF(OR(ISNUMBER(SEARCH(",",$C1070)),ISNUMBER(SEARCH(";",$C1070))),"Multiple assignees",IF(COUNTIF('Team Setup'!$B$10:$B$34,$C1070)=1,"Matched","Unmatched")))))</x:f>
      </x:c>
      <x:c r="G1070" s="13" t="str">
        <x:f>IF($A1070="","",IF($D1070&lt;&gt;'Team Setup'!$B$4,"Other sprint",IF($E1070="","Unestimated",IF(NOT(ISNUMBER($E1070)),"Check estimate in hours",IF($E1070&lt;0,"Check estimate in hours",IF($E1070=0,"Unestimated","Estimated"))))))</x:f>
      </x:c>
    </x:row>
    <x:row r="1071">
      <x:c r="A1071" s="12"/>
      <x:c r="B1071" s="12"/>
      <x:c r="C1071" s="12"/>
      <x:c r="D1071" s="12"/>
      <x:c r="E1071" s="14"/>
      <x:c r="F1071" s="13" t="str">
        <x:f>IF($A1071="","",IF($D1071&lt;&gt;'Team Setup'!$B$4,"Other sprint",IF($C1071="","Unassigned",IF(OR(ISNUMBER(SEARCH(",",$C1071)),ISNUMBER(SEARCH(";",$C1071))),"Multiple assignees",IF(COUNTIF('Team Setup'!$B$10:$B$34,$C1071)=1,"Matched","Unmatched")))))</x:f>
      </x:c>
      <x:c r="G1071" s="13" t="str">
        <x:f>IF($A1071="","",IF($D1071&lt;&gt;'Team Setup'!$B$4,"Other sprint",IF($E1071="","Unestimated",IF(NOT(ISNUMBER($E1071)),"Check estimate in hours",IF($E1071&lt;0,"Check estimate in hours",IF($E1071=0,"Unestimated","Estimated"))))))</x:f>
      </x:c>
    </x:row>
    <x:row r="1072">
      <x:c r="A1072" s="12"/>
      <x:c r="B1072" s="12"/>
      <x:c r="C1072" s="12"/>
      <x:c r="D1072" s="12"/>
      <x:c r="E1072" s="14"/>
      <x:c r="F1072" s="13" t="str">
        <x:f>IF($A1072="","",IF($D1072&lt;&gt;'Team Setup'!$B$4,"Other sprint",IF($C1072="","Unassigned",IF(OR(ISNUMBER(SEARCH(",",$C1072)),ISNUMBER(SEARCH(";",$C1072))),"Multiple assignees",IF(COUNTIF('Team Setup'!$B$10:$B$34,$C1072)=1,"Matched","Unmatched")))))</x:f>
      </x:c>
      <x:c r="G1072" s="13" t="str">
        <x:f>IF($A1072="","",IF($D1072&lt;&gt;'Team Setup'!$B$4,"Other sprint",IF($E1072="","Unestimated",IF(NOT(ISNUMBER($E1072)),"Check estimate in hours",IF($E1072&lt;0,"Check estimate in hours",IF($E1072=0,"Unestimated","Estimated"))))))</x:f>
      </x:c>
    </x:row>
    <x:row r="1073">
      <x:c r="A1073" s="12"/>
      <x:c r="B1073" s="12"/>
      <x:c r="C1073" s="12"/>
      <x:c r="D1073" s="12"/>
      <x:c r="E1073" s="14"/>
      <x:c r="F1073" s="13" t="str">
        <x:f>IF($A1073="","",IF($D1073&lt;&gt;'Team Setup'!$B$4,"Other sprint",IF($C1073="","Unassigned",IF(OR(ISNUMBER(SEARCH(",",$C1073)),ISNUMBER(SEARCH(";",$C1073))),"Multiple assignees",IF(COUNTIF('Team Setup'!$B$10:$B$34,$C1073)=1,"Matched","Unmatched")))))</x:f>
      </x:c>
      <x:c r="G1073" s="13" t="str">
        <x:f>IF($A1073="","",IF($D1073&lt;&gt;'Team Setup'!$B$4,"Other sprint",IF($E1073="","Unestimated",IF(NOT(ISNUMBER($E1073)),"Check estimate in hours",IF($E1073&lt;0,"Check estimate in hours",IF($E1073=0,"Unestimated","Estimated"))))))</x:f>
      </x:c>
    </x:row>
    <x:row r="1074">
      <x:c r="A1074" s="12"/>
      <x:c r="B1074" s="12"/>
      <x:c r="C1074" s="12"/>
      <x:c r="D1074" s="12"/>
      <x:c r="E1074" s="14"/>
      <x:c r="F1074" s="13" t="str">
        <x:f>IF($A1074="","",IF($D1074&lt;&gt;'Team Setup'!$B$4,"Other sprint",IF($C1074="","Unassigned",IF(OR(ISNUMBER(SEARCH(",",$C1074)),ISNUMBER(SEARCH(";",$C1074))),"Multiple assignees",IF(COUNTIF('Team Setup'!$B$10:$B$34,$C1074)=1,"Matched","Unmatched")))))</x:f>
      </x:c>
      <x:c r="G1074" s="13" t="str">
        <x:f>IF($A1074="","",IF($D1074&lt;&gt;'Team Setup'!$B$4,"Other sprint",IF($E1074="","Unestimated",IF(NOT(ISNUMBER($E1074)),"Check estimate in hours",IF($E1074&lt;0,"Check estimate in hours",IF($E1074=0,"Unestimated","Estimated"))))))</x:f>
      </x:c>
    </x:row>
    <x:row r="1075">
      <x:c r="A1075" s="12"/>
      <x:c r="B1075" s="12"/>
      <x:c r="C1075" s="12"/>
      <x:c r="D1075" s="12"/>
      <x:c r="E1075" s="14"/>
      <x:c r="F1075" s="13" t="str">
        <x:f>IF($A1075="","",IF($D1075&lt;&gt;'Team Setup'!$B$4,"Other sprint",IF($C1075="","Unassigned",IF(OR(ISNUMBER(SEARCH(",",$C1075)),ISNUMBER(SEARCH(";",$C1075))),"Multiple assignees",IF(COUNTIF('Team Setup'!$B$10:$B$34,$C1075)=1,"Matched","Unmatched")))))</x:f>
      </x:c>
      <x:c r="G1075" s="13" t="str">
        <x:f>IF($A1075="","",IF($D1075&lt;&gt;'Team Setup'!$B$4,"Other sprint",IF($E1075="","Unestimated",IF(NOT(ISNUMBER($E1075)),"Check estimate in hours",IF($E1075&lt;0,"Check estimate in hours",IF($E1075=0,"Unestimated","Estimated"))))))</x:f>
      </x:c>
    </x:row>
    <x:row r="1076">
      <x:c r="A1076" s="12"/>
      <x:c r="B1076" s="12"/>
      <x:c r="C1076" s="12"/>
      <x:c r="D1076" s="12"/>
      <x:c r="E1076" s="14"/>
      <x:c r="F1076" s="13" t="str">
        <x:f>IF($A1076="","",IF($D1076&lt;&gt;'Team Setup'!$B$4,"Other sprint",IF($C1076="","Unassigned",IF(OR(ISNUMBER(SEARCH(",",$C1076)),ISNUMBER(SEARCH(";",$C1076))),"Multiple assignees",IF(COUNTIF('Team Setup'!$B$10:$B$34,$C1076)=1,"Matched","Unmatched")))))</x:f>
      </x:c>
      <x:c r="G1076" s="13" t="str">
        <x:f>IF($A1076="","",IF($D1076&lt;&gt;'Team Setup'!$B$4,"Other sprint",IF($E1076="","Unestimated",IF(NOT(ISNUMBER($E1076)),"Check estimate in hours",IF($E1076&lt;0,"Check estimate in hours",IF($E1076=0,"Unestimated","Estimated"))))))</x:f>
      </x:c>
    </x:row>
    <x:row r="1077">
      <x:c r="A1077" s="12"/>
      <x:c r="B1077" s="12"/>
      <x:c r="C1077" s="12"/>
      <x:c r="D1077" s="12"/>
      <x:c r="E1077" s="14"/>
      <x:c r="F1077" s="13" t="str">
        <x:f>IF($A1077="","",IF($D1077&lt;&gt;'Team Setup'!$B$4,"Other sprint",IF($C1077="","Unassigned",IF(OR(ISNUMBER(SEARCH(",",$C1077)),ISNUMBER(SEARCH(";",$C1077))),"Multiple assignees",IF(COUNTIF('Team Setup'!$B$10:$B$34,$C1077)=1,"Matched","Unmatched")))))</x:f>
      </x:c>
      <x:c r="G1077" s="13" t="str">
        <x:f>IF($A1077="","",IF($D1077&lt;&gt;'Team Setup'!$B$4,"Other sprint",IF($E1077="","Unestimated",IF(NOT(ISNUMBER($E1077)),"Check estimate in hours",IF($E1077&lt;0,"Check estimate in hours",IF($E1077=0,"Unestimated","Estimated"))))))</x:f>
      </x:c>
    </x:row>
    <x:row r="1078">
      <x:c r="A1078" s="12"/>
      <x:c r="B1078" s="12"/>
      <x:c r="C1078" s="12"/>
      <x:c r="D1078" s="12"/>
      <x:c r="E1078" s="14"/>
      <x:c r="F1078" s="13" t="str">
        <x:f>IF($A1078="","",IF($D1078&lt;&gt;'Team Setup'!$B$4,"Other sprint",IF($C1078="","Unassigned",IF(OR(ISNUMBER(SEARCH(",",$C1078)),ISNUMBER(SEARCH(";",$C1078))),"Multiple assignees",IF(COUNTIF('Team Setup'!$B$10:$B$34,$C1078)=1,"Matched","Unmatched")))))</x:f>
      </x:c>
      <x:c r="G1078" s="13" t="str">
        <x:f>IF($A1078="","",IF($D1078&lt;&gt;'Team Setup'!$B$4,"Other sprint",IF($E1078="","Unestimated",IF(NOT(ISNUMBER($E1078)),"Check estimate in hours",IF($E1078&lt;0,"Check estimate in hours",IF($E1078=0,"Unestimated","Estimated"))))))</x:f>
      </x:c>
    </x:row>
    <x:row r="1079">
      <x:c r="A1079" s="12"/>
      <x:c r="B1079" s="12"/>
      <x:c r="C1079" s="12"/>
      <x:c r="D1079" s="12"/>
      <x:c r="E1079" s="14"/>
      <x:c r="F1079" s="13" t="str">
        <x:f>IF($A1079="","",IF($D1079&lt;&gt;'Team Setup'!$B$4,"Other sprint",IF($C1079="","Unassigned",IF(OR(ISNUMBER(SEARCH(",",$C1079)),ISNUMBER(SEARCH(";",$C1079))),"Multiple assignees",IF(COUNTIF('Team Setup'!$B$10:$B$34,$C1079)=1,"Matched","Unmatched")))))</x:f>
      </x:c>
      <x:c r="G1079" s="13" t="str">
        <x:f>IF($A1079="","",IF($D1079&lt;&gt;'Team Setup'!$B$4,"Other sprint",IF($E1079="","Unestimated",IF(NOT(ISNUMBER($E1079)),"Check estimate in hours",IF($E1079&lt;0,"Check estimate in hours",IF($E1079=0,"Unestimated","Estimated"))))))</x:f>
      </x:c>
    </x:row>
    <x:row r="1080">
      <x:c r="A1080" s="12"/>
      <x:c r="B1080" s="12"/>
      <x:c r="C1080" s="12"/>
      <x:c r="D1080" s="12"/>
      <x:c r="E1080" s="14"/>
      <x:c r="F1080" s="13" t="str">
        <x:f>IF($A1080="","",IF($D1080&lt;&gt;'Team Setup'!$B$4,"Other sprint",IF($C1080="","Unassigned",IF(OR(ISNUMBER(SEARCH(",",$C1080)),ISNUMBER(SEARCH(";",$C1080))),"Multiple assignees",IF(COUNTIF('Team Setup'!$B$10:$B$34,$C1080)=1,"Matched","Unmatched")))))</x:f>
      </x:c>
      <x:c r="G1080" s="13" t="str">
        <x:f>IF($A1080="","",IF($D1080&lt;&gt;'Team Setup'!$B$4,"Other sprint",IF($E1080="","Unestimated",IF(NOT(ISNUMBER($E1080)),"Check estimate in hours",IF($E1080&lt;0,"Check estimate in hours",IF($E1080=0,"Unestimated","Estimated"))))))</x:f>
      </x:c>
    </x:row>
    <x:row r="1081">
      <x:c r="A1081" s="12"/>
      <x:c r="B1081" s="12"/>
      <x:c r="C1081" s="12"/>
      <x:c r="D1081" s="12"/>
      <x:c r="E1081" s="14"/>
      <x:c r="F1081" s="13" t="str">
        <x:f>IF($A1081="","",IF($D1081&lt;&gt;'Team Setup'!$B$4,"Other sprint",IF($C1081="","Unassigned",IF(OR(ISNUMBER(SEARCH(",",$C1081)),ISNUMBER(SEARCH(";",$C1081))),"Multiple assignees",IF(COUNTIF('Team Setup'!$B$10:$B$34,$C1081)=1,"Matched","Unmatched")))))</x:f>
      </x:c>
      <x:c r="G1081" s="13" t="str">
        <x:f>IF($A1081="","",IF($D1081&lt;&gt;'Team Setup'!$B$4,"Other sprint",IF($E1081="","Unestimated",IF(NOT(ISNUMBER($E1081)),"Check estimate in hours",IF($E1081&lt;0,"Check estimate in hours",IF($E1081=0,"Unestimated","Estimated"))))))</x:f>
      </x:c>
    </x:row>
    <x:row r="1082">
      <x:c r="A1082" s="12"/>
      <x:c r="B1082" s="12"/>
      <x:c r="C1082" s="12"/>
      <x:c r="D1082" s="12"/>
      <x:c r="E1082" s="14"/>
      <x:c r="F1082" s="13" t="str">
        <x:f>IF($A1082="","",IF($D1082&lt;&gt;'Team Setup'!$B$4,"Other sprint",IF($C1082="","Unassigned",IF(OR(ISNUMBER(SEARCH(",",$C1082)),ISNUMBER(SEARCH(";",$C1082))),"Multiple assignees",IF(COUNTIF('Team Setup'!$B$10:$B$34,$C1082)=1,"Matched","Unmatched")))))</x:f>
      </x:c>
      <x:c r="G1082" s="13" t="str">
        <x:f>IF($A1082="","",IF($D1082&lt;&gt;'Team Setup'!$B$4,"Other sprint",IF($E1082="","Unestimated",IF(NOT(ISNUMBER($E1082)),"Check estimate in hours",IF($E1082&lt;0,"Check estimate in hours",IF($E1082=0,"Unestimated","Estimated"))))))</x:f>
      </x:c>
    </x:row>
    <x:row r="1083">
      <x:c r="A1083" s="12"/>
      <x:c r="B1083" s="12"/>
      <x:c r="C1083" s="12"/>
      <x:c r="D1083" s="12"/>
      <x:c r="E1083" s="14"/>
      <x:c r="F1083" s="13" t="str">
        <x:f>IF($A1083="","",IF($D1083&lt;&gt;'Team Setup'!$B$4,"Other sprint",IF($C1083="","Unassigned",IF(OR(ISNUMBER(SEARCH(",",$C1083)),ISNUMBER(SEARCH(";",$C1083))),"Multiple assignees",IF(COUNTIF('Team Setup'!$B$10:$B$34,$C1083)=1,"Matched","Unmatched")))))</x:f>
      </x:c>
      <x:c r="G1083" s="13" t="str">
        <x:f>IF($A1083="","",IF($D1083&lt;&gt;'Team Setup'!$B$4,"Other sprint",IF($E1083="","Unestimated",IF(NOT(ISNUMBER($E1083)),"Check estimate in hours",IF($E1083&lt;0,"Check estimate in hours",IF($E1083=0,"Unestimated","Estimated"))))))</x:f>
      </x:c>
    </x:row>
    <x:row r="1084">
      <x:c r="A1084" s="12"/>
      <x:c r="B1084" s="12"/>
      <x:c r="C1084" s="12"/>
      <x:c r="D1084" s="12"/>
      <x:c r="E1084" s="14"/>
      <x:c r="F1084" s="13" t="str">
        <x:f>IF($A1084="","",IF($D1084&lt;&gt;'Team Setup'!$B$4,"Other sprint",IF($C1084="","Unassigned",IF(OR(ISNUMBER(SEARCH(",",$C1084)),ISNUMBER(SEARCH(";",$C1084))),"Multiple assignees",IF(COUNTIF('Team Setup'!$B$10:$B$34,$C1084)=1,"Matched","Unmatched")))))</x:f>
      </x:c>
      <x:c r="G1084" s="13" t="str">
        <x:f>IF($A1084="","",IF($D1084&lt;&gt;'Team Setup'!$B$4,"Other sprint",IF($E1084="","Unestimated",IF(NOT(ISNUMBER($E1084)),"Check estimate in hours",IF($E1084&lt;0,"Check estimate in hours",IF($E1084=0,"Unestimated","Estimated"))))))</x:f>
      </x:c>
    </x:row>
    <x:row r="1085">
      <x:c r="A1085" s="12"/>
      <x:c r="B1085" s="12"/>
      <x:c r="C1085" s="12"/>
      <x:c r="D1085" s="12"/>
      <x:c r="E1085" s="14"/>
      <x:c r="F1085" s="13" t="str">
        <x:f>IF($A1085="","",IF($D1085&lt;&gt;'Team Setup'!$B$4,"Other sprint",IF($C1085="","Unassigned",IF(OR(ISNUMBER(SEARCH(",",$C1085)),ISNUMBER(SEARCH(";",$C1085))),"Multiple assignees",IF(COUNTIF('Team Setup'!$B$10:$B$34,$C1085)=1,"Matched","Unmatched")))))</x:f>
      </x:c>
      <x:c r="G1085" s="13" t="str">
        <x:f>IF($A1085="","",IF($D1085&lt;&gt;'Team Setup'!$B$4,"Other sprint",IF($E1085="","Unestimated",IF(NOT(ISNUMBER($E1085)),"Check estimate in hours",IF($E1085&lt;0,"Check estimate in hours",IF($E1085=0,"Unestimated","Estimated"))))))</x:f>
      </x:c>
    </x:row>
    <x:row r="1086">
      <x:c r="A1086" s="12"/>
      <x:c r="B1086" s="12"/>
      <x:c r="C1086" s="12"/>
      <x:c r="D1086" s="12"/>
      <x:c r="E1086" s="14"/>
      <x:c r="F1086" s="13" t="str">
        <x:f>IF($A1086="","",IF($D1086&lt;&gt;'Team Setup'!$B$4,"Other sprint",IF($C1086="","Unassigned",IF(OR(ISNUMBER(SEARCH(",",$C1086)),ISNUMBER(SEARCH(";",$C1086))),"Multiple assignees",IF(COUNTIF('Team Setup'!$B$10:$B$34,$C1086)=1,"Matched","Unmatched")))))</x:f>
      </x:c>
      <x:c r="G1086" s="13" t="str">
        <x:f>IF($A1086="","",IF($D1086&lt;&gt;'Team Setup'!$B$4,"Other sprint",IF($E1086="","Unestimated",IF(NOT(ISNUMBER($E1086)),"Check estimate in hours",IF($E1086&lt;0,"Check estimate in hours",IF($E1086=0,"Unestimated","Estimated"))))))</x:f>
      </x:c>
    </x:row>
    <x:row r="1087">
      <x:c r="A1087" s="12"/>
      <x:c r="B1087" s="12"/>
      <x:c r="C1087" s="12"/>
      <x:c r="D1087" s="12"/>
      <x:c r="E1087" s="14"/>
      <x:c r="F1087" s="13" t="str">
        <x:f>IF($A1087="","",IF($D1087&lt;&gt;'Team Setup'!$B$4,"Other sprint",IF($C1087="","Unassigned",IF(OR(ISNUMBER(SEARCH(",",$C1087)),ISNUMBER(SEARCH(";",$C1087))),"Multiple assignees",IF(COUNTIF('Team Setup'!$B$10:$B$34,$C1087)=1,"Matched","Unmatched")))))</x:f>
      </x:c>
      <x:c r="G1087" s="13" t="str">
        <x:f>IF($A1087="","",IF($D1087&lt;&gt;'Team Setup'!$B$4,"Other sprint",IF($E1087="","Unestimated",IF(NOT(ISNUMBER($E1087)),"Check estimate in hours",IF($E1087&lt;0,"Check estimate in hours",IF($E1087=0,"Unestimated","Estimated"))))))</x:f>
      </x:c>
    </x:row>
    <x:row r="1088">
      <x:c r="A1088" s="12"/>
      <x:c r="B1088" s="12"/>
      <x:c r="C1088" s="12"/>
      <x:c r="D1088" s="12"/>
      <x:c r="E1088" s="14"/>
      <x:c r="F1088" s="13" t="str">
        <x:f>IF($A1088="","",IF($D1088&lt;&gt;'Team Setup'!$B$4,"Other sprint",IF($C1088="","Unassigned",IF(OR(ISNUMBER(SEARCH(",",$C1088)),ISNUMBER(SEARCH(";",$C1088))),"Multiple assignees",IF(COUNTIF('Team Setup'!$B$10:$B$34,$C1088)=1,"Matched","Unmatched")))))</x:f>
      </x:c>
      <x:c r="G1088" s="13" t="str">
        <x:f>IF($A1088="","",IF($D1088&lt;&gt;'Team Setup'!$B$4,"Other sprint",IF($E1088="","Unestimated",IF(NOT(ISNUMBER($E1088)),"Check estimate in hours",IF($E1088&lt;0,"Check estimate in hours",IF($E1088=0,"Unestimated","Estimated"))))))</x:f>
      </x:c>
    </x:row>
    <x:row r="1089">
      <x:c r="A1089" s="12"/>
      <x:c r="B1089" s="12"/>
      <x:c r="C1089" s="12"/>
      <x:c r="D1089" s="12"/>
      <x:c r="E1089" s="14"/>
      <x:c r="F1089" s="13" t="str">
        <x:f>IF($A1089="","",IF($D1089&lt;&gt;'Team Setup'!$B$4,"Other sprint",IF($C1089="","Unassigned",IF(OR(ISNUMBER(SEARCH(",",$C1089)),ISNUMBER(SEARCH(";",$C1089))),"Multiple assignees",IF(COUNTIF('Team Setup'!$B$10:$B$34,$C1089)=1,"Matched","Unmatched")))))</x:f>
      </x:c>
      <x:c r="G1089" s="13" t="str">
        <x:f>IF($A1089="","",IF($D1089&lt;&gt;'Team Setup'!$B$4,"Other sprint",IF($E1089="","Unestimated",IF(NOT(ISNUMBER($E1089)),"Check estimate in hours",IF($E1089&lt;0,"Check estimate in hours",IF($E1089=0,"Unestimated","Estimated"))))))</x:f>
      </x:c>
    </x:row>
    <x:row r="1090">
      <x:c r="A1090" s="12"/>
      <x:c r="B1090" s="12"/>
      <x:c r="C1090" s="12"/>
      <x:c r="D1090" s="12"/>
      <x:c r="E1090" s="14"/>
      <x:c r="F1090" s="13" t="str">
        <x:f>IF($A1090="","",IF($D1090&lt;&gt;'Team Setup'!$B$4,"Other sprint",IF($C1090="","Unassigned",IF(OR(ISNUMBER(SEARCH(",",$C1090)),ISNUMBER(SEARCH(";",$C1090))),"Multiple assignees",IF(COUNTIF('Team Setup'!$B$10:$B$34,$C1090)=1,"Matched","Unmatched")))))</x:f>
      </x:c>
      <x:c r="G1090" s="13" t="str">
        <x:f>IF($A1090="","",IF($D1090&lt;&gt;'Team Setup'!$B$4,"Other sprint",IF($E1090="","Unestimated",IF(NOT(ISNUMBER($E1090)),"Check estimate in hours",IF($E1090&lt;0,"Check estimate in hours",IF($E1090=0,"Unestimated","Estimated"))))))</x:f>
      </x:c>
    </x:row>
    <x:row r="1091">
      <x:c r="A1091" s="12"/>
      <x:c r="B1091" s="12"/>
      <x:c r="C1091" s="12"/>
      <x:c r="D1091" s="12"/>
      <x:c r="E1091" s="14"/>
      <x:c r="F1091" s="13" t="str">
        <x:f>IF($A1091="","",IF($D1091&lt;&gt;'Team Setup'!$B$4,"Other sprint",IF($C1091="","Unassigned",IF(OR(ISNUMBER(SEARCH(",",$C1091)),ISNUMBER(SEARCH(";",$C1091))),"Multiple assignees",IF(COUNTIF('Team Setup'!$B$10:$B$34,$C1091)=1,"Matched","Unmatched")))))</x:f>
      </x:c>
      <x:c r="G1091" s="13" t="str">
        <x:f>IF($A1091="","",IF($D1091&lt;&gt;'Team Setup'!$B$4,"Other sprint",IF($E1091="","Unestimated",IF(NOT(ISNUMBER($E1091)),"Check estimate in hours",IF($E1091&lt;0,"Check estimate in hours",IF($E1091=0,"Unestimated","Estimated"))))))</x:f>
      </x:c>
    </x:row>
    <x:row r="1092">
      <x:c r="A1092" s="12"/>
      <x:c r="B1092" s="12"/>
      <x:c r="C1092" s="12"/>
      <x:c r="D1092" s="12"/>
      <x:c r="E1092" s="14"/>
      <x:c r="F1092" s="13" t="str">
        <x:f>IF($A1092="","",IF($D1092&lt;&gt;'Team Setup'!$B$4,"Other sprint",IF($C1092="","Unassigned",IF(OR(ISNUMBER(SEARCH(",",$C1092)),ISNUMBER(SEARCH(";",$C1092))),"Multiple assignees",IF(COUNTIF('Team Setup'!$B$10:$B$34,$C1092)=1,"Matched","Unmatched")))))</x:f>
      </x:c>
      <x:c r="G1092" s="13" t="str">
        <x:f>IF($A1092="","",IF($D1092&lt;&gt;'Team Setup'!$B$4,"Other sprint",IF($E1092="","Unestimated",IF(NOT(ISNUMBER($E1092)),"Check estimate in hours",IF($E1092&lt;0,"Check estimate in hours",IF($E1092=0,"Unestimated","Estimated"))))))</x:f>
      </x:c>
    </x:row>
    <x:row r="1093">
      <x:c r="A1093" s="12"/>
      <x:c r="B1093" s="12"/>
      <x:c r="C1093" s="12"/>
      <x:c r="D1093" s="12"/>
      <x:c r="E1093" s="14"/>
      <x:c r="F1093" s="13" t="str">
        <x:f>IF($A1093="","",IF($D1093&lt;&gt;'Team Setup'!$B$4,"Other sprint",IF($C1093="","Unassigned",IF(OR(ISNUMBER(SEARCH(",",$C1093)),ISNUMBER(SEARCH(";",$C1093))),"Multiple assignees",IF(COUNTIF('Team Setup'!$B$10:$B$34,$C1093)=1,"Matched","Unmatched")))))</x:f>
      </x:c>
      <x:c r="G1093" s="13" t="str">
        <x:f>IF($A1093="","",IF($D1093&lt;&gt;'Team Setup'!$B$4,"Other sprint",IF($E1093="","Unestimated",IF(NOT(ISNUMBER($E1093)),"Check estimate in hours",IF($E1093&lt;0,"Check estimate in hours",IF($E1093=0,"Unestimated","Estimated"))))))</x:f>
      </x:c>
    </x:row>
    <x:row r="1094">
      <x:c r="A1094" s="12"/>
      <x:c r="B1094" s="12"/>
      <x:c r="C1094" s="12"/>
      <x:c r="D1094" s="12"/>
      <x:c r="E1094" s="14"/>
      <x:c r="F1094" s="13" t="str">
        <x:f>IF($A1094="","",IF($D1094&lt;&gt;'Team Setup'!$B$4,"Other sprint",IF($C1094="","Unassigned",IF(OR(ISNUMBER(SEARCH(",",$C1094)),ISNUMBER(SEARCH(";",$C1094))),"Multiple assignees",IF(COUNTIF('Team Setup'!$B$10:$B$34,$C1094)=1,"Matched","Unmatched")))))</x:f>
      </x:c>
      <x:c r="G1094" s="13" t="str">
        <x:f>IF($A1094="","",IF($D1094&lt;&gt;'Team Setup'!$B$4,"Other sprint",IF($E1094="","Unestimated",IF(NOT(ISNUMBER($E1094)),"Check estimate in hours",IF($E1094&lt;0,"Check estimate in hours",IF($E1094=0,"Unestimated","Estimated"))))))</x:f>
      </x:c>
    </x:row>
    <x:row r="1095">
      <x:c r="A1095" s="12"/>
      <x:c r="B1095" s="12"/>
      <x:c r="C1095" s="12"/>
      <x:c r="D1095" s="12"/>
      <x:c r="E1095" s="14"/>
      <x:c r="F1095" s="13" t="str">
        <x:f>IF($A1095="","",IF($D1095&lt;&gt;'Team Setup'!$B$4,"Other sprint",IF($C1095="","Unassigned",IF(OR(ISNUMBER(SEARCH(",",$C1095)),ISNUMBER(SEARCH(";",$C1095))),"Multiple assignees",IF(COUNTIF('Team Setup'!$B$10:$B$34,$C1095)=1,"Matched","Unmatched")))))</x:f>
      </x:c>
      <x:c r="G1095" s="13" t="str">
        <x:f>IF($A1095="","",IF($D1095&lt;&gt;'Team Setup'!$B$4,"Other sprint",IF($E1095="","Unestimated",IF(NOT(ISNUMBER($E1095)),"Check estimate in hours",IF($E1095&lt;0,"Check estimate in hours",IF($E1095=0,"Unestimated","Estimated"))))))</x:f>
      </x:c>
    </x:row>
    <x:row r="1096">
      <x:c r="A1096" s="12"/>
      <x:c r="B1096" s="12"/>
      <x:c r="C1096" s="12"/>
      <x:c r="D1096" s="12"/>
      <x:c r="E1096" s="14"/>
      <x:c r="F1096" s="13" t="str">
        <x:f>IF($A1096="","",IF($D1096&lt;&gt;'Team Setup'!$B$4,"Other sprint",IF($C1096="","Unassigned",IF(OR(ISNUMBER(SEARCH(",",$C1096)),ISNUMBER(SEARCH(";",$C1096))),"Multiple assignees",IF(COUNTIF('Team Setup'!$B$10:$B$34,$C1096)=1,"Matched","Unmatched")))))</x:f>
      </x:c>
      <x:c r="G1096" s="13" t="str">
        <x:f>IF($A1096="","",IF($D1096&lt;&gt;'Team Setup'!$B$4,"Other sprint",IF($E1096="","Unestimated",IF(NOT(ISNUMBER($E1096)),"Check estimate in hours",IF($E1096&lt;0,"Check estimate in hours",IF($E1096=0,"Unestimated","Estimated"))))))</x:f>
      </x:c>
    </x:row>
    <x:row r="1097">
      <x:c r="A1097" s="12"/>
      <x:c r="B1097" s="12"/>
      <x:c r="C1097" s="12"/>
      <x:c r="D1097" s="12"/>
      <x:c r="E1097" s="14"/>
      <x:c r="F1097" s="13" t="str">
        <x:f>IF($A1097="","",IF($D1097&lt;&gt;'Team Setup'!$B$4,"Other sprint",IF($C1097="","Unassigned",IF(OR(ISNUMBER(SEARCH(",",$C1097)),ISNUMBER(SEARCH(";",$C1097))),"Multiple assignees",IF(COUNTIF('Team Setup'!$B$10:$B$34,$C1097)=1,"Matched","Unmatched")))))</x:f>
      </x:c>
      <x:c r="G1097" s="13" t="str">
        <x:f>IF($A1097="","",IF($D1097&lt;&gt;'Team Setup'!$B$4,"Other sprint",IF($E1097="","Unestimated",IF(NOT(ISNUMBER($E1097)),"Check estimate in hours",IF($E1097&lt;0,"Check estimate in hours",IF($E1097=0,"Unestimated","Estimated"))))))</x:f>
      </x:c>
    </x:row>
    <x:row r="1098">
      <x:c r="A1098" s="12"/>
      <x:c r="B1098" s="12"/>
      <x:c r="C1098" s="12"/>
      <x:c r="D1098" s="12"/>
      <x:c r="E1098" s="14"/>
      <x:c r="F1098" s="13" t="str">
        <x:f>IF($A1098="","",IF($D1098&lt;&gt;'Team Setup'!$B$4,"Other sprint",IF($C1098="","Unassigned",IF(OR(ISNUMBER(SEARCH(",",$C1098)),ISNUMBER(SEARCH(";",$C1098))),"Multiple assignees",IF(COUNTIF('Team Setup'!$B$10:$B$34,$C1098)=1,"Matched","Unmatched")))))</x:f>
      </x:c>
      <x:c r="G1098" s="13" t="str">
        <x:f>IF($A1098="","",IF($D1098&lt;&gt;'Team Setup'!$B$4,"Other sprint",IF($E1098="","Unestimated",IF(NOT(ISNUMBER($E1098)),"Check estimate in hours",IF($E1098&lt;0,"Check estimate in hours",IF($E1098=0,"Unestimated","Estimated"))))))</x:f>
      </x:c>
    </x:row>
    <x:row r="1099">
      <x:c r="A1099" s="12"/>
      <x:c r="B1099" s="12"/>
      <x:c r="C1099" s="12"/>
      <x:c r="D1099" s="12"/>
      <x:c r="E1099" s="14"/>
      <x:c r="F1099" s="13" t="str">
        <x:f>IF($A1099="","",IF($D1099&lt;&gt;'Team Setup'!$B$4,"Other sprint",IF($C1099="","Unassigned",IF(OR(ISNUMBER(SEARCH(",",$C1099)),ISNUMBER(SEARCH(";",$C1099))),"Multiple assignees",IF(COUNTIF('Team Setup'!$B$10:$B$34,$C1099)=1,"Matched","Unmatched")))))</x:f>
      </x:c>
      <x:c r="G1099" s="13" t="str">
        <x:f>IF($A1099="","",IF($D1099&lt;&gt;'Team Setup'!$B$4,"Other sprint",IF($E1099="","Unestimated",IF(NOT(ISNUMBER($E1099)),"Check estimate in hours",IF($E1099&lt;0,"Check estimate in hours",IF($E1099=0,"Unestimated","Estimated"))))))</x:f>
      </x:c>
    </x:row>
    <x:row r="1100">
      <x:c r="A1100" s="12"/>
      <x:c r="B1100" s="12"/>
      <x:c r="C1100" s="12"/>
      <x:c r="D1100" s="12"/>
      <x:c r="E1100" s="14"/>
      <x:c r="F1100" s="13" t="str">
        <x:f>IF($A1100="","",IF($D1100&lt;&gt;'Team Setup'!$B$4,"Other sprint",IF($C1100="","Unassigned",IF(OR(ISNUMBER(SEARCH(",",$C1100)),ISNUMBER(SEARCH(";",$C1100))),"Multiple assignees",IF(COUNTIF('Team Setup'!$B$10:$B$34,$C1100)=1,"Matched","Unmatched")))))</x:f>
      </x:c>
      <x:c r="G1100" s="13" t="str">
        <x:f>IF($A1100="","",IF($D1100&lt;&gt;'Team Setup'!$B$4,"Other sprint",IF($E1100="","Unestimated",IF(NOT(ISNUMBER($E1100)),"Check estimate in hours",IF($E1100&lt;0,"Check estimate in hours",IF($E1100=0,"Unestimated","Estimated"))))))</x:f>
      </x:c>
    </x:row>
    <x:row r="1101">
      <x:c r="A1101" s="12"/>
      <x:c r="B1101" s="12"/>
      <x:c r="C1101" s="12"/>
      <x:c r="D1101" s="12"/>
      <x:c r="E1101" s="14"/>
      <x:c r="F1101" s="13" t="str">
        <x:f>IF($A1101="","",IF($D1101&lt;&gt;'Team Setup'!$B$4,"Other sprint",IF($C1101="","Unassigned",IF(OR(ISNUMBER(SEARCH(",",$C1101)),ISNUMBER(SEARCH(";",$C1101))),"Multiple assignees",IF(COUNTIF('Team Setup'!$B$10:$B$34,$C1101)=1,"Matched","Unmatched")))))</x:f>
      </x:c>
      <x:c r="G1101" s="13" t="str">
        <x:f>IF($A1101="","",IF($D1101&lt;&gt;'Team Setup'!$B$4,"Other sprint",IF($E1101="","Unestimated",IF(NOT(ISNUMBER($E1101)),"Check estimate in hours",IF($E1101&lt;0,"Check estimate in hours",IF($E1101=0,"Unestimated","Estimated"))))))</x:f>
      </x:c>
    </x:row>
    <x:row r="1102">
      <x:c r="A1102" s="12"/>
      <x:c r="B1102" s="12"/>
      <x:c r="C1102" s="12"/>
      <x:c r="D1102" s="12"/>
      <x:c r="E1102" s="14"/>
      <x:c r="F1102" s="13" t="str">
        <x:f>IF($A1102="","",IF($D1102&lt;&gt;'Team Setup'!$B$4,"Other sprint",IF($C1102="","Unassigned",IF(OR(ISNUMBER(SEARCH(",",$C1102)),ISNUMBER(SEARCH(";",$C1102))),"Multiple assignees",IF(COUNTIF('Team Setup'!$B$10:$B$34,$C1102)=1,"Matched","Unmatched")))))</x:f>
      </x:c>
      <x:c r="G1102" s="13" t="str">
        <x:f>IF($A1102="","",IF($D1102&lt;&gt;'Team Setup'!$B$4,"Other sprint",IF($E1102="","Unestimated",IF(NOT(ISNUMBER($E1102)),"Check estimate in hours",IF($E1102&lt;0,"Check estimate in hours",IF($E1102=0,"Unestimated","Estimated"))))))</x:f>
      </x:c>
    </x:row>
    <x:row r="1103">
      <x:c r="A1103" s="12"/>
      <x:c r="B1103" s="12"/>
      <x:c r="C1103" s="12"/>
      <x:c r="D1103" s="12"/>
      <x:c r="E1103" s="14"/>
      <x:c r="F1103" s="13" t="str">
        <x:f>IF($A1103="","",IF($D1103&lt;&gt;'Team Setup'!$B$4,"Other sprint",IF($C1103="","Unassigned",IF(OR(ISNUMBER(SEARCH(",",$C1103)),ISNUMBER(SEARCH(";",$C1103))),"Multiple assignees",IF(COUNTIF('Team Setup'!$B$10:$B$34,$C1103)=1,"Matched","Unmatched")))))</x:f>
      </x:c>
      <x:c r="G1103" s="13" t="str">
        <x:f>IF($A1103="","",IF($D1103&lt;&gt;'Team Setup'!$B$4,"Other sprint",IF($E1103="","Unestimated",IF(NOT(ISNUMBER($E1103)),"Check estimate in hours",IF($E1103&lt;0,"Check estimate in hours",IF($E1103=0,"Unestimated","Estimated"))))))</x:f>
      </x:c>
    </x:row>
    <x:row r="1104">
      <x:c r="A1104" s="12"/>
      <x:c r="B1104" s="12"/>
      <x:c r="C1104" s="12"/>
      <x:c r="D1104" s="12"/>
      <x:c r="E1104" s="14"/>
      <x:c r="F1104" s="13" t="str">
        <x:f>IF($A1104="","",IF($D1104&lt;&gt;'Team Setup'!$B$4,"Other sprint",IF($C1104="","Unassigned",IF(OR(ISNUMBER(SEARCH(",",$C1104)),ISNUMBER(SEARCH(";",$C1104))),"Multiple assignees",IF(COUNTIF('Team Setup'!$B$10:$B$34,$C1104)=1,"Matched","Unmatched")))))</x:f>
      </x:c>
      <x:c r="G1104" s="13" t="str">
        <x:f>IF($A1104="","",IF($D1104&lt;&gt;'Team Setup'!$B$4,"Other sprint",IF($E1104="","Unestimated",IF(NOT(ISNUMBER($E1104)),"Check estimate in hours",IF($E1104&lt;0,"Check estimate in hours",IF($E1104=0,"Unestimated","Estimated"))))))</x:f>
      </x:c>
    </x:row>
    <x:row r="1105">
      <x:c r="A1105" s="12"/>
      <x:c r="B1105" s="12"/>
      <x:c r="C1105" s="12"/>
      <x:c r="D1105" s="12"/>
      <x:c r="E1105" s="14"/>
      <x:c r="F1105" s="13" t="str">
        <x:f>IF($A1105="","",IF($D1105&lt;&gt;'Team Setup'!$B$4,"Other sprint",IF($C1105="","Unassigned",IF(OR(ISNUMBER(SEARCH(",",$C1105)),ISNUMBER(SEARCH(";",$C1105))),"Multiple assignees",IF(COUNTIF('Team Setup'!$B$10:$B$34,$C1105)=1,"Matched","Unmatched")))))</x:f>
      </x:c>
      <x:c r="G1105" s="13" t="str">
        <x:f>IF($A1105="","",IF($D1105&lt;&gt;'Team Setup'!$B$4,"Other sprint",IF($E1105="","Unestimated",IF(NOT(ISNUMBER($E1105)),"Check estimate in hours",IF($E1105&lt;0,"Check estimate in hours",IF($E1105=0,"Unestimated","Estimated"))))))</x:f>
      </x:c>
    </x:row>
    <x:row r="1106">
      <x:c r="A1106" s="12"/>
      <x:c r="B1106" s="12"/>
      <x:c r="C1106" s="12"/>
      <x:c r="D1106" s="12"/>
      <x:c r="E1106" s="14"/>
      <x:c r="F1106" s="13" t="str">
        <x:f>IF($A1106="","",IF($D1106&lt;&gt;'Team Setup'!$B$4,"Other sprint",IF($C1106="","Unassigned",IF(OR(ISNUMBER(SEARCH(",",$C1106)),ISNUMBER(SEARCH(";",$C1106))),"Multiple assignees",IF(COUNTIF('Team Setup'!$B$10:$B$34,$C1106)=1,"Matched","Unmatched")))))</x:f>
      </x:c>
      <x:c r="G1106" s="13" t="str">
        <x:f>IF($A1106="","",IF($D1106&lt;&gt;'Team Setup'!$B$4,"Other sprint",IF($E1106="","Unestimated",IF(NOT(ISNUMBER($E1106)),"Check estimate in hours",IF($E1106&lt;0,"Check estimate in hours",IF($E1106=0,"Unestimated","Estimated"))))))</x:f>
      </x:c>
    </x:row>
    <x:row r="1107">
      <x:c r="A1107" s="12"/>
      <x:c r="B1107" s="12"/>
      <x:c r="C1107" s="12"/>
      <x:c r="D1107" s="12"/>
      <x:c r="E1107" s="14"/>
      <x:c r="F1107" s="13" t="str">
        <x:f>IF($A1107="","",IF($D1107&lt;&gt;'Team Setup'!$B$4,"Other sprint",IF($C1107="","Unassigned",IF(OR(ISNUMBER(SEARCH(",",$C1107)),ISNUMBER(SEARCH(";",$C1107))),"Multiple assignees",IF(COUNTIF('Team Setup'!$B$10:$B$34,$C1107)=1,"Matched","Unmatched")))))</x:f>
      </x:c>
      <x:c r="G1107" s="13" t="str">
        <x:f>IF($A1107="","",IF($D1107&lt;&gt;'Team Setup'!$B$4,"Other sprint",IF($E1107="","Unestimated",IF(NOT(ISNUMBER($E1107)),"Check estimate in hours",IF($E1107&lt;0,"Check estimate in hours",IF($E1107=0,"Unestimated","Estimated"))))))</x:f>
      </x:c>
    </x:row>
    <x:row r="1108">
      <x:c r="A1108" s="12"/>
      <x:c r="B1108" s="12"/>
      <x:c r="C1108" s="12"/>
      <x:c r="D1108" s="12"/>
      <x:c r="E1108" s="14"/>
      <x:c r="F1108" s="13" t="str">
        <x:f>IF($A1108="","",IF($D1108&lt;&gt;'Team Setup'!$B$4,"Other sprint",IF($C1108="","Unassigned",IF(OR(ISNUMBER(SEARCH(",",$C1108)),ISNUMBER(SEARCH(";",$C1108))),"Multiple assignees",IF(COUNTIF('Team Setup'!$B$10:$B$34,$C1108)=1,"Matched","Unmatched")))))</x:f>
      </x:c>
      <x:c r="G1108" s="13" t="str">
        <x:f>IF($A1108="","",IF($D1108&lt;&gt;'Team Setup'!$B$4,"Other sprint",IF($E1108="","Unestimated",IF(NOT(ISNUMBER($E1108)),"Check estimate in hours",IF($E1108&lt;0,"Check estimate in hours",IF($E1108=0,"Unestimated","Estimated"))))))</x:f>
      </x:c>
    </x:row>
    <x:row r="1109">
      <x:c r="A1109" s="12"/>
      <x:c r="B1109" s="12"/>
      <x:c r="C1109" s="12"/>
      <x:c r="D1109" s="12"/>
      <x:c r="E1109" s="14"/>
      <x:c r="F1109" s="13" t="str">
        <x:f>IF($A1109="","",IF($D1109&lt;&gt;'Team Setup'!$B$4,"Other sprint",IF($C1109="","Unassigned",IF(OR(ISNUMBER(SEARCH(",",$C1109)),ISNUMBER(SEARCH(";",$C1109))),"Multiple assignees",IF(COUNTIF('Team Setup'!$B$10:$B$34,$C1109)=1,"Matched","Unmatched")))))</x:f>
      </x:c>
      <x:c r="G1109" s="13" t="str">
        <x:f>IF($A1109="","",IF($D1109&lt;&gt;'Team Setup'!$B$4,"Other sprint",IF($E1109="","Unestimated",IF(NOT(ISNUMBER($E1109)),"Check estimate in hours",IF($E1109&lt;0,"Check estimate in hours",IF($E1109=0,"Unestimated","Estimated"))))))</x:f>
      </x:c>
    </x:row>
    <x:row r="1110">
      <x:c r="A1110" s="12"/>
      <x:c r="B1110" s="12"/>
      <x:c r="C1110" s="12"/>
      <x:c r="D1110" s="12"/>
      <x:c r="E1110" s="14"/>
      <x:c r="F1110" s="13" t="str">
        <x:f>IF($A1110="","",IF($D1110&lt;&gt;'Team Setup'!$B$4,"Other sprint",IF($C1110="","Unassigned",IF(OR(ISNUMBER(SEARCH(",",$C1110)),ISNUMBER(SEARCH(";",$C1110))),"Multiple assignees",IF(COUNTIF('Team Setup'!$B$10:$B$34,$C1110)=1,"Matched","Unmatched")))))</x:f>
      </x:c>
      <x:c r="G1110" s="13" t="str">
        <x:f>IF($A1110="","",IF($D1110&lt;&gt;'Team Setup'!$B$4,"Other sprint",IF($E1110="","Unestimated",IF(NOT(ISNUMBER($E1110)),"Check estimate in hours",IF($E1110&lt;0,"Check estimate in hours",IF($E1110=0,"Unestimated","Estimated"))))))</x:f>
      </x:c>
    </x:row>
    <x:row r="1111">
      <x:c r="A1111" s="12"/>
      <x:c r="B1111" s="12"/>
      <x:c r="C1111" s="12"/>
      <x:c r="D1111" s="12"/>
      <x:c r="E1111" s="14"/>
      <x:c r="F1111" s="13" t="str">
        <x:f>IF($A1111="","",IF($D1111&lt;&gt;'Team Setup'!$B$4,"Other sprint",IF($C1111="","Unassigned",IF(OR(ISNUMBER(SEARCH(",",$C1111)),ISNUMBER(SEARCH(";",$C1111))),"Multiple assignees",IF(COUNTIF('Team Setup'!$B$10:$B$34,$C1111)=1,"Matched","Unmatched")))))</x:f>
      </x:c>
      <x:c r="G1111" s="13" t="str">
        <x:f>IF($A1111="","",IF($D1111&lt;&gt;'Team Setup'!$B$4,"Other sprint",IF($E1111="","Unestimated",IF(NOT(ISNUMBER($E1111)),"Check estimate in hours",IF($E1111&lt;0,"Check estimate in hours",IF($E1111=0,"Unestimated","Estimated"))))))</x:f>
      </x:c>
    </x:row>
    <x:row r="1112">
      <x:c r="A1112" s="12"/>
      <x:c r="B1112" s="12"/>
      <x:c r="C1112" s="12"/>
      <x:c r="D1112" s="12"/>
      <x:c r="E1112" s="14"/>
      <x:c r="F1112" s="13" t="str">
        <x:f>IF($A1112="","",IF($D1112&lt;&gt;'Team Setup'!$B$4,"Other sprint",IF($C1112="","Unassigned",IF(OR(ISNUMBER(SEARCH(",",$C1112)),ISNUMBER(SEARCH(";",$C1112))),"Multiple assignees",IF(COUNTIF('Team Setup'!$B$10:$B$34,$C1112)=1,"Matched","Unmatched")))))</x:f>
      </x:c>
      <x:c r="G1112" s="13" t="str">
        <x:f>IF($A1112="","",IF($D1112&lt;&gt;'Team Setup'!$B$4,"Other sprint",IF($E1112="","Unestimated",IF(NOT(ISNUMBER($E1112)),"Check estimate in hours",IF($E1112&lt;0,"Check estimate in hours",IF($E1112=0,"Unestimated","Estimated"))))))</x:f>
      </x:c>
    </x:row>
    <x:row r="1113">
      <x:c r="A1113" s="12"/>
      <x:c r="B1113" s="12"/>
      <x:c r="C1113" s="12"/>
      <x:c r="D1113" s="12"/>
      <x:c r="E1113" s="14"/>
      <x:c r="F1113" s="13" t="str">
        <x:f>IF($A1113="","",IF($D1113&lt;&gt;'Team Setup'!$B$4,"Other sprint",IF($C1113="","Unassigned",IF(OR(ISNUMBER(SEARCH(",",$C1113)),ISNUMBER(SEARCH(";",$C1113))),"Multiple assignees",IF(COUNTIF('Team Setup'!$B$10:$B$34,$C1113)=1,"Matched","Unmatched")))))</x:f>
      </x:c>
      <x:c r="G1113" s="13" t="str">
        <x:f>IF($A1113="","",IF($D1113&lt;&gt;'Team Setup'!$B$4,"Other sprint",IF($E1113="","Unestimated",IF(NOT(ISNUMBER($E1113)),"Check estimate in hours",IF($E1113&lt;0,"Check estimate in hours",IF($E1113=0,"Unestimated","Estimated"))))))</x:f>
      </x:c>
    </x:row>
    <x:row r="1114">
      <x:c r="A1114" s="12"/>
      <x:c r="B1114" s="12"/>
      <x:c r="C1114" s="12"/>
      <x:c r="D1114" s="12"/>
      <x:c r="E1114" s="14"/>
      <x:c r="F1114" s="13" t="str">
        <x:f>IF($A1114="","",IF($D1114&lt;&gt;'Team Setup'!$B$4,"Other sprint",IF($C1114="","Unassigned",IF(OR(ISNUMBER(SEARCH(",",$C1114)),ISNUMBER(SEARCH(";",$C1114))),"Multiple assignees",IF(COUNTIF('Team Setup'!$B$10:$B$34,$C1114)=1,"Matched","Unmatched")))))</x:f>
      </x:c>
      <x:c r="G1114" s="13" t="str">
        <x:f>IF($A1114="","",IF($D1114&lt;&gt;'Team Setup'!$B$4,"Other sprint",IF($E1114="","Unestimated",IF(NOT(ISNUMBER($E1114)),"Check estimate in hours",IF($E1114&lt;0,"Check estimate in hours",IF($E1114=0,"Unestimated","Estimated"))))))</x:f>
      </x:c>
    </x:row>
    <x:row r="1115">
      <x:c r="A1115" s="12"/>
      <x:c r="B1115" s="12"/>
      <x:c r="C1115" s="12"/>
      <x:c r="D1115" s="12"/>
      <x:c r="E1115" s="14"/>
      <x:c r="F1115" s="13" t="str">
        <x:f>IF($A1115="","",IF($D1115&lt;&gt;'Team Setup'!$B$4,"Other sprint",IF($C1115="","Unassigned",IF(OR(ISNUMBER(SEARCH(",",$C1115)),ISNUMBER(SEARCH(";",$C1115))),"Multiple assignees",IF(COUNTIF('Team Setup'!$B$10:$B$34,$C1115)=1,"Matched","Unmatched")))))</x:f>
      </x:c>
      <x:c r="G1115" s="13" t="str">
        <x:f>IF($A1115="","",IF($D1115&lt;&gt;'Team Setup'!$B$4,"Other sprint",IF($E1115="","Unestimated",IF(NOT(ISNUMBER($E1115)),"Check estimate in hours",IF($E1115&lt;0,"Check estimate in hours",IF($E1115=0,"Unestimated","Estimated"))))))</x:f>
      </x:c>
    </x:row>
    <x:row r="1116">
      <x:c r="A1116" s="12"/>
      <x:c r="B1116" s="12"/>
      <x:c r="C1116" s="12"/>
      <x:c r="D1116" s="12"/>
      <x:c r="E1116" s="14"/>
      <x:c r="F1116" s="13" t="str">
        <x:f>IF($A1116="","",IF($D1116&lt;&gt;'Team Setup'!$B$4,"Other sprint",IF($C1116="","Unassigned",IF(OR(ISNUMBER(SEARCH(",",$C1116)),ISNUMBER(SEARCH(";",$C1116))),"Multiple assignees",IF(COUNTIF('Team Setup'!$B$10:$B$34,$C1116)=1,"Matched","Unmatched")))))</x:f>
      </x:c>
      <x:c r="G1116" s="13" t="str">
        <x:f>IF($A1116="","",IF($D1116&lt;&gt;'Team Setup'!$B$4,"Other sprint",IF($E1116="","Unestimated",IF(NOT(ISNUMBER($E1116)),"Check estimate in hours",IF($E1116&lt;0,"Check estimate in hours",IF($E1116=0,"Unestimated","Estimated"))))))</x:f>
      </x:c>
    </x:row>
    <x:row r="1117">
      <x:c r="A1117" s="12"/>
      <x:c r="B1117" s="12"/>
      <x:c r="C1117" s="12"/>
      <x:c r="D1117" s="12"/>
      <x:c r="E1117" s="14"/>
      <x:c r="F1117" s="13" t="str">
        <x:f>IF($A1117="","",IF($D1117&lt;&gt;'Team Setup'!$B$4,"Other sprint",IF($C1117="","Unassigned",IF(OR(ISNUMBER(SEARCH(",",$C1117)),ISNUMBER(SEARCH(";",$C1117))),"Multiple assignees",IF(COUNTIF('Team Setup'!$B$10:$B$34,$C1117)=1,"Matched","Unmatched")))))</x:f>
      </x:c>
      <x:c r="G1117" s="13" t="str">
        <x:f>IF($A1117="","",IF($D1117&lt;&gt;'Team Setup'!$B$4,"Other sprint",IF($E1117="","Unestimated",IF(NOT(ISNUMBER($E1117)),"Check estimate in hours",IF($E1117&lt;0,"Check estimate in hours",IF($E1117=0,"Unestimated","Estimated"))))))</x:f>
      </x:c>
    </x:row>
    <x:row r="1118">
      <x:c r="A1118" s="12"/>
      <x:c r="B1118" s="12"/>
      <x:c r="C1118" s="12"/>
      <x:c r="D1118" s="12"/>
      <x:c r="E1118" s="14"/>
      <x:c r="F1118" s="13" t="str">
        <x:f>IF($A1118="","",IF($D1118&lt;&gt;'Team Setup'!$B$4,"Other sprint",IF($C1118="","Unassigned",IF(OR(ISNUMBER(SEARCH(",",$C1118)),ISNUMBER(SEARCH(";",$C1118))),"Multiple assignees",IF(COUNTIF('Team Setup'!$B$10:$B$34,$C1118)=1,"Matched","Unmatched")))))</x:f>
      </x:c>
      <x:c r="G1118" s="13" t="str">
        <x:f>IF($A1118="","",IF($D1118&lt;&gt;'Team Setup'!$B$4,"Other sprint",IF($E1118="","Unestimated",IF(NOT(ISNUMBER($E1118)),"Check estimate in hours",IF($E1118&lt;0,"Check estimate in hours",IF($E1118=0,"Unestimated","Estimated"))))))</x:f>
      </x:c>
    </x:row>
    <x:row r="1119">
      <x:c r="A1119" s="12"/>
      <x:c r="B1119" s="12"/>
      <x:c r="C1119" s="12"/>
      <x:c r="D1119" s="12"/>
      <x:c r="E1119" s="14"/>
      <x:c r="F1119" s="13" t="str">
        <x:f>IF($A1119="","",IF($D1119&lt;&gt;'Team Setup'!$B$4,"Other sprint",IF($C1119="","Unassigned",IF(OR(ISNUMBER(SEARCH(",",$C1119)),ISNUMBER(SEARCH(";",$C1119))),"Multiple assignees",IF(COUNTIF('Team Setup'!$B$10:$B$34,$C1119)=1,"Matched","Unmatched")))))</x:f>
      </x:c>
      <x:c r="G1119" s="13" t="str">
        <x:f>IF($A1119="","",IF($D1119&lt;&gt;'Team Setup'!$B$4,"Other sprint",IF($E1119="","Unestimated",IF(NOT(ISNUMBER($E1119)),"Check estimate in hours",IF($E1119&lt;0,"Check estimate in hours",IF($E1119=0,"Unestimated","Estimated"))))))</x:f>
      </x:c>
    </x:row>
    <x:row r="1120">
      <x:c r="A1120" s="12"/>
      <x:c r="B1120" s="12"/>
      <x:c r="C1120" s="12"/>
      <x:c r="D1120" s="12"/>
      <x:c r="E1120" s="14"/>
      <x:c r="F1120" s="13" t="str">
        <x:f>IF($A1120="","",IF($D1120&lt;&gt;'Team Setup'!$B$4,"Other sprint",IF($C1120="","Unassigned",IF(OR(ISNUMBER(SEARCH(",",$C1120)),ISNUMBER(SEARCH(";",$C1120))),"Multiple assignees",IF(COUNTIF('Team Setup'!$B$10:$B$34,$C1120)=1,"Matched","Unmatched")))))</x:f>
      </x:c>
      <x:c r="G1120" s="13" t="str">
        <x:f>IF($A1120="","",IF($D1120&lt;&gt;'Team Setup'!$B$4,"Other sprint",IF($E1120="","Unestimated",IF(NOT(ISNUMBER($E1120)),"Check estimate in hours",IF($E1120&lt;0,"Check estimate in hours",IF($E1120=0,"Unestimated","Estimated"))))))</x:f>
      </x:c>
    </x:row>
    <x:row r="1121">
      <x:c r="A1121" s="12"/>
      <x:c r="B1121" s="12"/>
      <x:c r="C1121" s="12"/>
      <x:c r="D1121" s="12"/>
      <x:c r="E1121" s="14"/>
      <x:c r="F1121" s="13" t="str">
        <x:f>IF($A1121="","",IF($D1121&lt;&gt;'Team Setup'!$B$4,"Other sprint",IF($C1121="","Unassigned",IF(OR(ISNUMBER(SEARCH(",",$C1121)),ISNUMBER(SEARCH(";",$C1121))),"Multiple assignees",IF(COUNTIF('Team Setup'!$B$10:$B$34,$C1121)=1,"Matched","Unmatched")))))</x:f>
      </x:c>
      <x:c r="G1121" s="13" t="str">
        <x:f>IF($A1121="","",IF($D1121&lt;&gt;'Team Setup'!$B$4,"Other sprint",IF($E1121="","Unestimated",IF(NOT(ISNUMBER($E1121)),"Check estimate in hours",IF($E1121&lt;0,"Check estimate in hours",IF($E1121=0,"Unestimated","Estimated"))))))</x:f>
      </x:c>
    </x:row>
    <x:row r="1122">
      <x:c r="A1122" s="12"/>
      <x:c r="B1122" s="12"/>
      <x:c r="C1122" s="12"/>
      <x:c r="D1122" s="12"/>
      <x:c r="E1122" s="14"/>
      <x:c r="F1122" s="13" t="str">
        <x:f>IF($A1122="","",IF($D1122&lt;&gt;'Team Setup'!$B$4,"Other sprint",IF($C1122="","Unassigned",IF(OR(ISNUMBER(SEARCH(",",$C1122)),ISNUMBER(SEARCH(";",$C1122))),"Multiple assignees",IF(COUNTIF('Team Setup'!$B$10:$B$34,$C1122)=1,"Matched","Unmatched")))))</x:f>
      </x:c>
      <x:c r="G1122" s="13" t="str">
        <x:f>IF($A1122="","",IF($D1122&lt;&gt;'Team Setup'!$B$4,"Other sprint",IF($E1122="","Unestimated",IF(NOT(ISNUMBER($E1122)),"Check estimate in hours",IF($E1122&lt;0,"Check estimate in hours",IF($E1122=0,"Unestimated","Estimated"))))))</x:f>
      </x:c>
    </x:row>
    <x:row r="1123">
      <x:c r="A1123" s="12"/>
      <x:c r="B1123" s="12"/>
      <x:c r="C1123" s="12"/>
      <x:c r="D1123" s="12"/>
      <x:c r="E1123" s="14"/>
      <x:c r="F1123" s="13" t="str">
        <x:f>IF($A1123="","",IF($D1123&lt;&gt;'Team Setup'!$B$4,"Other sprint",IF($C1123="","Unassigned",IF(OR(ISNUMBER(SEARCH(",",$C1123)),ISNUMBER(SEARCH(";",$C1123))),"Multiple assignees",IF(COUNTIF('Team Setup'!$B$10:$B$34,$C1123)=1,"Matched","Unmatched")))))</x:f>
      </x:c>
      <x:c r="G1123" s="13" t="str">
        <x:f>IF($A1123="","",IF($D1123&lt;&gt;'Team Setup'!$B$4,"Other sprint",IF($E1123="","Unestimated",IF(NOT(ISNUMBER($E1123)),"Check estimate in hours",IF($E1123&lt;0,"Check estimate in hours",IF($E1123=0,"Unestimated","Estimated"))))))</x:f>
      </x:c>
    </x:row>
    <x:row r="1124">
      <x:c r="A1124" s="12"/>
      <x:c r="B1124" s="12"/>
      <x:c r="C1124" s="12"/>
      <x:c r="D1124" s="12"/>
      <x:c r="E1124" s="14"/>
      <x:c r="F1124" s="13" t="str">
        <x:f>IF($A1124="","",IF($D1124&lt;&gt;'Team Setup'!$B$4,"Other sprint",IF($C1124="","Unassigned",IF(OR(ISNUMBER(SEARCH(",",$C1124)),ISNUMBER(SEARCH(";",$C1124))),"Multiple assignees",IF(COUNTIF('Team Setup'!$B$10:$B$34,$C1124)=1,"Matched","Unmatched")))))</x:f>
      </x:c>
      <x:c r="G1124" s="13" t="str">
        <x:f>IF($A1124="","",IF($D1124&lt;&gt;'Team Setup'!$B$4,"Other sprint",IF($E1124="","Unestimated",IF(NOT(ISNUMBER($E1124)),"Check estimate in hours",IF($E1124&lt;0,"Check estimate in hours",IF($E1124=0,"Unestimated","Estimated"))))))</x:f>
      </x:c>
    </x:row>
    <x:row r="1125">
      <x:c r="A1125" s="12"/>
      <x:c r="B1125" s="12"/>
      <x:c r="C1125" s="12"/>
      <x:c r="D1125" s="12"/>
      <x:c r="E1125" s="14"/>
      <x:c r="F1125" s="13" t="str">
        <x:f>IF($A1125="","",IF($D1125&lt;&gt;'Team Setup'!$B$4,"Other sprint",IF($C1125="","Unassigned",IF(OR(ISNUMBER(SEARCH(",",$C1125)),ISNUMBER(SEARCH(";",$C1125))),"Multiple assignees",IF(COUNTIF('Team Setup'!$B$10:$B$34,$C1125)=1,"Matched","Unmatched")))))</x:f>
      </x:c>
      <x:c r="G1125" s="13" t="str">
        <x:f>IF($A1125="","",IF($D1125&lt;&gt;'Team Setup'!$B$4,"Other sprint",IF($E1125="","Unestimated",IF(NOT(ISNUMBER($E1125)),"Check estimate in hours",IF($E1125&lt;0,"Check estimate in hours",IF($E1125=0,"Unestimated","Estimated"))))))</x:f>
      </x:c>
    </x:row>
    <x:row r="1126">
      <x:c r="A1126" s="12"/>
      <x:c r="B1126" s="12"/>
      <x:c r="C1126" s="12"/>
      <x:c r="D1126" s="12"/>
      <x:c r="E1126" s="14"/>
      <x:c r="F1126" s="13" t="str">
        <x:f>IF($A1126="","",IF($D1126&lt;&gt;'Team Setup'!$B$4,"Other sprint",IF($C1126="","Unassigned",IF(OR(ISNUMBER(SEARCH(",",$C1126)),ISNUMBER(SEARCH(";",$C1126))),"Multiple assignees",IF(COUNTIF('Team Setup'!$B$10:$B$34,$C1126)=1,"Matched","Unmatched")))))</x:f>
      </x:c>
      <x:c r="G1126" s="13" t="str">
        <x:f>IF($A1126="","",IF($D1126&lt;&gt;'Team Setup'!$B$4,"Other sprint",IF($E1126="","Unestimated",IF(NOT(ISNUMBER($E1126)),"Check estimate in hours",IF($E1126&lt;0,"Check estimate in hours",IF($E1126=0,"Unestimated","Estimated"))))))</x:f>
      </x:c>
    </x:row>
    <x:row r="1127">
      <x:c r="A1127" s="12"/>
      <x:c r="B1127" s="12"/>
      <x:c r="C1127" s="12"/>
      <x:c r="D1127" s="12"/>
      <x:c r="E1127" s="14"/>
      <x:c r="F1127" s="13" t="str">
        <x:f>IF($A1127="","",IF($D1127&lt;&gt;'Team Setup'!$B$4,"Other sprint",IF($C1127="","Unassigned",IF(OR(ISNUMBER(SEARCH(",",$C1127)),ISNUMBER(SEARCH(";",$C1127))),"Multiple assignees",IF(COUNTIF('Team Setup'!$B$10:$B$34,$C1127)=1,"Matched","Unmatched")))))</x:f>
      </x:c>
      <x:c r="G1127" s="13" t="str">
        <x:f>IF($A1127="","",IF($D1127&lt;&gt;'Team Setup'!$B$4,"Other sprint",IF($E1127="","Unestimated",IF(NOT(ISNUMBER($E1127)),"Check estimate in hours",IF($E1127&lt;0,"Check estimate in hours",IF($E1127=0,"Unestimated","Estimated"))))))</x:f>
      </x:c>
    </x:row>
    <x:row r="1128">
      <x:c r="A1128" s="12"/>
      <x:c r="B1128" s="12"/>
      <x:c r="C1128" s="12"/>
      <x:c r="D1128" s="12"/>
      <x:c r="E1128" s="14"/>
      <x:c r="F1128" s="13" t="str">
        <x:f>IF($A1128="","",IF($D1128&lt;&gt;'Team Setup'!$B$4,"Other sprint",IF($C1128="","Unassigned",IF(OR(ISNUMBER(SEARCH(",",$C1128)),ISNUMBER(SEARCH(";",$C1128))),"Multiple assignees",IF(COUNTIF('Team Setup'!$B$10:$B$34,$C1128)=1,"Matched","Unmatched")))))</x:f>
      </x:c>
      <x:c r="G1128" s="13" t="str">
        <x:f>IF($A1128="","",IF($D1128&lt;&gt;'Team Setup'!$B$4,"Other sprint",IF($E1128="","Unestimated",IF(NOT(ISNUMBER($E1128)),"Check estimate in hours",IF($E1128&lt;0,"Check estimate in hours",IF($E1128=0,"Unestimated","Estimated"))))))</x:f>
      </x:c>
    </x:row>
    <x:row r="1129">
      <x:c r="A1129" s="12"/>
      <x:c r="B1129" s="12"/>
      <x:c r="C1129" s="12"/>
      <x:c r="D1129" s="12"/>
      <x:c r="E1129" s="14"/>
      <x:c r="F1129" s="13" t="str">
        <x:f>IF($A1129="","",IF($D1129&lt;&gt;'Team Setup'!$B$4,"Other sprint",IF($C1129="","Unassigned",IF(OR(ISNUMBER(SEARCH(",",$C1129)),ISNUMBER(SEARCH(";",$C1129))),"Multiple assignees",IF(COUNTIF('Team Setup'!$B$10:$B$34,$C1129)=1,"Matched","Unmatched")))))</x:f>
      </x:c>
      <x:c r="G1129" s="13" t="str">
        <x:f>IF($A1129="","",IF($D1129&lt;&gt;'Team Setup'!$B$4,"Other sprint",IF($E1129="","Unestimated",IF(NOT(ISNUMBER($E1129)),"Check estimate in hours",IF($E1129&lt;0,"Check estimate in hours",IF($E1129=0,"Unestimated","Estimated"))))))</x:f>
      </x:c>
    </x:row>
    <x:row r="1130">
      <x:c r="A1130" s="12"/>
      <x:c r="B1130" s="12"/>
      <x:c r="C1130" s="12"/>
      <x:c r="D1130" s="12"/>
      <x:c r="E1130" s="14"/>
      <x:c r="F1130" s="13" t="str">
        <x:f>IF($A1130="","",IF($D1130&lt;&gt;'Team Setup'!$B$4,"Other sprint",IF($C1130="","Unassigned",IF(OR(ISNUMBER(SEARCH(",",$C1130)),ISNUMBER(SEARCH(";",$C1130))),"Multiple assignees",IF(COUNTIF('Team Setup'!$B$10:$B$34,$C1130)=1,"Matched","Unmatched")))))</x:f>
      </x:c>
      <x:c r="G1130" s="13" t="str">
        <x:f>IF($A1130="","",IF($D1130&lt;&gt;'Team Setup'!$B$4,"Other sprint",IF($E1130="","Unestimated",IF(NOT(ISNUMBER($E1130)),"Check estimate in hours",IF($E1130&lt;0,"Check estimate in hours",IF($E1130=0,"Unestimated","Estimated"))))))</x:f>
      </x:c>
    </x:row>
    <x:row r="1131">
      <x:c r="A1131" s="12"/>
      <x:c r="B1131" s="12"/>
      <x:c r="C1131" s="12"/>
      <x:c r="D1131" s="12"/>
      <x:c r="E1131" s="14"/>
      <x:c r="F1131" s="13" t="str">
        <x:f>IF($A1131="","",IF($D1131&lt;&gt;'Team Setup'!$B$4,"Other sprint",IF($C1131="","Unassigned",IF(OR(ISNUMBER(SEARCH(",",$C1131)),ISNUMBER(SEARCH(";",$C1131))),"Multiple assignees",IF(COUNTIF('Team Setup'!$B$10:$B$34,$C1131)=1,"Matched","Unmatched")))))</x:f>
      </x:c>
      <x:c r="G1131" s="13" t="str">
        <x:f>IF($A1131="","",IF($D1131&lt;&gt;'Team Setup'!$B$4,"Other sprint",IF($E1131="","Unestimated",IF(NOT(ISNUMBER($E1131)),"Check estimate in hours",IF($E1131&lt;0,"Check estimate in hours",IF($E1131=0,"Unestimated","Estimated"))))))</x:f>
      </x:c>
    </x:row>
    <x:row r="1132">
      <x:c r="A1132" s="12"/>
      <x:c r="B1132" s="12"/>
      <x:c r="C1132" s="12"/>
      <x:c r="D1132" s="12"/>
      <x:c r="E1132" s="14"/>
      <x:c r="F1132" s="13" t="str">
        <x:f>IF($A1132="","",IF($D1132&lt;&gt;'Team Setup'!$B$4,"Other sprint",IF($C1132="","Unassigned",IF(OR(ISNUMBER(SEARCH(",",$C1132)),ISNUMBER(SEARCH(";",$C1132))),"Multiple assignees",IF(COUNTIF('Team Setup'!$B$10:$B$34,$C1132)=1,"Matched","Unmatched")))))</x:f>
      </x:c>
      <x:c r="G1132" s="13" t="str">
        <x:f>IF($A1132="","",IF($D1132&lt;&gt;'Team Setup'!$B$4,"Other sprint",IF($E1132="","Unestimated",IF(NOT(ISNUMBER($E1132)),"Check estimate in hours",IF($E1132&lt;0,"Check estimate in hours",IF($E1132=0,"Unestimated","Estimated"))))))</x:f>
      </x:c>
    </x:row>
    <x:row r="1133">
      <x:c r="A1133" s="12"/>
      <x:c r="B1133" s="12"/>
      <x:c r="C1133" s="12"/>
      <x:c r="D1133" s="12"/>
      <x:c r="E1133" s="14"/>
      <x:c r="F1133" s="13" t="str">
        <x:f>IF($A1133="","",IF($D1133&lt;&gt;'Team Setup'!$B$4,"Other sprint",IF($C1133="","Unassigned",IF(OR(ISNUMBER(SEARCH(",",$C1133)),ISNUMBER(SEARCH(";",$C1133))),"Multiple assignees",IF(COUNTIF('Team Setup'!$B$10:$B$34,$C1133)=1,"Matched","Unmatched")))))</x:f>
      </x:c>
      <x:c r="G1133" s="13" t="str">
        <x:f>IF($A1133="","",IF($D1133&lt;&gt;'Team Setup'!$B$4,"Other sprint",IF($E1133="","Unestimated",IF(NOT(ISNUMBER($E1133)),"Check estimate in hours",IF($E1133&lt;0,"Check estimate in hours",IF($E1133=0,"Unestimated","Estimated"))))))</x:f>
      </x:c>
    </x:row>
    <x:row r="1134">
      <x:c r="A1134" s="12"/>
      <x:c r="B1134" s="12"/>
      <x:c r="C1134" s="12"/>
      <x:c r="D1134" s="12"/>
      <x:c r="E1134" s="14"/>
      <x:c r="F1134" s="13" t="str">
        <x:f>IF($A1134="","",IF($D1134&lt;&gt;'Team Setup'!$B$4,"Other sprint",IF($C1134="","Unassigned",IF(OR(ISNUMBER(SEARCH(",",$C1134)),ISNUMBER(SEARCH(";",$C1134))),"Multiple assignees",IF(COUNTIF('Team Setup'!$B$10:$B$34,$C1134)=1,"Matched","Unmatched")))))</x:f>
      </x:c>
      <x:c r="G1134" s="13" t="str">
        <x:f>IF($A1134="","",IF($D1134&lt;&gt;'Team Setup'!$B$4,"Other sprint",IF($E1134="","Unestimated",IF(NOT(ISNUMBER($E1134)),"Check estimate in hours",IF($E1134&lt;0,"Check estimate in hours",IF($E1134=0,"Unestimated","Estimated"))))))</x:f>
      </x:c>
    </x:row>
    <x:row r="1135">
      <x:c r="A1135" s="12"/>
      <x:c r="B1135" s="12"/>
      <x:c r="C1135" s="12"/>
      <x:c r="D1135" s="12"/>
      <x:c r="E1135" s="14"/>
      <x:c r="F1135" s="13" t="str">
        <x:f>IF($A1135="","",IF($D1135&lt;&gt;'Team Setup'!$B$4,"Other sprint",IF($C1135="","Unassigned",IF(OR(ISNUMBER(SEARCH(",",$C1135)),ISNUMBER(SEARCH(";",$C1135))),"Multiple assignees",IF(COUNTIF('Team Setup'!$B$10:$B$34,$C1135)=1,"Matched","Unmatched")))))</x:f>
      </x:c>
      <x:c r="G1135" s="13" t="str">
        <x:f>IF($A1135="","",IF($D1135&lt;&gt;'Team Setup'!$B$4,"Other sprint",IF($E1135="","Unestimated",IF(NOT(ISNUMBER($E1135)),"Check estimate in hours",IF($E1135&lt;0,"Check estimate in hours",IF($E1135=0,"Unestimated","Estimated"))))))</x:f>
      </x:c>
    </x:row>
    <x:row r="1136">
      <x:c r="A1136" s="12"/>
      <x:c r="B1136" s="12"/>
      <x:c r="C1136" s="12"/>
      <x:c r="D1136" s="12"/>
      <x:c r="E1136" s="14"/>
      <x:c r="F1136" s="13" t="str">
        <x:f>IF($A1136="","",IF($D1136&lt;&gt;'Team Setup'!$B$4,"Other sprint",IF($C1136="","Unassigned",IF(OR(ISNUMBER(SEARCH(",",$C1136)),ISNUMBER(SEARCH(";",$C1136))),"Multiple assignees",IF(COUNTIF('Team Setup'!$B$10:$B$34,$C1136)=1,"Matched","Unmatched")))))</x:f>
      </x:c>
      <x:c r="G1136" s="13" t="str">
        <x:f>IF($A1136="","",IF($D1136&lt;&gt;'Team Setup'!$B$4,"Other sprint",IF($E1136="","Unestimated",IF(NOT(ISNUMBER($E1136)),"Check estimate in hours",IF($E1136&lt;0,"Check estimate in hours",IF($E1136=0,"Unestimated","Estimated"))))))</x:f>
      </x:c>
    </x:row>
    <x:row r="1137">
      <x:c r="A1137" s="12"/>
      <x:c r="B1137" s="12"/>
      <x:c r="C1137" s="12"/>
      <x:c r="D1137" s="12"/>
      <x:c r="E1137" s="14"/>
      <x:c r="F1137" s="13" t="str">
        <x:f>IF($A1137="","",IF($D1137&lt;&gt;'Team Setup'!$B$4,"Other sprint",IF($C1137="","Unassigned",IF(OR(ISNUMBER(SEARCH(",",$C1137)),ISNUMBER(SEARCH(";",$C1137))),"Multiple assignees",IF(COUNTIF('Team Setup'!$B$10:$B$34,$C1137)=1,"Matched","Unmatched")))))</x:f>
      </x:c>
      <x:c r="G1137" s="13" t="str">
        <x:f>IF($A1137="","",IF($D1137&lt;&gt;'Team Setup'!$B$4,"Other sprint",IF($E1137="","Unestimated",IF(NOT(ISNUMBER($E1137)),"Check estimate in hours",IF($E1137&lt;0,"Check estimate in hours",IF($E1137=0,"Unestimated","Estimated"))))))</x:f>
      </x:c>
    </x:row>
    <x:row r="1138">
      <x:c r="A1138" s="12"/>
      <x:c r="B1138" s="12"/>
      <x:c r="C1138" s="12"/>
      <x:c r="D1138" s="12"/>
      <x:c r="E1138" s="14"/>
      <x:c r="F1138" s="13" t="str">
        <x:f>IF($A1138="","",IF($D1138&lt;&gt;'Team Setup'!$B$4,"Other sprint",IF($C1138="","Unassigned",IF(OR(ISNUMBER(SEARCH(",",$C1138)),ISNUMBER(SEARCH(";",$C1138))),"Multiple assignees",IF(COUNTIF('Team Setup'!$B$10:$B$34,$C1138)=1,"Matched","Unmatched")))))</x:f>
      </x:c>
      <x:c r="G1138" s="13" t="str">
        <x:f>IF($A1138="","",IF($D1138&lt;&gt;'Team Setup'!$B$4,"Other sprint",IF($E1138="","Unestimated",IF(NOT(ISNUMBER($E1138)),"Check estimate in hours",IF($E1138&lt;0,"Check estimate in hours",IF($E1138=0,"Unestimated","Estimated"))))))</x:f>
      </x:c>
    </x:row>
    <x:row r="1139">
      <x:c r="A1139" s="12"/>
      <x:c r="B1139" s="12"/>
      <x:c r="C1139" s="12"/>
      <x:c r="D1139" s="12"/>
      <x:c r="E1139" s="14"/>
      <x:c r="F1139" s="13" t="str">
        <x:f>IF($A1139="","",IF($D1139&lt;&gt;'Team Setup'!$B$4,"Other sprint",IF($C1139="","Unassigned",IF(OR(ISNUMBER(SEARCH(",",$C1139)),ISNUMBER(SEARCH(";",$C1139))),"Multiple assignees",IF(COUNTIF('Team Setup'!$B$10:$B$34,$C1139)=1,"Matched","Unmatched")))))</x:f>
      </x:c>
      <x:c r="G1139" s="13" t="str">
        <x:f>IF($A1139="","",IF($D1139&lt;&gt;'Team Setup'!$B$4,"Other sprint",IF($E1139="","Unestimated",IF(NOT(ISNUMBER($E1139)),"Check estimate in hours",IF($E1139&lt;0,"Check estimate in hours",IF($E1139=0,"Unestimated","Estimated"))))))</x:f>
      </x:c>
    </x:row>
    <x:row r="1140">
      <x:c r="A1140" s="12"/>
      <x:c r="B1140" s="12"/>
      <x:c r="C1140" s="12"/>
      <x:c r="D1140" s="12"/>
      <x:c r="E1140" s="14"/>
      <x:c r="F1140" s="13" t="str">
        <x:f>IF($A1140="","",IF($D1140&lt;&gt;'Team Setup'!$B$4,"Other sprint",IF($C1140="","Unassigned",IF(OR(ISNUMBER(SEARCH(",",$C1140)),ISNUMBER(SEARCH(";",$C1140))),"Multiple assignees",IF(COUNTIF('Team Setup'!$B$10:$B$34,$C1140)=1,"Matched","Unmatched")))))</x:f>
      </x:c>
      <x:c r="G1140" s="13" t="str">
        <x:f>IF($A1140="","",IF($D1140&lt;&gt;'Team Setup'!$B$4,"Other sprint",IF($E1140="","Unestimated",IF(NOT(ISNUMBER($E1140)),"Check estimate in hours",IF($E1140&lt;0,"Check estimate in hours",IF($E1140=0,"Unestimated","Estimated"))))))</x:f>
      </x:c>
    </x:row>
    <x:row r="1141">
      <x:c r="A1141" s="12"/>
      <x:c r="B1141" s="12"/>
      <x:c r="C1141" s="12"/>
      <x:c r="D1141" s="12"/>
      <x:c r="E1141" s="14"/>
      <x:c r="F1141" s="13" t="str">
        <x:f>IF($A1141="","",IF($D1141&lt;&gt;'Team Setup'!$B$4,"Other sprint",IF($C1141="","Unassigned",IF(OR(ISNUMBER(SEARCH(",",$C1141)),ISNUMBER(SEARCH(";",$C1141))),"Multiple assignees",IF(COUNTIF('Team Setup'!$B$10:$B$34,$C1141)=1,"Matched","Unmatched")))))</x:f>
      </x:c>
      <x:c r="G1141" s="13" t="str">
        <x:f>IF($A1141="","",IF($D1141&lt;&gt;'Team Setup'!$B$4,"Other sprint",IF($E1141="","Unestimated",IF(NOT(ISNUMBER($E1141)),"Check estimate in hours",IF($E1141&lt;0,"Check estimate in hours",IF($E1141=0,"Unestimated","Estimated"))))))</x:f>
      </x:c>
    </x:row>
    <x:row r="1142">
      <x:c r="A1142" s="12"/>
      <x:c r="B1142" s="12"/>
      <x:c r="C1142" s="12"/>
      <x:c r="D1142" s="12"/>
      <x:c r="E1142" s="14"/>
      <x:c r="F1142" s="13" t="str">
        <x:f>IF($A1142="","",IF($D1142&lt;&gt;'Team Setup'!$B$4,"Other sprint",IF($C1142="","Unassigned",IF(OR(ISNUMBER(SEARCH(",",$C1142)),ISNUMBER(SEARCH(";",$C1142))),"Multiple assignees",IF(COUNTIF('Team Setup'!$B$10:$B$34,$C1142)=1,"Matched","Unmatched")))))</x:f>
      </x:c>
      <x:c r="G1142" s="13" t="str">
        <x:f>IF($A1142="","",IF($D1142&lt;&gt;'Team Setup'!$B$4,"Other sprint",IF($E1142="","Unestimated",IF(NOT(ISNUMBER($E1142)),"Check estimate in hours",IF($E1142&lt;0,"Check estimate in hours",IF($E1142=0,"Unestimated","Estimated"))))))</x:f>
      </x:c>
    </x:row>
    <x:row r="1143">
      <x:c r="A1143" s="12"/>
      <x:c r="B1143" s="12"/>
      <x:c r="C1143" s="12"/>
      <x:c r="D1143" s="12"/>
      <x:c r="E1143" s="14"/>
      <x:c r="F1143" s="13" t="str">
        <x:f>IF($A1143="","",IF($D1143&lt;&gt;'Team Setup'!$B$4,"Other sprint",IF($C1143="","Unassigned",IF(OR(ISNUMBER(SEARCH(",",$C1143)),ISNUMBER(SEARCH(";",$C1143))),"Multiple assignees",IF(COUNTIF('Team Setup'!$B$10:$B$34,$C1143)=1,"Matched","Unmatched")))))</x:f>
      </x:c>
      <x:c r="G1143" s="13" t="str">
        <x:f>IF($A1143="","",IF($D1143&lt;&gt;'Team Setup'!$B$4,"Other sprint",IF($E1143="","Unestimated",IF(NOT(ISNUMBER($E1143)),"Check estimate in hours",IF($E1143&lt;0,"Check estimate in hours",IF($E1143=0,"Unestimated","Estimated"))))))</x:f>
      </x:c>
    </x:row>
    <x:row r="1144">
      <x:c r="A1144" s="12"/>
      <x:c r="B1144" s="12"/>
      <x:c r="C1144" s="12"/>
      <x:c r="D1144" s="12"/>
      <x:c r="E1144" s="14"/>
      <x:c r="F1144" s="13" t="str">
        <x:f>IF($A1144="","",IF($D1144&lt;&gt;'Team Setup'!$B$4,"Other sprint",IF($C1144="","Unassigned",IF(OR(ISNUMBER(SEARCH(",",$C1144)),ISNUMBER(SEARCH(";",$C1144))),"Multiple assignees",IF(COUNTIF('Team Setup'!$B$10:$B$34,$C1144)=1,"Matched","Unmatched")))))</x:f>
      </x:c>
      <x:c r="G1144" s="13" t="str">
        <x:f>IF($A1144="","",IF($D1144&lt;&gt;'Team Setup'!$B$4,"Other sprint",IF($E1144="","Unestimated",IF(NOT(ISNUMBER($E1144)),"Check estimate in hours",IF($E1144&lt;0,"Check estimate in hours",IF($E1144=0,"Unestimated","Estimated"))))))</x:f>
      </x:c>
    </x:row>
    <x:row r="1145">
      <x:c r="A1145" s="12"/>
      <x:c r="B1145" s="12"/>
      <x:c r="C1145" s="12"/>
      <x:c r="D1145" s="12"/>
      <x:c r="E1145" s="14"/>
      <x:c r="F1145" s="13" t="str">
        <x:f>IF($A1145="","",IF($D1145&lt;&gt;'Team Setup'!$B$4,"Other sprint",IF($C1145="","Unassigned",IF(OR(ISNUMBER(SEARCH(",",$C1145)),ISNUMBER(SEARCH(";",$C1145))),"Multiple assignees",IF(COUNTIF('Team Setup'!$B$10:$B$34,$C1145)=1,"Matched","Unmatched")))))</x:f>
      </x:c>
      <x:c r="G1145" s="13" t="str">
        <x:f>IF($A1145="","",IF($D1145&lt;&gt;'Team Setup'!$B$4,"Other sprint",IF($E1145="","Unestimated",IF(NOT(ISNUMBER($E1145)),"Check estimate in hours",IF($E1145&lt;0,"Check estimate in hours",IF($E1145=0,"Unestimated","Estimated"))))))</x:f>
      </x:c>
    </x:row>
    <x:row r="1146">
      <x:c r="A1146" s="12"/>
      <x:c r="B1146" s="12"/>
      <x:c r="C1146" s="12"/>
      <x:c r="D1146" s="12"/>
      <x:c r="E1146" s="14"/>
      <x:c r="F1146" s="13" t="str">
        <x:f>IF($A1146="","",IF($D1146&lt;&gt;'Team Setup'!$B$4,"Other sprint",IF($C1146="","Unassigned",IF(OR(ISNUMBER(SEARCH(",",$C1146)),ISNUMBER(SEARCH(";",$C1146))),"Multiple assignees",IF(COUNTIF('Team Setup'!$B$10:$B$34,$C1146)=1,"Matched","Unmatched")))))</x:f>
      </x:c>
      <x:c r="G1146" s="13" t="str">
        <x:f>IF($A1146="","",IF($D1146&lt;&gt;'Team Setup'!$B$4,"Other sprint",IF($E1146="","Unestimated",IF(NOT(ISNUMBER($E1146)),"Check estimate in hours",IF($E1146&lt;0,"Check estimate in hours",IF($E1146=0,"Unestimated","Estimated"))))))</x:f>
      </x:c>
    </x:row>
    <x:row r="1147">
      <x:c r="A1147" s="12"/>
      <x:c r="B1147" s="12"/>
      <x:c r="C1147" s="12"/>
      <x:c r="D1147" s="12"/>
      <x:c r="E1147" s="14"/>
      <x:c r="F1147" s="13" t="str">
        <x:f>IF($A1147="","",IF($D1147&lt;&gt;'Team Setup'!$B$4,"Other sprint",IF($C1147="","Unassigned",IF(OR(ISNUMBER(SEARCH(",",$C1147)),ISNUMBER(SEARCH(";",$C1147))),"Multiple assignees",IF(COUNTIF('Team Setup'!$B$10:$B$34,$C1147)=1,"Matched","Unmatched")))))</x:f>
      </x:c>
      <x:c r="G1147" s="13" t="str">
        <x:f>IF($A1147="","",IF($D1147&lt;&gt;'Team Setup'!$B$4,"Other sprint",IF($E1147="","Unestimated",IF(NOT(ISNUMBER($E1147)),"Check estimate in hours",IF($E1147&lt;0,"Check estimate in hours",IF($E1147=0,"Unestimated","Estimated"))))))</x:f>
      </x:c>
    </x:row>
    <x:row r="1148">
      <x:c r="A1148" s="12"/>
      <x:c r="B1148" s="12"/>
      <x:c r="C1148" s="12"/>
      <x:c r="D1148" s="12"/>
      <x:c r="E1148" s="14"/>
      <x:c r="F1148" s="13" t="str">
        <x:f>IF($A1148="","",IF($D1148&lt;&gt;'Team Setup'!$B$4,"Other sprint",IF($C1148="","Unassigned",IF(OR(ISNUMBER(SEARCH(",",$C1148)),ISNUMBER(SEARCH(";",$C1148))),"Multiple assignees",IF(COUNTIF('Team Setup'!$B$10:$B$34,$C1148)=1,"Matched","Unmatched")))))</x:f>
      </x:c>
      <x:c r="G1148" s="13" t="str">
        <x:f>IF($A1148="","",IF($D1148&lt;&gt;'Team Setup'!$B$4,"Other sprint",IF($E1148="","Unestimated",IF(NOT(ISNUMBER($E1148)),"Check estimate in hours",IF($E1148&lt;0,"Check estimate in hours",IF($E1148=0,"Unestimated","Estimated"))))))</x:f>
      </x:c>
    </x:row>
    <x:row r="1149">
      <x:c r="A1149" s="12"/>
      <x:c r="B1149" s="12"/>
      <x:c r="C1149" s="12"/>
      <x:c r="D1149" s="12"/>
      <x:c r="E1149" s="14"/>
      <x:c r="F1149" s="13" t="str">
        <x:f>IF($A1149="","",IF($D1149&lt;&gt;'Team Setup'!$B$4,"Other sprint",IF($C1149="","Unassigned",IF(OR(ISNUMBER(SEARCH(",",$C1149)),ISNUMBER(SEARCH(";",$C1149))),"Multiple assignees",IF(COUNTIF('Team Setup'!$B$10:$B$34,$C1149)=1,"Matched","Unmatched")))))</x:f>
      </x:c>
      <x:c r="G1149" s="13" t="str">
        <x:f>IF($A1149="","",IF($D1149&lt;&gt;'Team Setup'!$B$4,"Other sprint",IF($E1149="","Unestimated",IF(NOT(ISNUMBER($E1149)),"Check estimate in hours",IF($E1149&lt;0,"Check estimate in hours",IF($E1149=0,"Unestimated","Estimated"))))))</x:f>
      </x:c>
    </x:row>
    <x:row r="1150">
      <x:c r="A1150" s="12"/>
      <x:c r="B1150" s="12"/>
      <x:c r="C1150" s="12"/>
      <x:c r="D1150" s="12"/>
      <x:c r="E1150" s="14"/>
      <x:c r="F1150" s="13" t="str">
        <x:f>IF($A1150="","",IF($D1150&lt;&gt;'Team Setup'!$B$4,"Other sprint",IF($C1150="","Unassigned",IF(OR(ISNUMBER(SEARCH(",",$C1150)),ISNUMBER(SEARCH(";",$C1150))),"Multiple assignees",IF(COUNTIF('Team Setup'!$B$10:$B$34,$C1150)=1,"Matched","Unmatched")))))</x:f>
      </x:c>
      <x:c r="G1150" s="13" t="str">
        <x:f>IF($A1150="","",IF($D1150&lt;&gt;'Team Setup'!$B$4,"Other sprint",IF($E1150="","Unestimated",IF(NOT(ISNUMBER($E1150)),"Check estimate in hours",IF($E1150&lt;0,"Check estimate in hours",IF($E1150=0,"Unestimated","Estimated"))))))</x:f>
      </x:c>
    </x:row>
    <x:row r="1151">
      <x:c r="A1151" s="12"/>
      <x:c r="B1151" s="12"/>
      <x:c r="C1151" s="12"/>
      <x:c r="D1151" s="12"/>
      <x:c r="E1151" s="14"/>
      <x:c r="F1151" s="13" t="str">
        <x:f>IF($A1151="","",IF($D1151&lt;&gt;'Team Setup'!$B$4,"Other sprint",IF($C1151="","Unassigned",IF(OR(ISNUMBER(SEARCH(",",$C1151)),ISNUMBER(SEARCH(";",$C1151))),"Multiple assignees",IF(COUNTIF('Team Setup'!$B$10:$B$34,$C1151)=1,"Matched","Unmatched")))))</x:f>
      </x:c>
      <x:c r="G1151" s="13" t="str">
        <x:f>IF($A1151="","",IF($D1151&lt;&gt;'Team Setup'!$B$4,"Other sprint",IF($E1151="","Unestimated",IF(NOT(ISNUMBER($E1151)),"Check estimate in hours",IF($E1151&lt;0,"Check estimate in hours",IF($E1151=0,"Unestimated","Estimated"))))))</x:f>
      </x:c>
    </x:row>
    <x:row r="1152">
      <x:c r="A1152" s="12"/>
      <x:c r="B1152" s="12"/>
      <x:c r="C1152" s="12"/>
      <x:c r="D1152" s="12"/>
      <x:c r="E1152" s="14"/>
      <x:c r="F1152" s="13" t="str">
        <x:f>IF($A1152="","",IF($D1152&lt;&gt;'Team Setup'!$B$4,"Other sprint",IF($C1152="","Unassigned",IF(OR(ISNUMBER(SEARCH(",",$C1152)),ISNUMBER(SEARCH(";",$C1152))),"Multiple assignees",IF(COUNTIF('Team Setup'!$B$10:$B$34,$C1152)=1,"Matched","Unmatched")))))</x:f>
      </x:c>
      <x:c r="G1152" s="13" t="str">
        <x:f>IF($A1152="","",IF($D1152&lt;&gt;'Team Setup'!$B$4,"Other sprint",IF($E1152="","Unestimated",IF(NOT(ISNUMBER($E1152)),"Check estimate in hours",IF($E1152&lt;0,"Check estimate in hours",IF($E1152=0,"Unestimated","Estimated"))))))</x:f>
      </x:c>
    </x:row>
    <x:row r="1153">
      <x:c r="A1153" s="12"/>
      <x:c r="B1153" s="12"/>
      <x:c r="C1153" s="12"/>
      <x:c r="D1153" s="12"/>
      <x:c r="E1153" s="14"/>
      <x:c r="F1153" s="13" t="str">
        <x:f>IF($A1153="","",IF($D1153&lt;&gt;'Team Setup'!$B$4,"Other sprint",IF($C1153="","Unassigned",IF(OR(ISNUMBER(SEARCH(",",$C1153)),ISNUMBER(SEARCH(";",$C1153))),"Multiple assignees",IF(COUNTIF('Team Setup'!$B$10:$B$34,$C1153)=1,"Matched","Unmatched")))))</x:f>
      </x:c>
      <x:c r="G1153" s="13" t="str">
        <x:f>IF($A1153="","",IF($D1153&lt;&gt;'Team Setup'!$B$4,"Other sprint",IF($E1153="","Unestimated",IF(NOT(ISNUMBER($E1153)),"Check estimate in hours",IF($E1153&lt;0,"Check estimate in hours",IF($E1153=0,"Unestimated","Estimated"))))))</x:f>
      </x:c>
    </x:row>
    <x:row r="1154">
      <x:c r="A1154" s="12"/>
      <x:c r="B1154" s="12"/>
      <x:c r="C1154" s="12"/>
      <x:c r="D1154" s="12"/>
      <x:c r="E1154" s="14"/>
      <x:c r="F1154" s="13" t="str">
        <x:f>IF($A1154="","",IF($D1154&lt;&gt;'Team Setup'!$B$4,"Other sprint",IF($C1154="","Unassigned",IF(OR(ISNUMBER(SEARCH(",",$C1154)),ISNUMBER(SEARCH(";",$C1154))),"Multiple assignees",IF(COUNTIF('Team Setup'!$B$10:$B$34,$C1154)=1,"Matched","Unmatched")))))</x:f>
      </x:c>
      <x:c r="G1154" s="13" t="str">
        <x:f>IF($A1154="","",IF($D1154&lt;&gt;'Team Setup'!$B$4,"Other sprint",IF($E1154="","Unestimated",IF(NOT(ISNUMBER($E1154)),"Check estimate in hours",IF($E1154&lt;0,"Check estimate in hours",IF($E1154=0,"Unestimated","Estimated"))))))</x:f>
      </x:c>
    </x:row>
    <x:row r="1155">
      <x:c r="A1155" s="12"/>
      <x:c r="B1155" s="12"/>
      <x:c r="C1155" s="12"/>
      <x:c r="D1155" s="12"/>
      <x:c r="E1155" s="14"/>
      <x:c r="F1155" s="13" t="str">
        <x:f>IF($A1155="","",IF($D1155&lt;&gt;'Team Setup'!$B$4,"Other sprint",IF($C1155="","Unassigned",IF(OR(ISNUMBER(SEARCH(",",$C1155)),ISNUMBER(SEARCH(";",$C1155))),"Multiple assignees",IF(COUNTIF('Team Setup'!$B$10:$B$34,$C1155)=1,"Matched","Unmatched")))))</x:f>
      </x:c>
      <x:c r="G1155" s="13" t="str">
        <x:f>IF($A1155="","",IF($D1155&lt;&gt;'Team Setup'!$B$4,"Other sprint",IF($E1155="","Unestimated",IF(NOT(ISNUMBER($E1155)),"Check estimate in hours",IF($E1155&lt;0,"Check estimate in hours",IF($E1155=0,"Unestimated","Estimated"))))))</x:f>
      </x:c>
    </x:row>
    <x:row r="1156">
      <x:c r="A1156" s="12"/>
      <x:c r="B1156" s="12"/>
      <x:c r="C1156" s="12"/>
      <x:c r="D1156" s="12"/>
      <x:c r="E1156" s="14"/>
      <x:c r="F1156" s="13" t="str">
        <x:f>IF($A1156="","",IF($D1156&lt;&gt;'Team Setup'!$B$4,"Other sprint",IF($C1156="","Unassigned",IF(OR(ISNUMBER(SEARCH(",",$C1156)),ISNUMBER(SEARCH(";",$C1156))),"Multiple assignees",IF(COUNTIF('Team Setup'!$B$10:$B$34,$C1156)=1,"Matched","Unmatched")))))</x:f>
      </x:c>
      <x:c r="G1156" s="13" t="str">
        <x:f>IF($A1156="","",IF($D1156&lt;&gt;'Team Setup'!$B$4,"Other sprint",IF($E1156="","Unestimated",IF(NOT(ISNUMBER($E1156)),"Check estimate in hours",IF($E1156&lt;0,"Check estimate in hours",IF($E1156=0,"Unestimated","Estimated"))))))</x:f>
      </x:c>
    </x:row>
    <x:row r="1157">
      <x:c r="A1157" s="12"/>
      <x:c r="B1157" s="12"/>
      <x:c r="C1157" s="12"/>
      <x:c r="D1157" s="12"/>
      <x:c r="E1157" s="14"/>
      <x:c r="F1157" s="13" t="str">
        <x:f>IF($A1157="","",IF($D1157&lt;&gt;'Team Setup'!$B$4,"Other sprint",IF($C1157="","Unassigned",IF(OR(ISNUMBER(SEARCH(",",$C1157)),ISNUMBER(SEARCH(";",$C1157))),"Multiple assignees",IF(COUNTIF('Team Setup'!$B$10:$B$34,$C1157)=1,"Matched","Unmatched")))))</x:f>
      </x:c>
      <x:c r="G1157" s="13" t="str">
        <x:f>IF($A1157="","",IF($D1157&lt;&gt;'Team Setup'!$B$4,"Other sprint",IF($E1157="","Unestimated",IF(NOT(ISNUMBER($E1157)),"Check estimate in hours",IF($E1157&lt;0,"Check estimate in hours",IF($E1157=0,"Unestimated","Estimated"))))))</x:f>
      </x:c>
    </x:row>
    <x:row r="1158">
      <x:c r="A1158" s="12"/>
      <x:c r="B1158" s="12"/>
      <x:c r="C1158" s="12"/>
      <x:c r="D1158" s="12"/>
      <x:c r="E1158" s="14"/>
      <x:c r="F1158" s="13" t="str">
        <x:f>IF($A1158="","",IF($D1158&lt;&gt;'Team Setup'!$B$4,"Other sprint",IF($C1158="","Unassigned",IF(OR(ISNUMBER(SEARCH(",",$C1158)),ISNUMBER(SEARCH(";",$C1158))),"Multiple assignees",IF(COUNTIF('Team Setup'!$B$10:$B$34,$C1158)=1,"Matched","Unmatched")))))</x:f>
      </x:c>
      <x:c r="G1158" s="13" t="str">
        <x:f>IF($A1158="","",IF($D1158&lt;&gt;'Team Setup'!$B$4,"Other sprint",IF($E1158="","Unestimated",IF(NOT(ISNUMBER($E1158)),"Check estimate in hours",IF($E1158&lt;0,"Check estimate in hours",IF($E1158=0,"Unestimated","Estimated"))))))</x:f>
      </x:c>
    </x:row>
    <x:row r="1159">
      <x:c r="A1159" s="12"/>
      <x:c r="B1159" s="12"/>
      <x:c r="C1159" s="12"/>
      <x:c r="D1159" s="12"/>
      <x:c r="E1159" s="14"/>
      <x:c r="F1159" s="13" t="str">
        <x:f>IF($A1159="","",IF($D1159&lt;&gt;'Team Setup'!$B$4,"Other sprint",IF($C1159="","Unassigned",IF(OR(ISNUMBER(SEARCH(",",$C1159)),ISNUMBER(SEARCH(";",$C1159))),"Multiple assignees",IF(COUNTIF('Team Setup'!$B$10:$B$34,$C1159)=1,"Matched","Unmatched")))))</x:f>
      </x:c>
      <x:c r="G1159" s="13" t="str">
        <x:f>IF($A1159="","",IF($D1159&lt;&gt;'Team Setup'!$B$4,"Other sprint",IF($E1159="","Unestimated",IF(NOT(ISNUMBER($E1159)),"Check estimate in hours",IF($E1159&lt;0,"Check estimate in hours",IF($E1159=0,"Unestimated","Estimated"))))))</x:f>
      </x:c>
    </x:row>
    <x:row r="1160">
      <x:c r="A1160" s="12"/>
      <x:c r="B1160" s="12"/>
      <x:c r="C1160" s="12"/>
      <x:c r="D1160" s="12"/>
      <x:c r="E1160" s="14"/>
      <x:c r="F1160" s="13" t="str">
        <x:f>IF($A1160="","",IF($D1160&lt;&gt;'Team Setup'!$B$4,"Other sprint",IF($C1160="","Unassigned",IF(OR(ISNUMBER(SEARCH(",",$C1160)),ISNUMBER(SEARCH(";",$C1160))),"Multiple assignees",IF(COUNTIF('Team Setup'!$B$10:$B$34,$C1160)=1,"Matched","Unmatched")))))</x:f>
      </x:c>
      <x:c r="G1160" s="13" t="str">
        <x:f>IF($A1160="","",IF($D1160&lt;&gt;'Team Setup'!$B$4,"Other sprint",IF($E1160="","Unestimated",IF(NOT(ISNUMBER($E1160)),"Check estimate in hours",IF($E1160&lt;0,"Check estimate in hours",IF($E1160=0,"Unestimated","Estimated"))))))</x:f>
      </x:c>
    </x:row>
    <x:row r="1161">
      <x:c r="A1161" s="12"/>
      <x:c r="B1161" s="12"/>
      <x:c r="C1161" s="12"/>
      <x:c r="D1161" s="12"/>
      <x:c r="E1161" s="14"/>
      <x:c r="F1161" s="13" t="str">
        <x:f>IF($A1161="","",IF($D1161&lt;&gt;'Team Setup'!$B$4,"Other sprint",IF($C1161="","Unassigned",IF(OR(ISNUMBER(SEARCH(",",$C1161)),ISNUMBER(SEARCH(";",$C1161))),"Multiple assignees",IF(COUNTIF('Team Setup'!$B$10:$B$34,$C1161)=1,"Matched","Unmatched")))))</x:f>
      </x:c>
      <x:c r="G1161" s="13" t="str">
        <x:f>IF($A1161="","",IF($D1161&lt;&gt;'Team Setup'!$B$4,"Other sprint",IF($E1161="","Unestimated",IF(NOT(ISNUMBER($E1161)),"Check estimate in hours",IF($E1161&lt;0,"Check estimate in hours",IF($E1161=0,"Unestimated","Estimated"))))))</x:f>
      </x:c>
    </x:row>
    <x:row r="1162">
      <x:c r="A1162" s="12"/>
      <x:c r="B1162" s="12"/>
      <x:c r="C1162" s="12"/>
      <x:c r="D1162" s="12"/>
      <x:c r="E1162" s="14"/>
      <x:c r="F1162" s="13" t="str">
        <x:f>IF($A1162="","",IF($D1162&lt;&gt;'Team Setup'!$B$4,"Other sprint",IF($C1162="","Unassigned",IF(OR(ISNUMBER(SEARCH(",",$C1162)),ISNUMBER(SEARCH(";",$C1162))),"Multiple assignees",IF(COUNTIF('Team Setup'!$B$10:$B$34,$C1162)=1,"Matched","Unmatched")))))</x:f>
      </x:c>
      <x:c r="G1162" s="13" t="str">
        <x:f>IF($A1162="","",IF($D1162&lt;&gt;'Team Setup'!$B$4,"Other sprint",IF($E1162="","Unestimated",IF(NOT(ISNUMBER($E1162)),"Check estimate in hours",IF($E1162&lt;0,"Check estimate in hours",IF($E1162=0,"Unestimated","Estimated"))))))</x:f>
      </x:c>
    </x:row>
    <x:row r="1163">
      <x:c r="A1163" s="12"/>
      <x:c r="B1163" s="12"/>
      <x:c r="C1163" s="12"/>
      <x:c r="D1163" s="12"/>
      <x:c r="E1163" s="14"/>
      <x:c r="F1163" s="13" t="str">
        <x:f>IF($A1163="","",IF($D1163&lt;&gt;'Team Setup'!$B$4,"Other sprint",IF($C1163="","Unassigned",IF(OR(ISNUMBER(SEARCH(",",$C1163)),ISNUMBER(SEARCH(";",$C1163))),"Multiple assignees",IF(COUNTIF('Team Setup'!$B$10:$B$34,$C1163)=1,"Matched","Unmatched")))))</x:f>
      </x:c>
      <x:c r="G1163" s="13" t="str">
        <x:f>IF($A1163="","",IF($D1163&lt;&gt;'Team Setup'!$B$4,"Other sprint",IF($E1163="","Unestimated",IF(NOT(ISNUMBER($E1163)),"Check estimate in hours",IF($E1163&lt;0,"Check estimate in hours",IF($E1163=0,"Unestimated","Estimated"))))))</x:f>
      </x:c>
    </x:row>
    <x:row r="1164">
      <x:c r="A1164" s="12"/>
      <x:c r="B1164" s="12"/>
      <x:c r="C1164" s="12"/>
      <x:c r="D1164" s="12"/>
      <x:c r="E1164" s="14"/>
      <x:c r="F1164" s="13" t="str">
        <x:f>IF($A1164="","",IF($D1164&lt;&gt;'Team Setup'!$B$4,"Other sprint",IF($C1164="","Unassigned",IF(OR(ISNUMBER(SEARCH(",",$C1164)),ISNUMBER(SEARCH(";",$C1164))),"Multiple assignees",IF(COUNTIF('Team Setup'!$B$10:$B$34,$C1164)=1,"Matched","Unmatched")))))</x:f>
      </x:c>
      <x:c r="G1164" s="13" t="str">
        <x:f>IF($A1164="","",IF($D1164&lt;&gt;'Team Setup'!$B$4,"Other sprint",IF($E1164="","Unestimated",IF(NOT(ISNUMBER($E1164)),"Check estimate in hours",IF($E1164&lt;0,"Check estimate in hours",IF($E1164=0,"Unestimated","Estimated"))))))</x:f>
      </x:c>
    </x:row>
    <x:row r="1165">
      <x:c r="A1165" s="12"/>
      <x:c r="B1165" s="12"/>
      <x:c r="C1165" s="12"/>
      <x:c r="D1165" s="12"/>
      <x:c r="E1165" s="14"/>
      <x:c r="F1165" s="13" t="str">
        <x:f>IF($A1165="","",IF($D1165&lt;&gt;'Team Setup'!$B$4,"Other sprint",IF($C1165="","Unassigned",IF(OR(ISNUMBER(SEARCH(",",$C1165)),ISNUMBER(SEARCH(";",$C1165))),"Multiple assignees",IF(COUNTIF('Team Setup'!$B$10:$B$34,$C1165)=1,"Matched","Unmatched")))))</x:f>
      </x:c>
      <x:c r="G1165" s="13" t="str">
        <x:f>IF($A1165="","",IF($D1165&lt;&gt;'Team Setup'!$B$4,"Other sprint",IF($E1165="","Unestimated",IF(NOT(ISNUMBER($E1165)),"Check estimate in hours",IF($E1165&lt;0,"Check estimate in hours",IF($E1165=0,"Unestimated","Estimated"))))))</x:f>
      </x:c>
    </x:row>
    <x:row r="1166">
      <x:c r="A1166" s="12"/>
      <x:c r="B1166" s="12"/>
      <x:c r="C1166" s="12"/>
      <x:c r="D1166" s="12"/>
      <x:c r="E1166" s="14"/>
      <x:c r="F1166" s="13" t="str">
        <x:f>IF($A1166="","",IF($D1166&lt;&gt;'Team Setup'!$B$4,"Other sprint",IF($C1166="","Unassigned",IF(OR(ISNUMBER(SEARCH(",",$C1166)),ISNUMBER(SEARCH(";",$C1166))),"Multiple assignees",IF(COUNTIF('Team Setup'!$B$10:$B$34,$C1166)=1,"Matched","Unmatched")))))</x:f>
      </x:c>
      <x:c r="G1166" s="13" t="str">
        <x:f>IF($A1166="","",IF($D1166&lt;&gt;'Team Setup'!$B$4,"Other sprint",IF($E1166="","Unestimated",IF(NOT(ISNUMBER($E1166)),"Check estimate in hours",IF($E1166&lt;0,"Check estimate in hours",IF($E1166=0,"Unestimated","Estimated"))))))</x:f>
      </x:c>
    </x:row>
    <x:row r="1167">
      <x:c r="A1167" s="12"/>
      <x:c r="B1167" s="12"/>
      <x:c r="C1167" s="12"/>
      <x:c r="D1167" s="12"/>
      <x:c r="E1167" s="14"/>
      <x:c r="F1167" s="13" t="str">
        <x:f>IF($A1167="","",IF($D1167&lt;&gt;'Team Setup'!$B$4,"Other sprint",IF($C1167="","Unassigned",IF(OR(ISNUMBER(SEARCH(",",$C1167)),ISNUMBER(SEARCH(";",$C1167))),"Multiple assignees",IF(COUNTIF('Team Setup'!$B$10:$B$34,$C1167)=1,"Matched","Unmatched")))))</x:f>
      </x:c>
      <x:c r="G1167" s="13" t="str">
        <x:f>IF($A1167="","",IF($D1167&lt;&gt;'Team Setup'!$B$4,"Other sprint",IF($E1167="","Unestimated",IF(NOT(ISNUMBER($E1167)),"Check estimate in hours",IF($E1167&lt;0,"Check estimate in hours",IF($E1167=0,"Unestimated","Estimated"))))))</x:f>
      </x:c>
    </x:row>
    <x:row r="1168">
      <x:c r="A1168" s="12"/>
      <x:c r="B1168" s="12"/>
      <x:c r="C1168" s="12"/>
      <x:c r="D1168" s="12"/>
      <x:c r="E1168" s="14"/>
      <x:c r="F1168" s="13" t="str">
        <x:f>IF($A1168="","",IF($D1168&lt;&gt;'Team Setup'!$B$4,"Other sprint",IF($C1168="","Unassigned",IF(OR(ISNUMBER(SEARCH(",",$C1168)),ISNUMBER(SEARCH(";",$C1168))),"Multiple assignees",IF(COUNTIF('Team Setup'!$B$10:$B$34,$C1168)=1,"Matched","Unmatched")))))</x:f>
      </x:c>
      <x:c r="G1168" s="13" t="str">
        <x:f>IF($A1168="","",IF($D1168&lt;&gt;'Team Setup'!$B$4,"Other sprint",IF($E1168="","Unestimated",IF(NOT(ISNUMBER($E1168)),"Check estimate in hours",IF($E1168&lt;0,"Check estimate in hours",IF($E1168=0,"Unestimated","Estimated"))))))</x:f>
      </x:c>
    </x:row>
    <x:row r="1169">
      <x:c r="A1169" s="12"/>
      <x:c r="B1169" s="12"/>
      <x:c r="C1169" s="12"/>
      <x:c r="D1169" s="12"/>
      <x:c r="E1169" s="14"/>
      <x:c r="F1169" s="13" t="str">
        <x:f>IF($A1169="","",IF($D1169&lt;&gt;'Team Setup'!$B$4,"Other sprint",IF($C1169="","Unassigned",IF(OR(ISNUMBER(SEARCH(",",$C1169)),ISNUMBER(SEARCH(";",$C1169))),"Multiple assignees",IF(COUNTIF('Team Setup'!$B$10:$B$34,$C1169)=1,"Matched","Unmatched")))))</x:f>
      </x:c>
      <x:c r="G1169" s="13" t="str">
        <x:f>IF($A1169="","",IF($D1169&lt;&gt;'Team Setup'!$B$4,"Other sprint",IF($E1169="","Unestimated",IF(NOT(ISNUMBER($E1169)),"Check estimate in hours",IF($E1169&lt;0,"Check estimate in hours",IF($E1169=0,"Unestimated","Estimated"))))))</x:f>
      </x:c>
    </x:row>
    <x:row r="1170">
      <x:c r="A1170" s="12"/>
      <x:c r="B1170" s="12"/>
      <x:c r="C1170" s="12"/>
      <x:c r="D1170" s="12"/>
      <x:c r="E1170" s="14"/>
      <x:c r="F1170" s="13" t="str">
        <x:f>IF($A1170="","",IF($D1170&lt;&gt;'Team Setup'!$B$4,"Other sprint",IF($C1170="","Unassigned",IF(OR(ISNUMBER(SEARCH(",",$C1170)),ISNUMBER(SEARCH(";",$C1170))),"Multiple assignees",IF(COUNTIF('Team Setup'!$B$10:$B$34,$C1170)=1,"Matched","Unmatched")))))</x:f>
      </x:c>
      <x:c r="G1170" s="13" t="str">
        <x:f>IF($A1170="","",IF($D1170&lt;&gt;'Team Setup'!$B$4,"Other sprint",IF($E1170="","Unestimated",IF(NOT(ISNUMBER($E1170)),"Check estimate in hours",IF($E1170&lt;0,"Check estimate in hours",IF($E1170=0,"Unestimated","Estimated"))))))</x:f>
      </x:c>
    </x:row>
    <x:row r="1171">
      <x:c r="A1171" s="12"/>
      <x:c r="B1171" s="12"/>
      <x:c r="C1171" s="12"/>
      <x:c r="D1171" s="12"/>
      <x:c r="E1171" s="14"/>
      <x:c r="F1171" s="13" t="str">
        <x:f>IF($A1171="","",IF($D1171&lt;&gt;'Team Setup'!$B$4,"Other sprint",IF($C1171="","Unassigned",IF(OR(ISNUMBER(SEARCH(",",$C1171)),ISNUMBER(SEARCH(";",$C1171))),"Multiple assignees",IF(COUNTIF('Team Setup'!$B$10:$B$34,$C1171)=1,"Matched","Unmatched")))))</x:f>
      </x:c>
      <x:c r="G1171" s="13" t="str">
        <x:f>IF($A1171="","",IF($D1171&lt;&gt;'Team Setup'!$B$4,"Other sprint",IF($E1171="","Unestimated",IF(NOT(ISNUMBER($E1171)),"Check estimate in hours",IF($E1171&lt;0,"Check estimate in hours",IF($E1171=0,"Unestimated","Estimated"))))))</x:f>
      </x:c>
    </x:row>
    <x:row r="1172">
      <x:c r="A1172" s="12"/>
      <x:c r="B1172" s="12"/>
      <x:c r="C1172" s="12"/>
      <x:c r="D1172" s="12"/>
      <x:c r="E1172" s="14"/>
      <x:c r="F1172" s="13" t="str">
        <x:f>IF($A1172="","",IF($D1172&lt;&gt;'Team Setup'!$B$4,"Other sprint",IF($C1172="","Unassigned",IF(OR(ISNUMBER(SEARCH(",",$C1172)),ISNUMBER(SEARCH(";",$C1172))),"Multiple assignees",IF(COUNTIF('Team Setup'!$B$10:$B$34,$C1172)=1,"Matched","Unmatched")))))</x:f>
      </x:c>
      <x:c r="G1172" s="13" t="str">
        <x:f>IF($A1172="","",IF($D1172&lt;&gt;'Team Setup'!$B$4,"Other sprint",IF($E1172="","Unestimated",IF(NOT(ISNUMBER($E1172)),"Check estimate in hours",IF($E1172&lt;0,"Check estimate in hours",IF($E1172=0,"Unestimated","Estimated"))))))</x:f>
      </x:c>
    </x:row>
    <x:row r="1173">
      <x:c r="A1173" s="12"/>
      <x:c r="B1173" s="12"/>
      <x:c r="C1173" s="12"/>
      <x:c r="D1173" s="12"/>
      <x:c r="E1173" s="14"/>
      <x:c r="F1173" s="13" t="str">
        <x:f>IF($A1173="","",IF($D1173&lt;&gt;'Team Setup'!$B$4,"Other sprint",IF($C1173="","Unassigned",IF(OR(ISNUMBER(SEARCH(",",$C1173)),ISNUMBER(SEARCH(";",$C1173))),"Multiple assignees",IF(COUNTIF('Team Setup'!$B$10:$B$34,$C1173)=1,"Matched","Unmatched")))))</x:f>
      </x:c>
      <x:c r="G1173" s="13" t="str">
        <x:f>IF($A1173="","",IF($D1173&lt;&gt;'Team Setup'!$B$4,"Other sprint",IF($E1173="","Unestimated",IF(NOT(ISNUMBER($E1173)),"Check estimate in hours",IF($E1173&lt;0,"Check estimate in hours",IF($E1173=0,"Unestimated","Estimated"))))))</x:f>
      </x:c>
    </x:row>
    <x:row r="1174">
      <x:c r="A1174" s="12"/>
      <x:c r="B1174" s="12"/>
      <x:c r="C1174" s="12"/>
      <x:c r="D1174" s="12"/>
      <x:c r="E1174" s="14"/>
      <x:c r="F1174" s="13" t="str">
        <x:f>IF($A1174="","",IF($D1174&lt;&gt;'Team Setup'!$B$4,"Other sprint",IF($C1174="","Unassigned",IF(OR(ISNUMBER(SEARCH(",",$C1174)),ISNUMBER(SEARCH(";",$C1174))),"Multiple assignees",IF(COUNTIF('Team Setup'!$B$10:$B$34,$C1174)=1,"Matched","Unmatched")))))</x:f>
      </x:c>
      <x:c r="G1174" s="13" t="str">
        <x:f>IF($A1174="","",IF($D1174&lt;&gt;'Team Setup'!$B$4,"Other sprint",IF($E1174="","Unestimated",IF(NOT(ISNUMBER($E1174)),"Check estimate in hours",IF($E1174&lt;0,"Check estimate in hours",IF($E1174=0,"Unestimated","Estimated"))))))</x:f>
      </x:c>
    </x:row>
    <x:row r="1175">
      <x:c r="A1175" s="12"/>
      <x:c r="B1175" s="12"/>
      <x:c r="C1175" s="12"/>
      <x:c r="D1175" s="12"/>
      <x:c r="E1175" s="14"/>
      <x:c r="F1175" s="13" t="str">
        <x:f>IF($A1175="","",IF($D1175&lt;&gt;'Team Setup'!$B$4,"Other sprint",IF($C1175="","Unassigned",IF(OR(ISNUMBER(SEARCH(",",$C1175)),ISNUMBER(SEARCH(";",$C1175))),"Multiple assignees",IF(COUNTIF('Team Setup'!$B$10:$B$34,$C1175)=1,"Matched","Unmatched")))))</x:f>
      </x:c>
      <x:c r="G1175" s="13" t="str">
        <x:f>IF($A1175="","",IF($D1175&lt;&gt;'Team Setup'!$B$4,"Other sprint",IF($E1175="","Unestimated",IF(NOT(ISNUMBER($E1175)),"Check estimate in hours",IF($E1175&lt;0,"Check estimate in hours",IF($E1175=0,"Unestimated","Estimated"))))))</x:f>
      </x:c>
    </x:row>
    <x:row r="1176">
      <x:c r="A1176" s="12"/>
      <x:c r="B1176" s="12"/>
      <x:c r="C1176" s="12"/>
      <x:c r="D1176" s="12"/>
      <x:c r="E1176" s="14"/>
      <x:c r="F1176" s="13" t="str">
        <x:f>IF($A1176="","",IF($D1176&lt;&gt;'Team Setup'!$B$4,"Other sprint",IF($C1176="","Unassigned",IF(OR(ISNUMBER(SEARCH(",",$C1176)),ISNUMBER(SEARCH(";",$C1176))),"Multiple assignees",IF(COUNTIF('Team Setup'!$B$10:$B$34,$C1176)=1,"Matched","Unmatched")))))</x:f>
      </x:c>
      <x:c r="G1176" s="13" t="str">
        <x:f>IF($A1176="","",IF($D1176&lt;&gt;'Team Setup'!$B$4,"Other sprint",IF($E1176="","Unestimated",IF(NOT(ISNUMBER($E1176)),"Check estimate in hours",IF($E1176&lt;0,"Check estimate in hours",IF($E1176=0,"Unestimated","Estimated"))))))</x:f>
      </x:c>
    </x:row>
    <x:row r="1177">
      <x:c r="A1177" s="12"/>
      <x:c r="B1177" s="12"/>
      <x:c r="C1177" s="12"/>
      <x:c r="D1177" s="12"/>
      <x:c r="E1177" s="14"/>
      <x:c r="F1177" s="13" t="str">
        <x:f>IF($A1177="","",IF($D1177&lt;&gt;'Team Setup'!$B$4,"Other sprint",IF($C1177="","Unassigned",IF(OR(ISNUMBER(SEARCH(",",$C1177)),ISNUMBER(SEARCH(";",$C1177))),"Multiple assignees",IF(COUNTIF('Team Setup'!$B$10:$B$34,$C1177)=1,"Matched","Unmatched")))))</x:f>
      </x:c>
      <x:c r="G1177" s="13" t="str">
        <x:f>IF($A1177="","",IF($D1177&lt;&gt;'Team Setup'!$B$4,"Other sprint",IF($E1177="","Unestimated",IF(NOT(ISNUMBER($E1177)),"Check estimate in hours",IF($E1177&lt;0,"Check estimate in hours",IF($E1177=0,"Unestimated","Estimated"))))))</x:f>
      </x:c>
    </x:row>
    <x:row r="1178">
      <x:c r="A1178" s="12"/>
      <x:c r="B1178" s="12"/>
      <x:c r="C1178" s="12"/>
      <x:c r="D1178" s="12"/>
      <x:c r="E1178" s="14"/>
      <x:c r="F1178" s="13" t="str">
        <x:f>IF($A1178="","",IF($D1178&lt;&gt;'Team Setup'!$B$4,"Other sprint",IF($C1178="","Unassigned",IF(OR(ISNUMBER(SEARCH(",",$C1178)),ISNUMBER(SEARCH(";",$C1178))),"Multiple assignees",IF(COUNTIF('Team Setup'!$B$10:$B$34,$C1178)=1,"Matched","Unmatched")))))</x:f>
      </x:c>
      <x:c r="G1178" s="13" t="str">
        <x:f>IF($A1178="","",IF($D1178&lt;&gt;'Team Setup'!$B$4,"Other sprint",IF($E1178="","Unestimated",IF(NOT(ISNUMBER($E1178)),"Check estimate in hours",IF($E1178&lt;0,"Check estimate in hours",IF($E1178=0,"Unestimated","Estimated"))))))</x:f>
      </x:c>
    </x:row>
    <x:row r="1179">
      <x:c r="A1179" s="12"/>
      <x:c r="B1179" s="12"/>
      <x:c r="C1179" s="12"/>
      <x:c r="D1179" s="12"/>
      <x:c r="E1179" s="14"/>
      <x:c r="F1179" s="13" t="str">
        <x:f>IF($A1179="","",IF($D1179&lt;&gt;'Team Setup'!$B$4,"Other sprint",IF($C1179="","Unassigned",IF(OR(ISNUMBER(SEARCH(",",$C1179)),ISNUMBER(SEARCH(";",$C1179))),"Multiple assignees",IF(COUNTIF('Team Setup'!$B$10:$B$34,$C1179)=1,"Matched","Unmatched")))))</x:f>
      </x:c>
      <x:c r="G1179" s="13" t="str">
        <x:f>IF($A1179="","",IF($D1179&lt;&gt;'Team Setup'!$B$4,"Other sprint",IF($E1179="","Unestimated",IF(NOT(ISNUMBER($E1179)),"Check estimate in hours",IF($E1179&lt;0,"Check estimate in hours",IF($E1179=0,"Unestimated","Estimated"))))))</x:f>
      </x:c>
    </x:row>
    <x:row r="1180">
      <x:c r="A1180" s="12"/>
      <x:c r="B1180" s="12"/>
      <x:c r="C1180" s="12"/>
      <x:c r="D1180" s="12"/>
      <x:c r="E1180" s="14"/>
      <x:c r="F1180" s="13" t="str">
        <x:f>IF($A1180="","",IF($D1180&lt;&gt;'Team Setup'!$B$4,"Other sprint",IF($C1180="","Unassigned",IF(OR(ISNUMBER(SEARCH(",",$C1180)),ISNUMBER(SEARCH(";",$C1180))),"Multiple assignees",IF(COUNTIF('Team Setup'!$B$10:$B$34,$C1180)=1,"Matched","Unmatched")))))</x:f>
      </x:c>
      <x:c r="G1180" s="13" t="str">
        <x:f>IF($A1180="","",IF($D1180&lt;&gt;'Team Setup'!$B$4,"Other sprint",IF($E1180="","Unestimated",IF(NOT(ISNUMBER($E1180)),"Check estimate in hours",IF($E1180&lt;0,"Check estimate in hours",IF($E1180=0,"Unestimated","Estimated"))))))</x:f>
      </x:c>
    </x:row>
    <x:row r="1181">
      <x:c r="A1181" s="12"/>
      <x:c r="B1181" s="12"/>
      <x:c r="C1181" s="12"/>
      <x:c r="D1181" s="12"/>
      <x:c r="E1181" s="14"/>
      <x:c r="F1181" s="13" t="str">
        <x:f>IF($A1181="","",IF($D1181&lt;&gt;'Team Setup'!$B$4,"Other sprint",IF($C1181="","Unassigned",IF(OR(ISNUMBER(SEARCH(",",$C1181)),ISNUMBER(SEARCH(";",$C1181))),"Multiple assignees",IF(COUNTIF('Team Setup'!$B$10:$B$34,$C1181)=1,"Matched","Unmatched")))))</x:f>
      </x:c>
      <x:c r="G1181" s="13" t="str">
        <x:f>IF($A1181="","",IF($D1181&lt;&gt;'Team Setup'!$B$4,"Other sprint",IF($E1181="","Unestimated",IF(NOT(ISNUMBER($E1181)),"Check estimate in hours",IF($E1181&lt;0,"Check estimate in hours",IF($E1181=0,"Unestimated","Estimated"))))))</x:f>
      </x:c>
    </x:row>
    <x:row r="1182">
      <x:c r="A1182" s="12"/>
      <x:c r="B1182" s="12"/>
      <x:c r="C1182" s="12"/>
      <x:c r="D1182" s="12"/>
      <x:c r="E1182" s="14"/>
      <x:c r="F1182" s="13" t="str">
        <x:f>IF($A1182="","",IF($D1182&lt;&gt;'Team Setup'!$B$4,"Other sprint",IF($C1182="","Unassigned",IF(OR(ISNUMBER(SEARCH(",",$C1182)),ISNUMBER(SEARCH(";",$C1182))),"Multiple assignees",IF(COUNTIF('Team Setup'!$B$10:$B$34,$C1182)=1,"Matched","Unmatched")))))</x:f>
      </x:c>
      <x:c r="G1182" s="13" t="str">
        <x:f>IF($A1182="","",IF($D1182&lt;&gt;'Team Setup'!$B$4,"Other sprint",IF($E1182="","Unestimated",IF(NOT(ISNUMBER($E1182)),"Check estimate in hours",IF($E1182&lt;0,"Check estimate in hours",IF($E1182=0,"Unestimated","Estimated"))))))</x:f>
      </x:c>
    </x:row>
    <x:row r="1183">
      <x:c r="A1183" s="12"/>
      <x:c r="B1183" s="12"/>
      <x:c r="C1183" s="12"/>
      <x:c r="D1183" s="12"/>
      <x:c r="E1183" s="14"/>
      <x:c r="F1183" s="13" t="str">
        <x:f>IF($A1183="","",IF($D1183&lt;&gt;'Team Setup'!$B$4,"Other sprint",IF($C1183="","Unassigned",IF(OR(ISNUMBER(SEARCH(",",$C1183)),ISNUMBER(SEARCH(";",$C1183))),"Multiple assignees",IF(COUNTIF('Team Setup'!$B$10:$B$34,$C1183)=1,"Matched","Unmatched")))))</x:f>
      </x:c>
      <x:c r="G1183" s="13" t="str">
        <x:f>IF($A1183="","",IF($D1183&lt;&gt;'Team Setup'!$B$4,"Other sprint",IF($E1183="","Unestimated",IF(NOT(ISNUMBER($E1183)),"Check estimate in hours",IF($E1183&lt;0,"Check estimate in hours",IF($E1183=0,"Unestimated","Estimated"))))))</x:f>
      </x:c>
    </x:row>
    <x:row r="1184">
      <x:c r="A1184" s="12"/>
      <x:c r="B1184" s="12"/>
      <x:c r="C1184" s="12"/>
      <x:c r="D1184" s="12"/>
      <x:c r="E1184" s="14"/>
      <x:c r="F1184" s="13" t="str">
        <x:f>IF($A1184="","",IF($D1184&lt;&gt;'Team Setup'!$B$4,"Other sprint",IF($C1184="","Unassigned",IF(OR(ISNUMBER(SEARCH(",",$C1184)),ISNUMBER(SEARCH(";",$C1184))),"Multiple assignees",IF(COUNTIF('Team Setup'!$B$10:$B$34,$C1184)=1,"Matched","Unmatched")))))</x:f>
      </x:c>
      <x:c r="G1184" s="13" t="str">
        <x:f>IF($A1184="","",IF($D1184&lt;&gt;'Team Setup'!$B$4,"Other sprint",IF($E1184="","Unestimated",IF(NOT(ISNUMBER($E1184)),"Check estimate in hours",IF($E1184&lt;0,"Check estimate in hours",IF($E1184=0,"Unestimated","Estimated"))))))</x:f>
      </x:c>
    </x:row>
    <x:row r="1185">
      <x:c r="A1185" s="12"/>
      <x:c r="B1185" s="12"/>
      <x:c r="C1185" s="12"/>
      <x:c r="D1185" s="12"/>
      <x:c r="E1185" s="14"/>
      <x:c r="F1185" s="13" t="str">
        <x:f>IF($A1185="","",IF($D1185&lt;&gt;'Team Setup'!$B$4,"Other sprint",IF($C1185="","Unassigned",IF(OR(ISNUMBER(SEARCH(",",$C1185)),ISNUMBER(SEARCH(";",$C1185))),"Multiple assignees",IF(COUNTIF('Team Setup'!$B$10:$B$34,$C1185)=1,"Matched","Unmatched")))))</x:f>
      </x:c>
      <x:c r="G1185" s="13" t="str">
        <x:f>IF($A1185="","",IF($D1185&lt;&gt;'Team Setup'!$B$4,"Other sprint",IF($E1185="","Unestimated",IF(NOT(ISNUMBER($E1185)),"Check estimate in hours",IF($E1185&lt;0,"Check estimate in hours",IF($E1185=0,"Unestimated","Estimated"))))))</x:f>
      </x:c>
    </x:row>
    <x:row r="1186">
      <x:c r="A1186" s="12"/>
      <x:c r="B1186" s="12"/>
      <x:c r="C1186" s="12"/>
      <x:c r="D1186" s="12"/>
      <x:c r="E1186" s="14"/>
      <x:c r="F1186" s="13" t="str">
        <x:f>IF($A1186="","",IF($D1186&lt;&gt;'Team Setup'!$B$4,"Other sprint",IF($C1186="","Unassigned",IF(OR(ISNUMBER(SEARCH(",",$C1186)),ISNUMBER(SEARCH(";",$C1186))),"Multiple assignees",IF(COUNTIF('Team Setup'!$B$10:$B$34,$C1186)=1,"Matched","Unmatched")))))</x:f>
      </x:c>
      <x:c r="G1186" s="13" t="str">
        <x:f>IF($A1186="","",IF($D1186&lt;&gt;'Team Setup'!$B$4,"Other sprint",IF($E1186="","Unestimated",IF(NOT(ISNUMBER($E1186)),"Check estimate in hours",IF($E1186&lt;0,"Check estimate in hours",IF($E1186=0,"Unestimated","Estimated"))))))</x:f>
      </x:c>
    </x:row>
    <x:row r="1187">
      <x:c r="A1187" s="12"/>
      <x:c r="B1187" s="12"/>
      <x:c r="C1187" s="12"/>
      <x:c r="D1187" s="12"/>
      <x:c r="E1187" s="14"/>
      <x:c r="F1187" s="13" t="str">
        <x:f>IF($A1187="","",IF($D1187&lt;&gt;'Team Setup'!$B$4,"Other sprint",IF($C1187="","Unassigned",IF(OR(ISNUMBER(SEARCH(",",$C1187)),ISNUMBER(SEARCH(";",$C1187))),"Multiple assignees",IF(COUNTIF('Team Setup'!$B$10:$B$34,$C1187)=1,"Matched","Unmatched")))))</x:f>
      </x:c>
      <x:c r="G1187" s="13" t="str">
        <x:f>IF($A1187="","",IF($D1187&lt;&gt;'Team Setup'!$B$4,"Other sprint",IF($E1187="","Unestimated",IF(NOT(ISNUMBER($E1187)),"Check estimate in hours",IF($E1187&lt;0,"Check estimate in hours",IF($E1187=0,"Unestimated","Estimated"))))))</x:f>
      </x:c>
    </x:row>
    <x:row r="1188">
      <x:c r="A1188" s="12"/>
      <x:c r="B1188" s="12"/>
      <x:c r="C1188" s="12"/>
      <x:c r="D1188" s="12"/>
      <x:c r="E1188" s="14"/>
      <x:c r="F1188" s="13" t="str">
        <x:f>IF($A1188="","",IF($D1188&lt;&gt;'Team Setup'!$B$4,"Other sprint",IF($C1188="","Unassigned",IF(OR(ISNUMBER(SEARCH(",",$C1188)),ISNUMBER(SEARCH(";",$C1188))),"Multiple assignees",IF(COUNTIF('Team Setup'!$B$10:$B$34,$C1188)=1,"Matched","Unmatched")))))</x:f>
      </x:c>
      <x:c r="G1188" s="13" t="str">
        <x:f>IF($A1188="","",IF($D1188&lt;&gt;'Team Setup'!$B$4,"Other sprint",IF($E1188="","Unestimated",IF(NOT(ISNUMBER($E1188)),"Check estimate in hours",IF($E1188&lt;0,"Check estimate in hours",IF($E1188=0,"Unestimated","Estimated"))))))</x:f>
      </x:c>
    </x:row>
    <x:row r="1189">
      <x:c r="A1189" s="12"/>
      <x:c r="B1189" s="12"/>
      <x:c r="C1189" s="12"/>
      <x:c r="D1189" s="12"/>
      <x:c r="E1189" s="14"/>
      <x:c r="F1189" s="13" t="str">
        <x:f>IF($A1189="","",IF($D1189&lt;&gt;'Team Setup'!$B$4,"Other sprint",IF($C1189="","Unassigned",IF(OR(ISNUMBER(SEARCH(",",$C1189)),ISNUMBER(SEARCH(";",$C1189))),"Multiple assignees",IF(COUNTIF('Team Setup'!$B$10:$B$34,$C1189)=1,"Matched","Unmatched")))))</x:f>
      </x:c>
      <x:c r="G1189" s="13" t="str">
        <x:f>IF($A1189="","",IF($D1189&lt;&gt;'Team Setup'!$B$4,"Other sprint",IF($E1189="","Unestimated",IF(NOT(ISNUMBER($E1189)),"Check estimate in hours",IF($E1189&lt;0,"Check estimate in hours",IF($E1189=0,"Unestimated","Estimated"))))))</x:f>
      </x:c>
    </x:row>
    <x:row r="1190">
      <x:c r="A1190" s="12"/>
      <x:c r="B1190" s="12"/>
      <x:c r="C1190" s="12"/>
      <x:c r="D1190" s="12"/>
      <x:c r="E1190" s="14"/>
      <x:c r="F1190" s="13" t="str">
        <x:f>IF($A1190="","",IF($D1190&lt;&gt;'Team Setup'!$B$4,"Other sprint",IF($C1190="","Unassigned",IF(OR(ISNUMBER(SEARCH(",",$C1190)),ISNUMBER(SEARCH(";",$C1190))),"Multiple assignees",IF(COUNTIF('Team Setup'!$B$10:$B$34,$C1190)=1,"Matched","Unmatched")))))</x:f>
      </x:c>
      <x:c r="G1190" s="13" t="str">
        <x:f>IF($A1190="","",IF($D1190&lt;&gt;'Team Setup'!$B$4,"Other sprint",IF($E1190="","Unestimated",IF(NOT(ISNUMBER($E1190)),"Check estimate in hours",IF($E1190&lt;0,"Check estimate in hours",IF($E1190=0,"Unestimated","Estimated"))))))</x:f>
      </x:c>
    </x:row>
    <x:row r="1191">
      <x:c r="A1191" s="12"/>
      <x:c r="B1191" s="12"/>
      <x:c r="C1191" s="12"/>
      <x:c r="D1191" s="12"/>
      <x:c r="E1191" s="14"/>
      <x:c r="F1191" s="13" t="str">
        <x:f>IF($A1191="","",IF($D1191&lt;&gt;'Team Setup'!$B$4,"Other sprint",IF($C1191="","Unassigned",IF(OR(ISNUMBER(SEARCH(",",$C1191)),ISNUMBER(SEARCH(";",$C1191))),"Multiple assignees",IF(COUNTIF('Team Setup'!$B$10:$B$34,$C1191)=1,"Matched","Unmatched")))))</x:f>
      </x:c>
      <x:c r="G1191" s="13" t="str">
        <x:f>IF($A1191="","",IF($D1191&lt;&gt;'Team Setup'!$B$4,"Other sprint",IF($E1191="","Unestimated",IF(NOT(ISNUMBER($E1191)),"Check estimate in hours",IF($E1191&lt;0,"Check estimate in hours",IF($E1191=0,"Unestimated","Estimated"))))))</x:f>
      </x:c>
    </x:row>
    <x:row r="1192">
      <x:c r="A1192" s="12"/>
      <x:c r="B1192" s="12"/>
      <x:c r="C1192" s="12"/>
      <x:c r="D1192" s="12"/>
      <x:c r="E1192" s="14"/>
      <x:c r="F1192" s="13" t="str">
        <x:f>IF($A1192="","",IF($D1192&lt;&gt;'Team Setup'!$B$4,"Other sprint",IF($C1192="","Unassigned",IF(OR(ISNUMBER(SEARCH(",",$C1192)),ISNUMBER(SEARCH(";",$C1192))),"Multiple assignees",IF(COUNTIF('Team Setup'!$B$10:$B$34,$C1192)=1,"Matched","Unmatched")))))</x:f>
      </x:c>
      <x:c r="G1192" s="13" t="str">
        <x:f>IF($A1192="","",IF($D1192&lt;&gt;'Team Setup'!$B$4,"Other sprint",IF($E1192="","Unestimated",IF(NOT(ISNUMBER($E1192)),"Check estimate in hours",IF($E1192&lt;0,"Check estimate in hours",IF($E1192=0,"Unestimated","Estimated"))))))</x:f>
      </x:c>
    </x:row>
    <x:row r="1193">
      <x:c r="A1193" s="12"/>
      <x:c r="B1193" s="12"/>
      <x:c r="C1193" s="12"/>
      <x:c r="D1193" s="12"/>
      <x:c r="E1193" s="14"/>
      <x:c r="F1193" s="13" t="str">
        <x:f>IF($A1193="","",IF($D1193&lt;&gt;'Team Setup'!$B$4,"Other sprint",IF($C1193="","Unassigned",IF(OR(ISNUMBER(SEARCH(",",$C1193)),ISNUMBER(SEARCH(";",$C1193))),"Multiple assignees",IF(COUNTIF('Team Setup'!$B$10:$B$34,$C1193)=1,"Matched","Unmatched")))))</x:f>
      </x:c>
      <x:c r="G1193" s="13" t="str">
        <x:f>IF($A1193="","",IF($D1193&lt;&gt;'Team Setup'!$B$4,"Other sprint",IF($E1193="","Unestimated",IF(NOT(ISNUMBER($E1193)),"Check estimate in hours",IF($E1193&lt;0,"Check estimate in hours",IF($E1193=0,"Unestimated","Estimated"))))))</x:f>
      </x:c>
    </x:row>
    <x:row r="1194">
      <x:c r="A1194" s="12"/>
      <x:c r="B1194" s="12"/>
      <x:c r="C1194" s="12"/>
      <x:c r="D1194" s="12"/>
      <x:c r="E1194" s="14"/>
      <x:c r="F1194" s="13" t="str">
        <x:f>IF($A1194="","",IF($D1194&lt;&gt;'Team Setup'!$B$4,"Other sprint",IF($C1194="","Unassigned",IF(OR(ISNUMBER(SEARCH(",",$C1194)),ISNUMBER(SEARCH(";",$C1194))),"Multiple assignees",IF(COUNTIF('Team Setup'!$B$10:$B$34,$C1194)=1,"Matched","Unmatched")))))</x:f>
      </x:c>
      <x:c r="G1194" s="13" t="str">
        <x:f>IF($A1194="","",IF($D1194&lt;&gt;'Team Setup'!$B$4,"Other sprint",IF($E1194="","Unestimated",IF(NOT(ISNUMBER($E1194)),"Check estimate in hours",IF($E1194&lt;0,"Check estimate in hours",IF($E1194=0,"Unestimated","Estimated"))))))</x:f>
      </x:c>
    </x:row>
    <x:row r="1195">
      <x:c r="A1195" s="12"/>
      <x:c r="B1195" s="12"/>
      <x:c r="C1195" s="12"/>
      <x:c r="D1195" s="12"/>
      <x:c r="E1195" s="14"/>
      <x:c r="F1195" s="13" t="str">
        <x:f>IF($A1195="","",IF($D1195&lt;&gt;'Team Setup'!$B$4,"Other sprint",IF($C1195="","Unassigned",IF(OR(ISNUMBER(SEARCH(",",$C1195)),ISNUMBER(SEARCH(";",$C1195))),"Multiple assignees",IF(COUNTIF('Team Setup'!$B$10:$B$34,$C1195)=1,"Matched","Unmatched")))))</x:f>
      </x:c>
      <x:c r="G1195" s="13" t="str">
        <x:f>IF($A1195="","",IF($D1195&lt;&gt;'Team Setup'!$B$4,"Other sprint",IF($E1195="","Unestimated",IF(NOT(ISNUMBER($E1195)),"Check estimate in hours",IF($E1195&lt;0,"Check estimate in hours",IF($E1195=0,"Unestimated","Estimated"))))))</x:f>
      </x:c>
    </x:row>
    <x:row r="1196">
      <x:c r="A1196" s="12"/>
      <x:c r="B1196" s="12"/>
      <x:c r="C1196" s="12"/>
      <x:c r="D1196" s="12"/>
      <x:c r="E1196" s="14"/>
      <x:c r="F1196" s="13" t="str">
        <x:f>IF($A1196="","",IF($D1196&lt;&gt;'Team Setup'!$B$4,"Other sprint",IF($C1196="","Unassigned",IF(OR(ISNUMBER(SEARCH(",",$C1196)),ISNUMBER(SEARCH(";",$C1196))),"Multiple assignees",IF(COUNTIF('Team Setup'!$B$10:$B$34,$C1196)=1,"Matched","Unmatched")))))</x:f>
      </x:c>
      <x:c r="G1196" s="13" t="str">
        <x:f>IF($A1196="","",IF($D1196&lt;&gt;'Team Setup'!$B$4,"Other sprint",IF($E1196="","Unestimated",IF(NOT(ISNUMBER($E1196)),"Check estimate in hours",IF($E1196&lt;0,"Check estimate in hours",IF($E1196=0,"Unestimated","Estimated"))))))</x:f>
      </x:c>
    </x:row>
    <x:row r="1197">
      <x:c r="A1197" s="12"/>
      <x:c r="B1197" s="12"/>
      <x:c r="C1197" s="12"/>
      <x:c r="D1197" s="12"/>
      <x:c r="E1197" s="14"/>
      <x:c r="F1197" s="13" t="str">
        <x:f>IF($A1197="","",IF($D1197&lt;&gt;'Team Setup'!$B$4,"Other sprint",IF($C1197="","Unassigned",IF(OR(ISNUMBER(SEARCH(",",$C1197)),ISNUMBER(SEARCH(";",$C1197))),"Multiple assignees",IF(COUNTIF('Team Setup'!$B$10:$B$34,$C1197)=1,"Matched","Unmatched")))))</x:f>
      </x:c>
      <x:c r="G1197" s="13" t="str">
        <x:f>IF($A1197="","",IF($D1197&lt;&gt;'Team Setup'!$B$4,"Other sprint",IF($E1197="","Unestimated",IF(NOT(ISNUMBER($E1197)),"Check estimate in hours",IF($E1197&lt;0,"Check estimate in hours",IF($E1197=0,"Unestimated","Estimated"))))))</x:f>
      </x:c>
    </x:row>
    <x:row r="1198">
      <x:c r="A1198" s="12"/>
      <x:c r="B1198" s="12"/>
      <x:c r="C1198" s="12"/>
      <x:c r="D1198" s="12"/>
      <x:c r="E1198" s="14"/>
      <x:c r="F1198" s="13" t="str">
        <x:f>IF($A1198="","",IF($D1198&lt;&gt;'Team Setup'!$B$4,"Other sprint",IF($C1198="","Unassigned",IF(OR(ISNUMBER(SEARCH(",",$C1198)),ISNUMBER(SEARCH(";",$C1198))),"Multiple assignees",IF(COUNTIF('Team Setup'!$B$10:$B$34,$C1198)=1,"Matched","Unmatched")))))</x:f>
      </x:c>
      <x:c r="G1198" s="13" t="str">
        <x:f>IF($A1198="","",IF($D1198&lt;&gt;'Team Setup'!$B$4,"Other sprint",IF($E1198="","Unestimated",IF(NOT(ISNUMBER($E1198)),"Check estimate in hours",IF($E1198&lt;0,"Check estimate in hours",IF($E1198=0,"Unestimated","Estimated"))))))</x:f>
      </x:c>
    </x:row>
    <x:row r="1199">
      <x:c r="A1199" s="12"/>
      <x:c r="B1199" s="12"/>
      <x:c r="C1199" s="12"/>
      <x:c r="D1199" s="12"/>
      <x:c r="E1199" s="14"/>
      <x:c r="F1199" s="13" t="str">
        <x:f>IF($A1199="","",IF($D1199&lt;&gt;'Team Setup'!$B$4,"Other sprint",IF($C1199="","Unassigned",IF(OR(ISNUMBER(SEARCH(",",$C1199)),ISNUMBER(SEARCH(";",$C1199))),"Multiple assignees",IF(COUNTIF('Team Setup'!$B$10:$B$34,$C1199)=1,"Matched","Unmatched")))))</x:f>
      </x:c>
      <x:c r="G1199" s="13" t="str">
        <x:f>IF($A1199="","",IF($D1199&lt;&gt;'Team Setup'!$B$4,"Other sprint",IF($E1199="","Unestimated",IF(NOT(ISNUMBER($E1199)),"Check estimate in hours",IF($E1199&lt;0,"Check estimate in hours",IF($E1199=0,"Unestimated","Estimated"))))))</x:f>
      </x:c>
    </x:row>
    <x:row r="1200">
      <x:c r="A1200" s="12"/>
      <x:c r="B1200" s="12"/>
      <x:c r="C1200" s="12"/>
      <x:c r="D1200" s="12"/>
      <x:c r="E1200" s="14"/>
      <x:c r="F1200" s="13" t="str">
        <x:f>IF($A1200="","",IF($D1200&lt;&gt;'Team Setup'!$B$4,"Other sprint",IF($C1200="","Unassigned",IF(OR(ISNUMBER(SEARCH(",",$C1200)),ISNUMBER(SEARCH(";",$C1200))),"Multiple assignees",IF(COUNTIF('Team Setup'!$B$10:$B$34,$C1200)=1,"Matched","Unmatched")))))</x:f>
      </x:c>
      <x:c r="G1200" s="13" t="str">
        <x:f>IF($A1200="","",IF($D1200&lt;&gt;'Team Setup'!$B$4,"Other sprint",IF($E1200="","Unestimated",IF(NOT(ISNUMBER($E1200)),"Check estimate in hours",IF($E1200&lt;0,"Check estimate in hours",IF($E1200=0,"Unestimated","Estimated"))))))</x:f>
      </x:c>
    </x:row>
    <x:row r="1201">
      <x:c r="A1201" s="12"/>
      <x:c r="B1201" s="12"/>
      <x:c r="C1201" s="12"/>
      <x:c r="D1201" s="12"/>
      <x:c r="E1201" s="14"/>
      <x:c r="F1201" s="13" t="str">
        <x:f>IF($A1201="","",IF($D1201&lt;&gt;'Team Setup'!$B$4,"Other sprint",IF($C1201="","Unassigned",IF(OR(ISNUMBER(SEARCH(",",$C1201)),ISNUMBER(SEARCH(";",$C1201))),"Multiple assignees",IF(COUNTIF('Team Setup'!$B$10:$B$34,$C1201)=1,"Matched","Unmatched")))))</x:f>
      </x:c>
      <x:c r="G1201" s="13" t="str">
        <x:f>IF($A1201="","",IF($D1201&lt;&gt;'Team Setup'!$B$4,"Other sprint",IF($E1201="","Unestimated",IF(NOT(ISNUMBER($E1201)),"Check estimate in hours",IF($E1201&lt;0,"Check estimate in hours",IF($E1201=0,"Unestimated","Estimated"))))))</x:f>
      </x:c>
    </x:row>
    <x:row r="1202">
      <x:c r="A1202" s="12"/>
      <x:c r="B1202" s="12"/>
      <x:c r="C1202" s="12"/>
      <x:c r="D1202" s="12"/>
      <x:c r="E1202" s="14"/>
      <x:c r="F1202" s="13" t="str">
        <x:f>IF($A1202="","",IF($D1202&lt;&gt;'Team Setup'!$B$4,"Other sprint",IF($C1202="","Unassigned",IF(OR(ISNUMBER(SEARCH(",",$C1202)),ISNUMBER(SEARCH(";",$C1202))),"Multiple assignees",IF(COUNTIF('Team Setup'!$B$10:$B$34,$C1202)=1,"Matched","Unmatched")))))</x:f>
      </x:c>
      <x:c r="G1202" s="13" t="str">
        <x:f>IF($A1202="","",IF($D1202&lt;&gt;'Team Setup'!$B$4,"Other sprint",IF($E1202="","Unestimated",IF(NOT(ISNUMBER($E1202)),"Check estimate in hours",IF($E1202&lt;0,"Check estimate in hours",IF($E1202=0,"Unestimated","Estimated"))))))</x:f>
      </x:c>
    </x:row>
    <x:row r="1203">
      <x:c r="A1203" s="12"/>
      <x:c r="B1203" s="12"/>
      <x:c r="C1203" s="12"/>
      <x:c r="D1203" s="12"/>
      <x:c r="E1203" s="14"/>
      <x:c r="F1203" s="13" t="str">
        <x:f>IF($A1203="","",IF($D1203&lt;&gt;'Team Setup'!$B$4,"Other sprint",IF($C1203="","Unassigned",IF(OR(ISNUMBER(SEARCH(",",$C1203)),ISNUMBER(SEARCH(";",$C1203))),"Multiple assignees",IF(COUNTIF('Team Setup'!$B$10:$B$34,$C1203)=1,"Matched","Unmatched")))))</x:f>
      </x:c>
      <x:c r="G1203" s="13" t="str">
        <x:f>IF($A1203="","",IF($D1203&lt;&gt;'Team Setup'!$B$4,"Other sprint",IF($E1203="","Unestimated",IF(NOT(ISNUMBER($E1203)),"Check estimate in hours",IF($E1203&lt;0,"Check estimate in hours",IF($E1203=0,"Unestimated","Estimated"))))))</x:f>
      </x:c>
    </x:row>
    <x:row r="1204">
      <x:c r="A1204" s="12"/>
      <x:c r="B1204" s="12"/>
      <x:c r="C1204" s="12"/>
      <x:c r="D1204" s="12"/>
      <x:c r="E1204" s="14"/>
      <x:c r="F1204" s="13" t="str">
        <x:f>IF($A1204="","",IF($D1204&lt;&gt;'Team Setup'!$B$4,"Other sprint",IF($C1204="","Unassigned",IF(OR(ISNUMBER(SEARCH(",",$C1204)),ISNUMBER(SEARCH(";",$C1204))),"Multiple assignees",IF(COUNTIF('Team Setup'!$B$10:$B$34,$C1204)=1,"Matched","Unmatched")))))</x:f>
      </x:c>
      <x:c r="G1204" s="13" t="str">
        <x:f>IF($A1204="","",IF($D1204&lt;&gt;'Team Setup'!$B$4,"Other sprint",IF($E1204="","Unestimated",IF(NOT(ISNUMBER($E1204)),"Check estimate in hours",IF($E1204&lt;0,"Check estimate in hours",IF($E1204=0,"Unestimated","Estimated"))))))</x:f>
      </x:c>
    </x:row>
    <x:row r="1205">
      <x:c r="A1205" s="12"/>
      <x:c r="B1205" s="12"/>
      <x:c r="C1205" s="12"/>
      <x:c r="D1205" s="12"/>
      <x:c r="E1205" s="14"/>
      <x:c r="F1205" s="13" t="str">
        <x:f>IF($A1205="","",IF($D1205&lt;&gt;'Team Setup'!$B$4,"Other sprint",IF($C1205="","Unassigned",IF(OR(ISNUMBER(SEARCH(",",$C1205)),ISNUMBER(SEARCH(";",$C1205))),"Multiple assignees",IF(COUNTIF('Team Setup'!$B$10:$B$34,$C1205)=1,"Matched","Unmatched")))))</x:f>
      </x:c>
      <x:c r="G1205" s="13" t="str">
        <x:f>IF($A1205="","",IF($D1205&lt;&gt;'Team Setup'!$B$4,"Other sprint",IF($E1205="","Unestimated",IF(NOT(ISNUMBER($E1205)),"Check estimate in hours",IF($E1205&lt;0,"Check estimate in hours",IF($E1205=0,"Unestimated","Estimated"))))))</x:f>
      </x:c>
    </x:row>
    <x:row r="1206">
      <x:c r="A1206" s="12"/>
      <x:c r="B1206" s="12"/>
      <x:c r="C1206" s="12"/>
      <x:c r="D1206" s="12"/>
      <x:c r="E1206" s="14"/>
      <x:c r="F1206" s="13" t="str">
        <x:f>IF($A1206="","",IF($D1206&lt;&gt;'Team Setup'!$B$4,"Other sprint",IF($C1206="","Unassigned",IF(OR(ISNUMBER(SEARCH(",",$C1206)),ISNUMBER(SEARCH(";",$C1206))),"Multiple assignees",IF(COUNTIF('Team Setup'!$B$10:$B$34,$C1206)=1,"Matched","Unmatched")))))</x:f>
      </x:c>
      <x:c r="G1206" s="13" t="str">
        <x:f>IF($A1206="","",IF($D1206&lt;&gt;'Team Setup'!$B$4,"Other sprint",IF($E1206="","Unestimated",IF(NOT(ISNUMBER($E1206)),"Check estimate in hours",IF($E1206&lt;0,"Check estimate in hours",IF($E1206=0,"Unestimated","Estimated"))))))</x:f>
      </x:c>
    </x:row>
    <x:row r="1207">
      <x:c r="A1207" s="12"/>
      <x:c r="B1207" s="12"/>
      <x:c r="C1207" s="12"/>
      <x:c r="D1207" s="12"/>
      <x:c r="E1207" s="14"/>
      <x:c r="F1207" s="13" t="str">
        <x:f>IF($A1207="","",IF($D1207&lt;&gt;'Team Setup'!$B$4,"Other sprint",IF($C1207="","Unassigned",IF(OR(ISNUMBER(SEARCH(",",$C1207)),ISNUMBER(SEARCH(";",$C1207))),"Multiple assignees",IF(COUNTIF('Team Setup'!$B$10:$B$34,$C1207)=1,"Matched","Unmatched")))))</x:f>
      </x:c>
      <x:c r="G1207" s="13" t="str">
        <x:f>IF($A1207="","",IF($D1207&lt;&gt;'Team Setup'!$B$4,"Other sprint",IF($E1207="","Unestimated",IF(NOT(ISNUMBER($E1207)),"Check estimate in hours",IF($E1207&lt;0,"Check estimate in hours",IF($E1207=0,"Unestimated","Estimated"))))))</x:f>
      </x:c>
    </x:row>
    <x:row r="1208">
      <x:c r="A1208" s="12"/>
      <x:c r="B1208" s="12"/>
      <x:c r="C1208" s="12"/>
      <x:c r="D1208" s="12"/>
      <x:c r="E1208" s="14"/>
      <x:c r="F1208" s="13" t="str">
        <x:f>IF($A1208="","",IF($D1208&lt;&gt;'Team Setup'!$B$4,"Other sprint",IF($C1208="","Unassigned",IF(OR(ISNUMBER(SEARCH(",",$C1208)),ISNUMBER(SEARCH(";",$C1208))),"Multiple assignees",IF(COUNTIF('Team Setup'!$B$10:$B$34,$C1208)=1,"Matched","Unmatched")))))</x:f>
      </x:c>
      <x:c r="G1208" s="13" t="str">
        <x:f>IF($A1208="","",IF($D1208&lt;&gt;'Team Setup'!$B$4,"Other sprint",IF($E1208="","Unestimated",IF(NOT(ISNUMBER($E1208)),"Check estimate in hours",IF($E1208&lt;0,"Check estimate in hours",IF($E1208=0,"Unestimated","Estimated"))))))</x:f>
      </x:c>
    </x:row>
    <x:row r="1209">
      <x:c r="A1209" s="12"/>
      <x:c r="B1209" s="12"/>
      <x:c r="C1209" s="12"/>
      <x:c r="D1209" s="12"/>
      <x:c r="E1209" s="14"/>
      <x:c r="F1209" s="13" t="str">
        <x:f>IF($A1209="","",IF($D1209&lt;&gt;'Team Setup'!$B$4,"Other sprint",IF($C1209="","Unassigned",IF(OR(ISNUMBER(SEARCH(",",$C1209)),ISNUMBER(SEARCH(";",$C1209))),"Multiple assignees",IF(COUNTIF('Team Setup'!$B$10:$B$34,$C1209)=1,"Matched","Unmatched")))))</x:f>
      </x:c>
      <x:c r="G1209" s="13" t="str">
        <x:f>IF($A1209="","",IF($D1209&lt;&gt;'Team Setup'!$B$4,"Other sprint",IF($E1209="","Unestimated",IF(NOT(ISNUMBER($E1209)),"Check estimate in hours",IF($E1209&lt;0,"Check estimate in hours",IF($E1209=0,"Unestimated","Estimated"))))))</x:f>
      </x:c>
    </x:row>
    <x:row r="1210">
      <x:c r="A1210" s="12"/>
      <x:c r="B1210" s="12"/>
      <x:c r="C1210" s="12"/>
      <x:c r="D1210" s="12"/>
      <x:c r="E1210" s="14"/>
      <x:c r="F1210" s="13" t="str">
        <x:f>IF($A1210="","",IF($D1210&lt;&gt;'Team Setup'!$B$4,"Other sprint",IF($C1210="","Unassigned",IF(OR(ISNUMBER(SEARCH(",",$C1210)),ISNUMBER(SEARCH(";",$C1210))),"Multiple assignees",IF(COUNTIF('Team Setup'!$B$10:$B$34,$C1210)=1,"Matched","Unmatched")))))</x:f>
      </x:c>
      <x:c r="G1210" s="13" t="str">
        <x:f>IF($A1210="","",IF($D1210&lt;&gt;'Team Setup'!$B$4,"Other sprint",IF($E1210="","Unestimated",IF(NOT(ISNUMBER($E1210)),"Check estimate in hours",IF($E1210&lt;0,"Check estimate in hours",IF($E1210=0,"Unestimated","Estimated"))))))</x:f>
      </x:c>
    </x:row>
    <x:row r="1211">
      <x:c r="A1211" s="12"/>
      <x:c r="B1211" s="12"/>
      <x:c r="C1211" s="12"/>
      <x:c r="D1211" s="12"/>
      <x:c r="E1211" s="14"/>
      <x:c r="F1211" s="13" t="str">
        <x:f>IF($A1211="","",IF($D1211&lt;&gt;'Team Setup'!$B$4,"Other sprint",IF($C1211="","Unassigned",IF(OR(ISNUMBER(SEARCH(",",$C1211)),ISNUMBER(SEARCH(";",$C1211))),"Multiple assignees",IF(COUNTIF('Team Setup'!$B$10:$B$34,$C1211)=1,"Matched","Unmatched")))))</x:f>
      </x:c>
      <x:c r="G1211" s="13" t="str">
        <x:f>IF($A1211="","",IF($D1211&lt;&gt;'Team Setup'!$B$4,"Other sprint",IF($E1211="","Unestimated",IF(NOT(ISNUMBER($E1211)),"Check estimate in hours",IF($E1211&lt;0,"Check estimate in hours",IF($E1211=0,"Unestimated","Estimated"))))))</x:f>
      </x:c>
    </x:row>
    <x:row r="1212">
      <x:c r="A1212" s="12"/>
      <x:c r="B1212" s="12"/>
      <x:c r="C1212" s="12"/>
      <x:c r="D1212" s="12"/>
      <x:c r="E1212" s="14"/>
      <x:c r="F1212" s="13" t="str">
        <x:f>IF($A1212="","",IF($D1212&lt;&gt;'Team Setup'!$B$4,"Other sprint",IF($C1212="","Unassigned",IF(OR(ISNUMBER(SEARCH(",",$C1212)),ISNUMBER(SEARCH(";",$C1212))),"Multiple assignees",IF(COUNTIF('Team Setup'!$B$10:$B$34,$C1212)=1,"Matched","Unmatched")))))</x:f>
      </x:c>
      <x:c r="G1212" s="13" t="str">
        <x:f>IF($A1212="","",IF($D1212&lt;&gt;'Team Setup'!$B$4,"Other sprint",IF($E1212="","Unestimated",IF(NOT(ISNUMBER($E1212)),"Check estimate in hours",IF($E1212&lt;0,"Check estimate in hours",IF($E1212=0,"Unestimated","Estimated"))))))</x:f>
      </x:c>
    </x:row>
    <x:row r="1213">
      <x:c r="A1213" s="12"/>
      <x:c r="B1213" s="12"/>
      <x:c r="C1213" s="12"/>
      <x:c r="D1213" s="12"/>
      <x:c r="E1213" s="14"/>
      <x:c r="F1213" s="13" t="str">
        <x:f>IF($A1213="","",IF($D1213&lt;&gt;'Team Setup'!$B$4,"Other sprint",IF($C1213="","Unassigned",IF(OR(ISNUMBER(SEARCH(",",$C1213)),ISNUMBER(SEARCH(";",$C1213))),"Multiple assignees",IF(COUNTIF('Team Setup'!$B$10:$B$34,$C1213)=1,"Matched","Unmatched")))))</x:f>
      </x:c>
      <x:c r="G1213" s="13" t="str">
        <x:f>IF($A1213="","",IF($D1213&lt;&gt;'Team Setup'!$B$4,"Other sprint",IF($E1213="","Unestimated",IF(NOT(ISNUMBER($E1213)),"Check estimate in hours",IF($E1213&lt;0,"Check estimate in hours",IF($E1213=0,"Unestimated","Estimated"))))))</x:f>
      </x:c>
    </x:row>
    <x:row r="1214">
      <x:c r="A1214" s="12"/>
      <x:c r="B1214" s="12"/>
      <x:c r="C1214" s="12"/>
      <x:c r="D1214" s="12"/>
      <x:c r="E1214" s="14"/>
      <x:c r="F1214" s="13" t="str">
        <x:f>IF($A1214="","",IF($D1214&lt;&gt;'Team Setup'!$B$4,"Other sprint",IF($C1214="","Unassigned",IF(OR(ISNUMBER(SEARCH(",",$C1214)),ISNUMBER(SEARCH(";",$C1214))),"Multiple assignees",IF(COUNTIF('Team Setup'!$B$10:$B$34,$C1214)=1,"Matched","Unmatched")))))</x:f>
      </x:c>
      <x:c r="G1214" s="13" t="str">
        <x:f>IF($A1214="","",IF($D1214&lt;&gt;'Team Setup'!$B$4,"Other sprint",IF($E1214="","Unestimated",IF(NOT(ISNUMBER($E1214)),"Check estimate in hours",IF($E1214&lt;0,"Check estimate in hours",IF($E1214=0,"Unestimated","Estimated"))))))</x:f>
      </x:c>
    </x:row>
    <x:row r="1215">
      <x:c r="A1215" s="12"/>
      <x:c r="B1215" s="12"/>
      <x:c r="C1215" s="12"/>
      <x:c r="D1215" s="12"/>
      <x:c r="E1215" s="14"/>
      <x:c r="F1215" s="13" t="str">
        <x:f>IF($A1215="","",IF($D1215&lt;&gt;'Team Setup'!$B$4,"Other sprint",IF($C1215="","Unassigned",IF(OR(ISNUMBER(SEARCH(",",$C1215)),ISNUMBER(SEARCH(";",$C1215))),"Multiple assignees",IF(COUNTIF('Team Setup'!$B$10:$B$34,$C1215)=1,"Matched","Unmatched")))))</x:f>
      </x:c>
      <x:c r="G1215" s="13" t="str">
        <x:f>IF($A1215="","",IF($D1215&lt;&gt;'Team Setup'!$B$4,"Other sprint",IF($E1215="","Unestimated",IF(NOT(ISNUMBER($E1215)),"Check estimate in hours",IF($E1215&lt;0,"Check estimate in hours",IF($E1215=0,"Unestimated","Estimated"))))))</x:f>
      </x:c>
    </x:row>
    <x:row r="1216">
      <x:c r="A1216" s="12"/>
      <x:c r="B1216" s="12"/>
      <x:c r="C1216" s="12"/>
      <x:c r="D1216" s="12"/>
      <x:c r="E1216" s="14"/>
      <x:c r="F1216" s="13" t="str">
        <x:f>IF($A1216="","",IF($D1216&lt;&gt;'Team Setup'!$B$4,"Other sprint",IF($C1216="","Unassigned",IF(OR(ISNUMBER(SEARCH(",",$C1216)),ISNUMBER(SEARCH(";",$C1216))),"Multiple assignees",IF(COUNTIF('Team Setup'!$B$10:$B$34,$C1216)=1,"Matched","Unmatched")))))</x:f>
      </x:c>
      <x:c r="G1216" s="13" t="str">
        <x:f>IF($A1216="","",IF($D1216&lt;&gt;'Team Setup'!$B$4,"Other sprint",IF($E1216="","Unestimated",IF(NOT(ISNUMBER($E1216)),"Check estimate in hours",IF($E1216&lt;0,"Check estimate in hours",IF($E1216=0,"Unestimated","Estimated"))))))</x:f>
      </x:c>
    </x:row>
    <x:row r="1217">
      <x:c r="A1217" s="12"/>
      <x:c r="B1217" s="12"/>
      <x:c r="C1217" s="12"/>
      <x:c r="D1217" s="12"/>
      <x:c r="E1217" s="14"/>
      <x:c r="F1217" s="13" t="str">
        <x:f>IF($A1217="","",IF($D1217&lt;&gt;'Team Setup'!$B$4,"Other sprint",IF($C1217="","Unassigned",IF(OR(ISNUMBER(SEARCH(",",$C1217)),ISNUMBER(SEARCH(";",$C1217))),"Multiple assignees",IF(COUNTIF('Team Setup'!$B$10:$B$34,$C1217)=1,"Matched","Unmatched")))))</x:f>
      </x:c>
      <x:c r="G1217" s="13" t="str">
        <x:f>IF($A1217="","",IF($D1217&lt;&gt;'Team Setup'!$B$4,"Other sprint",IF($E1217="","Unestimated",IF(NOT(ISNUMBER($E1217)),"Check estimate in hours",IF($E1217&lt;0,"Check estimate in hours",IF($E1217=0,"Unestimated","Estimated"))))))</x:f>
      </x:c>
    </x:row>
    <x:row r="1218">
      <x:c r="A1218" s="12"/>
      <x:c r="B1218" s="12"/>
      <x:c r="C1218" s="12"/>
      <x:c r="D1218" s="12"/>
      <x:c r="E1218" s="14"/>
      <x:c r="F1218" s="13" t="str">
        <x:f>IF($A1218="","",IF($D1218&lt;&gt;'Team Setup'!$B$4,"Other sprint",IF($C1218="","Unassigned",IF(OR(ISNUMBER(SEARCH(",",$C1218)),ISNUMBER(SEARCH(";",$C1218))),"Multiple assignees",IF(COUNTIF('Team Setup'!$B$10:$B$34,$C1218)=1,"Matched","Unmatched")))))</x:f>
      </x:c>
      <x:c r="G1218" s="13" t="str">
        <x:f>IF($A1218="","",IF($D1218&lt;&gt;'Team Setup'!$B$4,"Other sprint",IF($E1218="","Unestimated",IF(NOT(ISNUMBER($E1218)),"Check estimate in hours",IF($E1218&lt;0,"Check estimate in hours",IF($E1218=0,"Unestimated","Estimated"))))))</x:f>
      </x:c>
    </x:row>
    <x:row r="1219">
      <x:c r="A1219" s="12"/>
      <x:c r="B1219" s="12"/>
      <x:c r="C1219" s="12"/>
      <x:c r="D1219" s="12"/>
      <x:c r="E1219" s="14"/>
      <x:c r="F1219" s="13" t="str">
        <x:f>IF($A1219="","",IF($D1219&lt;&gt;'Team Setup'!$B$4,"Other sprint",IF($C1219="","Unassigned",IF(OR(ISNUMBER(SEARCH(",",$C1219)),ISNUMBER(SEARCH(";",$C1219))),"Multiple assignees",IF(COUNTIF('Team Setup'!$B$10:$B$34,$C1219)=1,"Matched","Unmatched")))))</x:f>
      </x:c>
      <x:c r="G1219" s="13" t="str">
        <x:f>IF($A1219="","",IF($D1219&lt;&gt;'Team Setup'!$B$4,"Other sprint",IF($E1219="","Unestimated",IF(NOT(ISNUMBER($E1219)),"Check estimate in hours",IF($E1219&lt;0,"Check estimate in hours",IF($E1219=0,"Unestimated","Estimated"))))))</x:f>
      </x:c>
    </x:row>
    <x:row r="1220">
      <x:c r="A1220" s="12"/>
      <x:c r="B1220" s="12"/>
      <x:c r="C1220" s="12"/>
      <x:c r="D1220" s="12"/>
      <x:c r="E1220" s="14"/>
      <x:c r="F1220" s="13" t="str">
        <x:f>IF($A1220="","",IF($D1220&lt;&gt;'Team Setup'!$B$4,"Other sprint",IF($C1220="","Unassigned",IF(OR(ISNUMBER(SEARCH(",",$C1220)),ISNUMBER(SEARCH(";",$C1220))),"Multiple assignees",IF(COUNTIF('Team Setup'!$B$10:$B$34,$C1220)=1,"Matched","Unmatched")))))</x:f>
      </x:c>
      <x:c r="G1220" s="13" t="str">
        <x:f>IF($A1220="","",IF($D1220&lt;&gt;'Team Setup'!$B$4,"Other sprint",IF($E1220="","Unestimated",IF(NOT(ISNUMBER($E1220)),"Check estimate in hours",IF($E1220&lt;0,"Check estimate in hours",IF($E1220=0,"Unestimated","Estimated"))))))</x:f>
      </x:c>
    </x:row>
    <x:row r="1221">
      <x:c r="A1221" s="12"/>
      <x:c r="B1221" s="12"/>
      <x:c r="C1221" s="12"/>
      <x:c r="D1221" s="12"/>
      <x:c r="E1221" s="14"/>
      <x:c r="F1221" s="13" t="str">
        <x:f>IF($A1221="","",IF($D1221&lt;&gt;'Team Setup'!$B$4,"Other sprint",IF($C1221="","Unassigned",IF(OR(ISNUMBER(SEARCH(",",$C1221)),ISNUMBER(SEARCH(";",$C1221))),"Multiple assignees",IF(COUNTIF('Team Setup'!$B$10:$B$34,$C1221)=1,"Matched","Unmatched")))))</x:f>
      </x:c>
      <x:c r="G1221" s="13" t="str">
        <x:f>IF($A1221="","",IF($D1221&lt;&gt;'Team Setup'!$B$4,"Other sprint",IF($E1221="","Unestimated",IF(NOT(ISNUMBER($E1221)),"Check estimate in hours",IF($E1221&lt;0,"Check estimate in hours",IF($E1221=0,"Unestimated","Estimated"))))))</x:f>
      </x:c>
    </x:row>
    <x:row r="1222">
      <x:c r="A1222" s="12"/>
      <x:c r="B1222" s="12"/>
      <x:c r="C1222" s="12"/>
      <x:c r="D1222" s="12"/>
      <x:c r="E1222" s="14"/>
      <x:c r="F1222" s="13" t="str">
        <x:f>IF($A1222="","",IF($D1222&lt;&gt;'Team Setup'!$B$4,"Other sprint",IF($C1222="","Unassigned",IF(OR(ISNUMBER(SEARCH(",",$C1222)),ISNUMBER(SEARCH(";",$C1222))),"Multiple assignees",IF(COUNTIF('Team Setup'!$B$10:$B$34,$C1222)=1,"Matched","Unmatched")))))</x:f>
      </x:c>
      <x:c r="G1222" s="13" t="str">
        <x:f>IF($A1222="","",IF($D1222&lt;&gt;'Team Setup'!$B$4,"Other sprint",IF($E1222="","Unestimated",IF(NOT(ISNUMBER($E1222)),"Check estimate in hours",IF($E1222&lt;0,"Check estimate in hours",IF($E1222=0,"Unestimated","Estimated"))))))</x:f>
      </x:c>
    </x:row>
    <x:row r="1223">
      <x:c r="A1223" s="12"/>
      <x:c r="B1223" s="12"/>
      <x:c r="C1223" s="12"/>
      <x:c r="D1223" s="12"/>
      <x:c r="E1223" s="14"/>
      <x:c r="F1223" s="13" t="str">
        <x:f>IF($A1223="","",IF($D1223&lt;&gt;'Team Setup'!$B$4,"Other sprint",IF($C1223="","Unassigned",IF(OR(ISNUMBER(SEARCH(",",$C1223)),ISNUMBER(SEARCH(";",$C1223))),"Multiple assignees",IF(COUNTIF('Team Setup'!$B$10:$B$34,$C1223)=1,"Matched","Unmatched")))))</x:f>
      </x:c>
      <x:c r="G1223" s="13" t="str">
        <x:f>IF($A1223="","",IF($D1223&lt;&gt;'Team Setup'!$B$4,"Other sprint",IF($E1223="","Unestimated",IF(NOT(ISNUMBER($E1223)),"Check estimate in hours",IF($E1223&lt;0,"Check estimate in hours",IF($E1223=0,"Unestimated","Estimated"))))))</x:f>
      </x:c>
    </x:row>
    <x:row r="1224">
      <x:c r="A1224" s="12"/>
      <x:c r="B1224" s="12"/>
      <x:c r="C1224" s="12"/>
      <x:c r="D1224" s="12"/>
      <x:c r="E1224" s="14"/>
      <x:c r="F1224" s="13" t="str">
        <x:f>IF($A1224="","",IF($D1224&lt;&gt;'Team Setup'!$B$4,"Other sprint",IF($C1224="","Unassigned",IF(OR(ISNUMBER(SEARCH(",",$C1224)),ISNUMBER(SEARCH(";",$C1224))),"Multiple assignees",IF(COUNTIF('Team Setup'!$B$10:$B$34,$C1224)=1,"Matched","Unmatched")))))</x:f>
      </x:c>
      <x:c r="G1224" s="13" t="str">
        <x:f>IF($A1224="","",IF($D1224&lt;&gt;'Team Setup'!$B$4,"Other sprint",IF($E1224="","Unestimated",IF(NOT(ISNUMBER($E1224)),"Check estimate in hours",IF($E1224&lt;0,"Check estimate in hours",IF($E1224=0,"Unestimated","Estimated"))))))</x:f>
      </x:c>
    </x:row>
    <x:row r="1225">
      <x:c r="A1225" s="12"/>
      <x:c r="B1225" s="12"/>
      <x:c r="C1225" s="12"/>
      <x:c r="D1225" s="12"/>
      <x:c r="E1225" s="14"/>
      <x:c r="F1225" s="13" t="str">
        <x:f>IF($A1225="","",IF($D1225&lt;&gt;'Team Setup'!$B$4,"Other sprint",IF($C1225="","Unassigned",IF(OR(ISNUMBER(SEARCH(",",$C1225)),ISNUMBER(SEARCH(";",$C1225))),"Multiple assignees",IF(COUNTIF('Team Setup'!$B$10:$B$34,$C1225)=1,"Matched","Unmatched")))))</x:f>
      </x:c>
      <x:c r="G1225" s="13" t="str">
        <x:f>IF($A1225="","",IF($D1225&lt;&gt;'Team Setup'!$B$4,"Other sprint",IF($E1225="","Unestimated",IF(NOT(ISNUMBER($E1225)),"Check estimate in hours",IF($E1225&lt;0,"Check estimate in hours",IF($E1225=0,"Unestimated","Estimated"))))))</x:f>
      </x:c>
    </x:row>
    <x:row r="1226">
      <x:c r="A1226" s="12"/>
      <x:c r="B1226" s="12"/>
      <x:c r="C1226" s="12"/>
      <x:c r="D1226" s="12"/>
      <x:c r="E1226" s="14"/>
      <x:c r="F1226" s="13" t="str">
        <x:f>IF($A1226="","",IF($D1226&lt;&gt;'Team Setup'!$B$4,"Other sprint",IF($C1226="","Unassigned",IF(OR(ISNUMBER(SEARCH(",",$C1226)),ISNUMBER(SEARCH(";",$C1226))),"Multiple assignees",IF(COUNTIF('Team Setup'!$B$10:$B$34,$C1226)=1,"Matched","Unmatched")))))</x:f>
      </x:c>
      <x:c r="G1226" s="13" t="str">
        <x:f>IF($A1226="","",IF($D1226&lt;&gt;'Team Setup'!$B$4,"Other sprint",IF($E1226="","Unestimated",IF(NOT(ISNUMBER($E1226)),"Check estimate in hours",IF($E1226&lt;0,"Check estimate in hours",IF($E1226=0,"Unestimated","Estimated"))))))</x:f>
      </x:c>
    </x:row>
    <x:row r="1227">
      <x:c r="A1227" s="12"/>
      <x:c r="B1227" s="12"/>
      <x:c r="C1227" s="12"/>
      <x:c r="D1227" s="12"/>
      <x:c r="E1227" s="14"/>
      <x:c r="F1227" s="13" t="str">
        <x:f>IF($A1227="","",IF($D1227&lt;&gt;'Team Setup'!$B$4,"Other sprint",IF($C1227="","Unassigned",IF(OR(ISNUMBER(SEARCH(",",$C1227)),ISNUMBER(SEARCH(";",$C1227))),"Multiple assignees",IF(COUNTIF('Team Setup'!$B$10:$B$34,$C1227)=1,"Matched","Unmatched")))))</x:f>
      </x:c>
      <x:c r="G1227" s="13" t="str">
        <x:f>IF($A1227="","",IF($D1227&lt;&gt;'Team Setup'!$B$4,"Other sprint",IF($E1227="","Unestimated",IF(NOT(ISNUMBER($E1227)),"Check estimate in hours",IF($E1227&lt;0,"Check estimate in hours",IF($E1227=0,"Unestimated","Estimated"))))))</x:f>
      </x:c>
    </x:row>
    <x:row r="1228">
      <x:c r="A1228" s="12"/>
      <x:c r="B1228" s="12"/>
      <x:c r="C1228" s="12"/>
      <x:c r="D1228" s="12"/>
      <x:c r="E1228" s="14"/>
      <x:c r="F1228" s="13" t="str">
        <x:f>IF($A1228="","",IF($D1228&lt;&gt;'Team Setup'!$B$4,"Other sprint",IF($C1228="","Unassigned",IF(OR(ISNUMBER(SEARCH(",",$C1228)),ISNUMBER(SEARCH(";",$C1228))),"Multiple assignees",IF(COUNTIF('Team Setup'!$B$10:$B$34,$C1228)=1,"Matched","Unmatched")))))</x:f>
      </x:c>
      <x:c r="G1228" s="13" t="str">
        <x:f>IF($A1228="","",IF($D1228&lt;&gt;'Team Setup'!$B$4,"Other sprint",IF($E1228="","Unestimated",IF(NOT(ISNUMBER($E1228)),"Check estimate in hours",IF($E1228&lt;0,"Check estimate in hours",IF($E1228=0,"Unestimated","Estimated"))))))</x:f>
      </x:c>
    </x:row>
    <x:row r="1229">
      <x:c r="A1229" s="12"/>
      <x:c r="B1229" s="12"/>
      <x:c r="C1229" s="12"/>
      <x:c r="D1229" s="12"/>
      <x:c r="E1229" s="14"/>
      <x:c r="F1229" s="13" t="str">
        <x:f>IF($A1229="","",IF($D1229&lt;&gt;'Team Setup'!$B$4,"Other sprint",IF($C1229="","Unassigned",IF(OR(ISNUMBER(SEARCH(",",$C1229)),ISNUMBER(SEARCH(";",$C1229))),"Multiple assignees",IF(COUNTIF('Team Setup'!$B$10:$B$34,$C1229)=1,"Matched","Unmatched")))))</x:f>
      </x:c>
      <x:c r="G1229" s="13" t="str">
        <x:f>IF($A1229="","",IF($D1229&lt;&gt;'Team Setup'!$B$4,"Other sprint",IF($E1229="","Unestimated",IF(NOT(ISNUMBER($E1229)),"Check estimate in hours",IF($E1229&lt;0,"Check estimate in hours",IF($E1229=0,"Unestimated","Estimated"))))))</x:f>
      </x:c>
    </x:row>
    <x:row r="1230">
      <x:c r="A1230" s="12"/>
      <x:c r="B1230" s="12"/>
      <x:c r="C1230" s="12"/>
      <x:c r="D1230" s="12"/>
      <x:c r="E1230" s="14"/>
      <x:c r="F1230" s="13" t="str">
        <x:f>IF($A1230="","",IF($D1230&lt;&gt;'Team Setup'!$B$4,"Other sprint",IF($C1230="","Unassigned",IF(OR(ISNUMBER(SEARCH(",",$C1230)),ISNUMBER(SEARCH(";",$C1230))),"Multiple assignees",IF(COUNTIF('Team Setup'!$B$10:$B$34,$C1230)=1,"Matched","Unmatched")))))</x:f>
      </x:c>
      <x:c r="G1230" s="13" t="str">
        <x:f>IF($A1230="","",IF($D1230&lt;&gt;'Team Setup'!$B$4,"Other sprint",IF($E1230="","Unestimated",IF(NOT(ISNUMBER($E1230)),"Check estimate in hours",IF($E1230&lt;0,"Check estimate in hours",IF($E1230=0,"Unestimated","Estimated"))))))</x:f>
      </x:c>
    </x:row>
    <x:row r="1231">
      <x:c r="A1231" s="12"/>
      <x:c r="B1231" s="12"/>
      <x:c r="C1231" s="12"/>
      <x:c r="D1231" s="12"/>
      <x:c r="E1231" s="14"/>
      <x:c r="F1231" s="13" t="str">
        <x:f>IF($A1231="","",IF($D1231&lt;&gt;'Team Setup'!$B$4,"Other sprint",IF($C1231="","Unassigned",IF(OR(ISNUMBER(SEARCH(",",$C1231)),ISNUMBER(SEARCH(";",$C1231))),"Multiple assignees",IF(COUNTIF('Team Setup'!$B$10:$B$34,$C1231)=1,"Matched","Unmatched")))))</x:f>
      </x:c>
      <x:c r="G1231" s="13" t="str">
        <x:f>IF($A1231="","",IF($D1231&lt;&gt;'Team Setup'!$B$4,"Other sprint",IF($E1231="","Unestimated",IF(NOT(ISNUMBER($E1231)),"Check estimate in hours",IF($E1231&lt;0,"Check estimate in hours",IF($E1231=0,"Unestimated","Estimated"))))))</x:f>
      </x:c>
    </x:row>
    <x:row r="1232">
      <x:c r="A1232" s="12"/>
      <x:c r="B1232" s="12"/>
      <x:c r="C1232" s="12"/>
      <x:c r="D1232" s="12"/>
      <x:c r="E1232" s="14"/>
      <x:c r="F1232" s="13" t="str">
        <x:f>IF($A1232="","",IF($D1232&lt;&gt;'Team Setup'!$B$4,"Other sprint",IF($C1232="","Unassigned",IF(OR(ISNUMBER(SEARCH(",",$C1232)),ISNUMBER(SEARCH(";",$C1232))),"Multiple assignees",IF(COUNTIF('Team Setup'!$B$10:$B$34,$C1232)=1,"Matched","Unmatched")))))</x:f>
      </x:c>
      <x:c r="G1232" s="13" t="str">
        <x:f>IF($A1232="","",IF($D1232&lt;&gt;'Team Setup'!$B$4,"Other sprint",IF($E1232="","Unestimated",IF(NOT(ISNUMBER($E1232)),"Check estimate in hours",IF($E1232&lt;0,"Check estimate in hours",IF($E1232=0,"Unestimated","Estimated"))))))</x:f>
      </x:c>
    </x:row>
    <x:row r="1233">
      <x:c r="A1233" s="12"/>
      <x:c r="B1233" s="12"/>
      <x:c r="C1233" s="12"/>
      <x:c r="D1233" s="12"/>
      <x:c r="E1233" s="14"/>
      <x:c r="F1233" s="13" t="str">
        <x:f>IF($A1233="","",IF($D1233&lt;&gt;'Team Setup'!$B$4,"Other sprint",IF($C1233="","Unassigned",IF(OR(ISNUMBER(SEARCH(",",$C1233)),ISNUMBER(SEARCH(";",$C1233))),"Multiple assignees",IF(COUNTIF('Team Setup'!$B$10:$B$34,$C1233)=1,"Matched","Unmatched")))))</x:f>
      </x:c>
      <x:c r="G1233" s="13" t="str">
        <x:f>IF($A1233="","",IF($D1233&lt;&gt;'Team Setup'!$B$4,"Other sprint",IF($E1233="","Unestimated",IF(NOT(ISNUMBER($E1233)),"Check estimate in hours",IF($E1233&lt;0,"Check estimate in hours",IF($E1233=0,"Unestimated","Estimated"))))))</x:f>
      </x:c>
    </x:row>
    <x:row r="1234">
      <x:c r="A1234" s="12"/>
      <x:c r="B1234" s="12"/>
      <x:c r="C1234" s="12"/>
      <x:c r="D1234" s="12"/>
      <x:c r="E1234" s="14"/>
      <x:c r="F1234" s="13" t="str">
        <x:f>IF($A1234="","",IF($D1234&lt;&gt;'Team Setup'!$B$4,"Other sprint",IF($C1234="","Unassigned",IF(OR(ISNUMBER(SEARCH(",",$C1234)),ISNUMBER(SEARCH(";",$C1234))),"Multiple assignees",IF(COUNTIF('Team Setup'!$B$10:$B$34,$C1234)=1,"Matched","Unmatched")))))</x:f>
      </x:c>
      <x:c r="G1234" s="13" t="str">
        <x:f>IF($A1234="","",IF($D1234&lt;&gt;'Team Setup'!$B$4,"Other sprint",IF($E1234="","Unestimated",IF(NOT(ISNUMBER($E1234)),"Check estimate in hours",IF($E1234&lt;0,"Check estimate in hours",IF($E1234=0,"Unestimated","Estimated"))))))</x:f>
      </x:c>
    </x:row>
    <x:row r="1235">
      <x:c r="A1235" s="12"/>
      <x:c r="B1235" s="12"/>
      <x:c r="C1235" s="12"/>
      <x:c r="D1235" s="12"/>
      <x:c r="E1235" s="14"/>
      <x:c r="F1235" s="13" t="str">
        <x:f>IF($A1235="","",IF($D1235&lt;&gt;'Team Setup'!$B$4,"Other sprint",IF($C1235="","Unassigned",IF(OR(ISNUMBER(SEARCH(",",$C1235)),ISNUMBER(SEARCH(";",$C1235))),"Multiple assignees",IF(COUNTIF('Team Setup'!$B$10:$B$34,$C1235)=1,"Matched","Unmatched")))))</x:f>
      </x:c>
      <x:c r="G1235" s="13" t="str">
        <x:f>IF($A1235="","",IF($D1235&lt;&gt;'Team Setup'!$B$4,"Other sprint",IF($E1235="","Unestimated",IF(NOT(ISNUMBER($E1235)),"Check estimate in hours",IF($E1235&lt;0,"Check estimate in hours",IF($E1235=0,"Unestimated","Estimated"))))))</x:f>
      </x:c>
    </x:row>
    <x:row r="1236">
      <x:c r="A1236" s="12"/>
      <x:c r="B1236" s="12"/>
      <x:c r="C1236" s="12"/>
      <x:c r="D1236" s="12"/>
      <x:c r="E1236" s="14"/>
      <x:c r="F1236" s="13" t="str">
        <x:f>IF($A1236="","",IF($D1236&lt;&gt;'Team Setup'!$B$4,"Other sprint",IF($C1236="","Unassigned",IF(OR(ISNUMBER(SEARCH(",",$C1236)),ISNUMBER(SEARCH(";",$C1236))),"Multiple assignees",IF(COUNTIF('Team Setup'!$B$10:$B$34,$C1236)=1,"Matched","Unmatched")))))</x:f>
      </x:c>
      <x:c r="G1236" s="13" t="str">
        <x:f>IF($A1236="","",IF($D1236&lt;&gt;'Team Setup'!$B$4,"Other sprint",IF($E1236="","Unestimated",IF(NOT(ISNUMBER($E1236)),"Check estimate in hours",IF($E1236&lt;0,"Check estimate in hours",IF($E1236=0,"Unestimated","Estimated"))))))</x:f>
      </x:c>
    </x:row>
    <x:row r="1237">
      <x:c r="A1237" s="12"/>
      <x:c r="B1237" s="12"/>
      <x:c r="C1237" s="12"/>
      <x:c r="D1237" s="12"/>
      <x:c r="E1237" s="14"/>
      <x:c r="F1237" s="13" t="str">
        <x:f>IF($A1237="","",IF($D1237&lt;&gt;'Team Setup'!$B$4,"Other sprint",IF($C1237="","Unassigned",IF(OR(ISNUMBER(SEARCH(",",$C1237)),ISNUMBER(SEARCH(";",$C1237))),"Multiple assignees",IF(COUNTIF('Team Setup'!$B$10:$B$34,$C1237)=1,"Matched","Unmatched")))))</x:f>
      </x:c>
      <x:c r="G1237" s="13" t="str">
        <x:f>IF($A1237="","",IF($D1237&lt;&gt;'Team Setup'!$B$4,"Other sprint",IF($E1237="","Unestimated",IF(NOT(ISNUMBER($E1237)),"Check estimate in hours",IF($E1237&lt;0,"Check estimate in hours",IF($E1237=0,"Unestimated","Estimated"))))))</x:f>
      </x:c>
    </x:row>
    <x:row r="1238">
      <x:c r="A1238" s="12"/>
      <x:c r="B1238" s="12"/>
      <x:c r="C1238" s="12"/>
      <x:c r="D1238" s="12"/>
      <x:c r="E1238" s="14"/>
      <x:c r="F1238" s="13" t="str">
        <x:f>IF($A1238="","",IF($D1238&lt;&gt;'Team Setup'!$B$4,"Other sprint",IF($C1238="","Unassigned",IF(OR(ISNUMBER(SEARCH(",",$C1238)),ISNUMBER(SEARCH(";",$C1238))),"Multiple assignees",IF(COUNTIF('Team Setup'!$B$10:$B$34,$C1238)=1,"Matched","Unmatched")))))</x:f>
      </x:c>
      <x:c r="G1238" s="13" t="str">
        <x:f>IF($A1238="","",IF($D1238&lt;&gt;'Team Setup'!$B$4,"Other sprint",IF($E1238="","Unestimated",IF(NOT(ISNUMBER($E1238)),"Check estimate in hours",IF($E1238&lt;0,"Check estimate in hours",IF($E1238=0,"Unestimated","Estimated"))))))</x:f>
      </x:c>
    </x:row>
    <x:row r="1239">
      <x:c r="A1239" s="12"/>
      <x:c r="B1239" s="12"/>
      <x:c r="C1239" s="12"/>
      <x:c r="D1239" s="12"/>
      <x:c r="E1239" s="14"/>
      <x:c r="F1239" s="13" t="str">
        <x:f>IF($A1239="","",IF($D1239&lt;&gt;'Team Setup'!$B$4,"Other sprint",IF($C1239="","Unassigned",IF(OR(ISNUMBER(SEARCH(",",$C1239)),ISNUMBER(SEARCH(";",$C1239))),"Multiple assignees",IF(COUNTIF('Team Setup'!$B$10:$B$34,$C1239)=1,"Matched","Unmatched")))))</x:f>
      </x:c>
      <x:c r="G1239" s="13" t="str">
        <x:f>IF($A1239="","",IF($D1239&lt;&gt;'Team Setup'!$B$4,"Other sprint",IF($E1239="","Unestimated",IF(NOT(ISNUMBER($E1239)),"Check estimate in hours",IF($E1239&lt;0,"Check estimate in hours",IF($E1239=0,"Unestimated","Estimated"))))))</x:f>
      </x:c>
    </x:row>
    <x:row r="1240">
      <x:c r="A1240" s="12"/>
      <x:c r="B1240" s="12"/>
      <x:c r="C1240" s="12"/>
      <x:c r="D1240" s="12"/>
      <x:c r="E1240" s="14"/>
      <x:c r="F1240" s="13" t="str">
        <x:f>IF($A1240="","",IF($D1240&lt;&gt;'Team Setup'!$B$4,"Other sprint",IF($C1240="","Unassigned",IF(OR(ISNUMBER(SEARCH(",",$C1240)),ISNUMBER(SEARCH(";",$C1240))),"Multiple assignees",IF(COUNTIF('Team Setup'!$B$10:$B$34,$C1240)=1,"Matched","Unmatched")))))</x:f>
      </x:c>
      <x:c r="G1240" s="13" t="str">
        <x:f>IF($A1240="","",IF($D1240&lt;&gt;'Team Setup'!$B$4,"Other sprint",IF($E1240="","Unestimated",IF(NOT(ISNUMBER($E1240)),"Check estimate in hours",IF($E1240&lt;0,"Check estimate in hours",IF($E1240=0,"Unestimated","Estimated"))))))</x:f>
      </x:c>
    </x:row>
    <x:row r="1241">
      <x:c r="A1241" s="12"/>
      <x:c r="B1241" s="12"/>
      <x:c r="C1241" s="12"/>
      <x:c r="D1241" s="12"/>
      <x:c r="E1241" s="14"/>
      <x:c r="F1241" s="13" t="str">
        <x:f>IF($A1241="","",IF($D1241&lt;&gt;'Team Setup'!$B$4,"Other sprint",IF($C1241="","Unassigned",IF(OR(ISNUMBER(SEARCH(",",$C1241)),ISNUMBER(SEARCH(";",$C1241))),"Multiple assignees",IF(COUNTIF('Team Setup'!$B$10:$B$34,$C1241)=1,"Matched","Unmatched")))))</x:f>
      </x:c>
      <x:c r="G1241" s="13" t="str">
        <x:f>IF($A1241="","",IF($D1241&lt;&gt;'Team Setup'!$B$4,"Other sprint",IF($E1241="","Unestimated",IF(NOT(ISNUMBER($E1241)),"Check estimate in hours",IF($E1241&lt;0,"Check estimate in hours",IF($E1241=0,"Unestimated","Estimated"))))))</x:f>
      </x:c>
    </x:row>
    <x:row r="1242">
      <x:c r="A1242" s="12"/>
      <x:c r="B1242" s="12"/>
      <x:c r="C1242" s="12"/>
      <x:c r="D1242" s="12"/>
      <x:c r="E1242" s="14"/>
      <x:c r="F1242" s="13" t="str">
        <x:f>IF($A1242="","",IF($D1242&lt;&gt;'Team Setup'!$B$4,"Other sprint",IF($C1242="","Unassigned",IF(OR(ISNUMBER(SEARCH(",",$C1242)),ISNUMBER(SEARCH(";",$C1242))),"Multiple assignees",IF(COUNTIF('Team Setup'!$B$10:$B$34,$C1242)=1,"Matched","Unmatched")))))</x:f>
      </x:c>
      <x:c r="G1242" s="13" t="str">
        <x:f>IF($A1242="","",IF($D1242&lt;&gt;'Team Setup'!$B$4,"Other sprint",IF($E1242="","Unestimated",IF(NOT(ISNUMBER($E1242)),"Check estimate in hours",IF($E1242&lt;0,"Check estimate in hours",IF($E1242=0,"Unestimated","Estimated"))))))</x:f>
      </x:c>
    </x:row>
    <x:row r="1243">
      <x:c r="A1243" s="12"/>
      <x:c r="B1243" s="12"/>
      <x:c r="C1243" s="12"/>
      <x:c r="D1243" s="12"/>
      <x:c r="E1243" s="14"/>
      <x:c r="F1243" s="13" t="str">
        <x:f>IF($A1243="","",IF($D1243&lt;&gt;'Team Setup'!$B$4,"Other sprint",IF($C1243="","Unassigned",IF(OR(ISNUMBER(SEARCH(",",$C1243)),ISNUMBER(SEARCH(";",$C1243))),"Multiple assignees",IF(COUNTIF('Team Setup'!$B$10:$B$34,$C1243)=1,"Matched","Unmatched")))))</x:f>
      </x:c>
      <x:c r="G1243" s="13" t="str">
        <x:f>IF($A1243="","",IF($D1243&lt;&gt;'Team Setup'!$B$4,"Other sprint",IF($E1243="","Unestimated",IF(NOT(ISNUMBER($E1243)),"Check estimate in hours",IF($E1243&lt;0,"Check estimate in hours",IF($E1243=0,"Unestimated","Estimated"))))))</x:f>
      </x:c>
    </x:row>
    <x:row r="1244">
      <x:c r="A1244" s="12"/>
      <x:c r="B1244" s="12"/>
      <x:c r="C1244" s="12"/>
      <x:c r="D1244" s="12"/>
      <x:c r="E1244" s="14"/>
      <x:c r="F1244" s="13" t="str">
        <x:f>IF($A1244="","",IF($D1244&lt;&gt;'Team Setup'!$B$4,"Other sprint",IF($C1244="","Unassigned",IF(OR(ISNUMBER(SEARCH(",",$C1244)),ISNUMBER(SEARCH(";",$C1244))),"Multiple assignees",IF(COUNTIF('Team Setup'!$B$10:$B$34,$C1244)=1,"Matched","Unmatched")))))</x:f>
      </x:c>
      <x:c r="G1244" s="13" t="str">
        <x:f>IF($A1244="","",IF($D1244&lt;&gt;'Team Setup'!$B$4,"Other sprint",IF($E1244="","Unestimated",IF(NOT(ISNUMBER($E1244)),"Check estimate in hours",IF($E1244&lt;0,"Check estimate in hours",IF($E1244=0,"Unestimated","Estimated"))))))</x:f>
      </x:c>
    </x:row>
    <x:row r="1245">
      <x:c r="A1245" s="12"/>
      <x:c r="B1245" s="12"/>
      <x:c r="C1245" s="12"/>
      <x:c r="D1245" s="12"/>
      <x:c r="E1245" s="14"/>
      <x:c r="F1245" s="13" t="str">
        <x:f>IF($A1245="","",IF($D1245&lt;&gt;'Team Setup'!$B$4,"Other sprint",IF($C1245="","Unassigned",IF(OR(ISNUMBER(SEARCH(",",$C1245)),ISNUMBER(SEARCH(";",$C1245))),"Multiple assignees",IF(COUNTIF('Team Setup'!$B$10:$B$34,$C1245)=1,"Matched","Unmatched")))))</x:f>
      </x:c>
      <x:c r="G1245" s="13" t="str">
        <x:f>IF($A1245="","",IF($D1245&lt;&gt;'Team Setup'!$B$4,"Other sprint",IF($E1245="","Unestimated",IF(NOT(ISNUMBER($E1245)),"Check estimate in hours",IF($E1245&lt;0,"Check estimate in hours",IF($E1245=0,"Unestimated","Estimated"))))))</x:f>
      </x:c>
    </x:row>
    <x:row r="1246">
      <x:c r="A1246" s="12"/>
      <x:c r="B1246" s="12"/>
      <x:c r="C1246" s="12"/>
      <x:c r="D1246" s="12"/>
      <x:c r="E1246" s="14"/>
      <x:c r="F1246" s="13" t="str">
        <x:f>IF($A1246="","",IF($D1246&lt;&gt;'Team Setup'!$B$4,"Other sprint",IF($C1246="","Unassigned",IF(OR(ISNUMBER(SEARCH(",",$C1246)),ISNUMBER(SEARCH(";",$C1246))),"Multiple assignees",IF(COUNTIF('Team Setup'!$B$10:$B$34,$C1246)=1,"Matched","Unmatched")))))</x:f>
      </x:c>
      <x:c r="G1246" s="13" t="str">
        <x:f>IF($A1246="","",IF($D1246&lt;&gt;'Team Setup'!$B$4,"Other sprint",IF($E1246="","Unestimated",IF(NOT(ISNUMBER($E1246)),"Check estimate in hours",IF($E1246&lt;0,"Check estimate in hours",IF($E1246=0,"Unestimated","Estimated"))))))</x:f>
      </x:c>
    </x:row>
    <x:row r="1247">
      <x:c r="A1247" s="12"/>
      <x:c r="B1247" s="12"/>
      <x:c r="C1247" s="12"/>
      <x:c r="D1247" s="12"/>
      <x:c r="E1247" s="14"/>
      <x:c r="F1247" s="13" t="str">
        <x:f>IF($A1247="","",IF($D1247&lt;&gt;'Team Setup'!$B$4,"Other sprint",IF($C1247="","Unassigned",IF(OR(ISNUMBER(SEARCH(",",$C1247)),ISNUMBER(SEARCH(";",$C1247))),"Multiple assignees",IF(COUNTIF('Team Setup'!$B$10:$B$34,$C1247)=1,"Matched","Unmatched")))))</x:f>
      </x:c>
      <x:c r="G1247" s="13" t="str">
        <x:f>IF($A1247="","",IF($D1247&lt;&gt;'Team Setup'!$B$4,"Other sprint",IF($E1247="","Unestimated",IF(NOT(ISNUMBER($E1247)),"Check estimate in hours",IF($E1247&lt;0,"Check estimate in hours",IF($E1247=0,"Unestimated","Estimated"))))))</x:f>
      </x:c>
    </x:row>
    <x:row r="1248">
      <x:c r="A1248" s="12"/>
      <x:c r="B1248" s="12"/>
      <x:c r="C1248" s="12"/>
      <x:c r="D1248" s="12"/>
      <x:c r="E1248" s="14"/>
      <x:c r="F1248" s="13" t="str">
        <x:f>IF($A1248="","",IF($D1248&lt;&gt;'Team Setup'!$B$4,"Other sprint",IF($C1248="","Unassigned",IF(OR(ISNUMBER(SEARCH(",",$C1248)),ISNUMBER(SEARCH(";",$C1248))),"Multiple assignees",IF(COUNTIF('Team Setup'!$B$10:$B$34,$C1248)=1,"Matched","Unmatched")))))</x:f>
      </x:c>
      <x:c r="G1248" s="13" t="str">
        <x:f>IF($A1248="","",IF($D1248&lt;&gt;'Team Setup'!$B$4,"Other sprint",IF($E1248="","Unestimated",IF(NOT(ISNUMBER($E1248)),"Check estimate in hours",IF($E1248&lt;0,"Check estimate in hours",IF($E1248=0,"Unestimated","Estimated"))))))</x:f>
      </x:c>
    </x:row>
    <x:row r="1249">
      <x:c r="A1249" s="12"/>
      <x:c r="B1249" s="12"/>
      <x:c r="C1249" s="12"/>
      <x:c r="D1249" s="12"/>
      <x:c r="E1249" s="14"/>
      <x:c r="F1249" s="13" t="str">
        <x:f>IF($A1249="","",IF($D1249&lt;&gt;'Team Setup'!$B$4,"Other sprint",IF($C1249="","Unassigned",IF(OR(ISNUMBER(SEARCH(",",$C1249)),ISNUMBER(SEARCH(";",$C1249))),"Multiple assignees",IF(COUNTIF('Team Setup'!$B$10:$B$34,$C1249)=1,"Matched","Unmatched")))))</x:f>
      </x:c>
      <x:c r="G1249" s="13" t="str">
        <x:f>IF($A1249="","",IF($D1249&lt;&gt;'Team Setup'!$B$4,"Other sprint",IF($E1249="","Unestimated",IF(NOT(ISNUMBER($E1249)),"Check estimate in hours",IF($E1249&lt;0,"Check estimate in hours",IF($E1249=0,"Unestimated","Estimated"))))))</x:f>
      </x:c>
    </x:row>
    <x:row r="1250">
      <x:c r="A1250" s="12"/>
      <x:c r="B1250" s="12"/>
      <x:c r="C1250" s="12"/>
      <x:c r="D1250" s="12"/>
      <x:c r="E1250" s="14"/>
      <x:c r="F1250" s="13" t="str">
        <x:f>IF($A1250="","",IF($D1250&lt;&gt;'Team Setup'!$B$4,"Other sprint",IF($C1250="","Unassigned",IF(OR(ISNUMBER(SEARCH(",",$C1250)),ISNUMBER(SEARCH(";",$C1250))),"Multiple assignees",IF(COUNTIF('Team Setup'!$B$10:$B$34,$C1250)=1,"Matched","Unmatched")))))</x:f>
      </x:c>
      <x:c r="G1250" s="13" t="str">
        <x:f>IF($A1250="","",IF($D1250&lt;&gt;'Team Setup'!$B$4,"Other sprint",IF($E1250="","Unestimated",IF(NOT(ISNUMBER($E1250)),"Check estimate in hours",IF($E1250&lt;0,"Check estimate in hours",IF($E1250=0,"Unestimated","Estimated"))))))</x:f>
      </x:c>
    </x:row>
    <x:row r="1251">
      <x:c r="A1251" s="12"/>
      <x:c r="B1251" s="12"/>
      <x:c r="C1251" s="12"/>
      <x:c r="D1251" s="12"/>
      <x:c r="E1251" s="14"/>
      <x:c r="F1251" s="13" t="str">
        <x:f>IF($A1251="","",IF($D1251&lt;&gt;'Team Setup'!$B$4,"Other sprint",IF($C1251="","Unassigned",IF(OR(ISNUMBER(SEARCH(",",$C1251)),ISNUMBER(SEARCH(";",$C1251))),"Multiple assignees",IF(COUNTIF('Team Setup'!$B$10:$B$34,$C1251)=1,"Matched","Unmatched")))))</x:f>
      </x:c>
      <x:c r="G1251" s="13" t="str">
        <x:f>IF($A1251="","",IF($D1251&lt;&gt;'Team Setup'!$B$4,"Other sprint",IF($E1251="","Unestimated",IF(NOT(ISNUMBER($E1251)),"Check estimate in hours",IF($E1251&lt;0,"Check estimate in hours",IF($E1251=0,"Unestimated","Estimated"))))))</x:f>
      </x:c>
    </x:row>
    <x:row r="1252">
      <x:c r="A1252" s="12"/>
      <x:c r="B1252" s="12"/>
      <x:c r="C1252" s="12"/>
      <x:c r="D1252" s="12"/>
      <x:c r="E1252" s="14"/>
      <x:c r="F1252" s="13" t="str">
        <x:f>IF($A1252="","",IF($D1252&lt;&gt;'Team Setup'!$B$4,"Other sprint",IF($C1252="","Unassigned",IF(OR(ISNUMBER(SEARCH(",",$C1252)),ISNUMBER(SEARCH(";",$C1252))),"Multiple assignees",IF(COUNTIF('Team Setup'!$B$10:$B$34,$C1252)=1,"Matched","Unmatched")))))</x:f>
      </x:c>
      <x:c r="G1252" s="13" t="str">
        <x:f>IF($A1252="","",IF($D1252&lt;&gt;'Team Setup'!$B$4,"Other sprint",IF($E1252="","Unestimated",IF(NOT(ISNUMBER($E1252)),"Check estimate in hours",IF($E1252&lt;0,"Check estimate in hours",IF($E1252=0,"Unestimated","Estimated"))))))</x:f>
      </x:c>
    </x:row>
    <x:row r="1253">
      <x:c r="A1253" s="12"/>
      <x:c r="B1253" s="12"/>
      <x:c r="C1253" s="12"/>
      <x:c r="D1253" s="12"/>
      <x:c r="E1253" s="14"/>
      <x:c r="F1253" s="13" t="str">
        <x:f>IF($A1253="","",IF($D1253&lt;&gt;'Team Setup'!$B$4,"Other sprint",IF($C1253="","Unassigned",IF(OR(ISNUMBER(SEARCH(",",$C1253)),ISNUMBER(SEARCH(";",$C1253))),"Multiple assignees",IF(COUNTIF('Team Setup'!$B$10:$B$34,$C1253)=1,"Matched","Unmatched")))))</x:f>
      </x:c>
      <x:c r="G1253" s="13" t="str">
        <x:f>IF($A1253="","",IF($D1253&lt;&gt;'Team Setup'!$B$4,"Other sprint",IF($E1253="","Unestimated",IF(NOT(ISNUMBER($E1253)),"Check estimate in hours",IF($E1253&lt;0,"Check estimate in hours",IF($E1253=0,"Unestimated","Estimated"))))))</x:f>
      </x:c>
    </x:row>
    <x:row r="1254">
      <x:c r="A1254" s="12"/>
      <x:c r="B1254" s="12"/>
      <x:c r="C1254" s="12"/>
      <x:c r="D1254" s="12"/>
      <x:c r="E1254" s="14"/>
      <x:c r="F1254" s="13" t="str">
        <x:f>IF($A1254="","",IF($D1254&lt;&gt;'Team Setup'!$B$4,"Other sprint",IF($C1254="","Unassigned",IF(OR(ISNUMBER(SEARCH(",",$C1254)),ISNUMBER(SEARCH(";",$C1254))),"Multiple assignees",IF(COUNTIF('Team Setup'!$B$10:$B$34,$C1254)=1,"Matched","Unmatched")))))</x:f>
      </x:c>
      <x:c r="G1254" s="13" t="str">
        <x:f>IF($A1254="","",IF($D1254&lt;&gt;'Team Setup'!$B$4,"Other sprint",IF($E1254="","Unestimated",IF(NOT(ISNUMBER($E1254)),"Check estimate in hours",IF($E1254&lt;0,"Check estimate in hours",IF($E1254=0,"Unestimated","Estimated"))))))</x:f>
      </x:c>
    </x:row>
    <x:row r="1255">
      <x:c r="A1255" s="12"/>
      <x:c r="B1255" s="12"/>
      <x:c r="C1255" s="12"/>
      <x:c r="D1255" s="12"/>
      <x:c r="E1255" s="14"/>
      <x:c r="F1255" s="13" t="str">
        <x:f>IF($A1255="","",IF($D1255&lt;&gt;'Team Setup'!$B$4,"Other sprint",IF($C1255="","Unassigned",IF(OR(ISNUMBER(SEARCH(",",$C1255)),ISNUMBER(SEARCH(";",$C1255))),"Multiple assignees",IF(COUNTIF('Team Setup'!$B$10:$B$34,$C1255)=1,"Matched","Unmatched")))))</x:f>
      </x:c>
      <x:c r="G1255" s="13" t="str">
        <x:f>IF($A1255="","",IF($D1255&lt;&gt;'Team Setup'!$B$4,"Other sprint",IF($E1255="","Unestimated",IF(NOT(ISNUMBER($E1255)),"Check estimate in hours",IF($E1255&lt;0,"Check estimate in hours",IF($E1255=0,"Unestimated","Estimated"))))))</x:f>
      </x:c>
    </x:row>
    <x:row r="1256">
      <x:c r="A1256" s="12"/>
      <x:c r="B1256" s="12"/>
      <x:c r="C1256" s="12"/>
      <x:c r="D1256" s="12"/>
      <x:c r="E1256" s="14"/>
      <x:c r="F1256" s="13" t="str">
        <x:f>IF($A1256="","",IF($D1256&lt;&gt;'Team Setup'!$B$4,"Other sprint",IF($C1256="","Unassigned",IF(OR(ISNUMBER(SEARCH(",",$C1256)),ISNUMBER(SEARCH(";",$C1256))),"Multiple assignees",IF(COUNTIF('Team Setup'!$B$10:$B$34,$C1256)=1,"Matched","Unmatched")))))</x:f>
      </x:c>
      <x:c r="G1256" s="13" t="str">
        <x:f>IF($A1256="","",IF($D1256&lt;&gt;'Team Setup'!$B$4,"Other sprint",IF($E1256="","Unestimated",IF(NOT(ISNUMBER($E1256)),"Check estimate in hours",IF($E1256&lt;0,"Check estimate in hours",IF($E1256=0,"Unestimated","Estimated"))))))</x:f>
      </x:c>
    </x:row>
    <x:row r="1257">
      <x:c r="A1257" s="12"/>
      <x:c r="B1257" s="12"/>
      <x:c r="C1257" s="12"/>
      <x:c r="D1257" s="12"/>
      <x:c r="E1257" s="14"/>
      <x:c r="F1257" s="13" t="str">
        <x:f>IF($A1257="","",IF($D1257&lt;&gt;'Team Setup'!$B$4,"Other sprint",IF($C1257="","Unassigned",IF(OR(ISNUMBER(SEARCH(",",$C1257)),ISNUMBER(SEARCH(";",$C1257))),"Multiple assignees",IF(COUNTIF('Team Setup'!$B$10:$B$34,$C1257)=1,"Matched","Unmatched")))))</x:f>
      </x:c>
      <x:c r="G1257" s="13" t="str">
        <x:f>IF($A1257="","",IF($D1257&lt;&gt;'Team Setup'!$B$4,"Other sprint",IF($E1257="","Unestimated",IF(NOT(ISNUMBER($E1257)),"Check estimate in hours",IF($E1257&lt;0,"Check estimate in hours",IF($E1257=0,"Unestimated","Estimated"))))))</x:f>
      </x:c>
    </x:row>
    <x:row r="1258">
      <x:c r="A1258" s="12"/>
      <x:c r="B1258" s="12"/>
      <x:c r="C1258" s="12"/>
      <x:c r="D1258" s="12"/>
      <x:c r="E1258" s="14"/>
      <x:c r="F1258" s="13" t="str">
        <x:f>IF($A1258="","",IF($D1258&lt;&gt;'Team Setup'!$B$4,"Other sprint",IF($C1258="","Unassigned",IF(OR(ISNUMBER(SEARCH(",",$C1258)),ISNUMBER(SEARCH(";",$C1258))),"Multiple assignees",IF(COUNTIF('Team Setup'!$B$10:$B$34,$C1258)=1,"Matched","Unmatched")))))</x:f>
      </x:c>
      <x:c r="G1258" s="13" t="str">
        <x:f>IF($A1258="","",IF($D1258&lt;&gt;'Team Setup'!$B$4,"Other sprint",IF($E1258="","Unestimated",IF(NOT(ISNUMBER($E1258)),"Check estimate in hours",IF($E1258&lt;0,"Check estimate in hours",IF($E1258=0,"Unestimated","Estimated"))))))</x:f>
      </x:c>
    </x:row>
    <x:row r="1259">
      <x:c r="A1259" s="12"/>
      <x:c r="B1259" s="12"/>
      <x:c r="C1259" s="12"/>
      <x:c r="D1259" s="12"/>
      <x:c r="E1259" s="14"/>
      <x:c r="F1259" s="13" t="str">
        <x:f>IF($A1259="","",IF($D1259&lt;&gt;'Team Setup'!$B$4,"Other sprint",IF($C1259="","Unassigned",IF(OR(ISNUMBER(SEARCH(",",$C1259)),ISNUMBER(SEARCH(";",$C1259))),"Multiple assignees",IF(COUNTIF('Team Setup'!$B$10:$B$34,$C1259)=1,"Matched","Unmatched")))))</x:f>
      </x:c>
      <x:c r="G1259" s="13" t="str">
        <x:f>IF($A1259="","",IF($D1259&lt;&gt;'Team Setup'!$B$4,"Other sprint",IF($E1259="","Unestimated",IF(NOT(ISNUMBER($E1259)),"Check estimate in hours",IF($E1259&lt;0,"Check estimate in hours",IF($E1259=0,"Unestimated","Estimated"))))))</x:f>
      </x:c>
    </x:row>
    <x:row r="1260">
      <x:c r="A1260" s="12"/>
      <x:c r="B1260" s="12"/>
      <x:c r="C1260" s="12"/>
      <x:c r="D1260" s="12"/>
      <x:c r="E1260" s="14"/>
      <x:c r="F1260" s="13" t="str">
        <x:f>IF($A1260="","",IF($D1260&lt;&gt;'Team Setup'!$B$4,"Other sprint",IF($C1260="","Unassigned",IF(OR(ISNUMBER(SEARCH(",",$C1260)),ISNUMBER(SEARCH(";",$C1260))),"Multiple assignees",IF(COUNTIF('Team Setup'!$B$10:$B$34,$C1260)=1,"Matched","Unmatched")))))</x:f>
      </x:c>
      <x:c r="G1260" s="13" t="str">
        <x:f>IF($A1260="","",IF($D1260&lt;&gt;'Team Setup'!$B$4,"Other sprint",IF($E1260="","Unestimated",IF(NOT(ISNUMBER($E1260)),"Check estimate in hours",IF($E1260&lt;0,"Check estimate in hours",IF($E1260=0,"Unestimated","Estimated"))))))</x:f>
      </x:c>
    </x:row>
    <x:row r="1261">
      <x:c r="A1261" s="12"/>
      <x:c r="B1261" s="12"/>
      <x:c r="C1261" s="12"/>
      <x:c r="D1261" s="12"/>
      <x:c r="E1261" s="14"/>
      <x:c r="F1261" s="13" t="str">
        <x:f>IF($A1261="","",IF($D1261&lt;&gt;'Team Setup'!$B$4,"Other sprint",IF($C1261="","Unassigned",IF(OR(ISNUMBER(SEARCH(",",$C1261)),ISNUMBER(SEARCH(";",$C1261))),"Multiple assignees",IF(COUNTIF('Team Setup'!$B$10:$B$34,$C1261)=1,"Matched","Unmatched")))))</x:f>
      </x:c>
      <x:c r="G1261" s="13" t="str">
        <x:f>IF($A1261="","",IF($D1261&lt;&gt;'Team Setup'!$B$4,"Other sprint",IF($E1261="","Unestimated",IF(NOT(ISNUMBER($E1261)),"Check estimate in hours",IF($E1261&lt;0,"Check estimate in hours",IF($E1261=0,"Unestimated","Estimated"))))))</x:f>
      </x:c>
    </x:row>
    <x:row r="1262">
      <x:c r="A1262" s="12"/>
      <x:c r="B1262" s="12"/>
      <x:c r="C1262" s="12"/>
      <x:c r="D1262" s="12"/>
      <x:c r="E1262" s="14"/>
      <x:c r="F1262" s="13" t="str">
        <x:f>IF($A1262="","",IF($D1262&lt;&gt;'Team Setup'!$B$4,"Other sprint",IF($C1262="","Unassigned",IF(OR(ISNUMBER(SEARCH(",",$C1262)),ISNUMBER(SEARCH(";",$C1262))),"Multiple assignees",IF(COUNTIF('Team Setup'!$B$10:$B$34,$C1262)=1,"Matched","Unmatched")))))</x:f>
      </x:c>
      <x:c r="G1262" s="13" t="str">
        <x:f>IF($A1262="","",IF($D1262&lt;&gt;'Team Setup'!$B$4,"Other sprint",IF($E1262="","Unestimated",IF(NOT(ISNUMBER($E1262)),"Check estimate in hours",IF($E1262&lt;0,"Check estimate in hours",IF($E1262=0,"Unestimated","Estimated"))))))</x:f>
      </x:c>
    </x:row>
    <x:row r="1263">
      <x:c r="A1263" s="12"/>
      <x:c r="B1263" s="12"/>
      <x:c r="C1263" s="12"/>
      <x:c r="D1263" s="12"/>
      <x:c r="E1263" s="14"/>
      <x:c r="F1263" s="13" t="str">
        <x:f>IF($A1263="","",IF($D1263&lt;&gt;'Team Setup'!$B$4,"Other sprint",IF($C1263="","Unassigned",IF(OR(ISNUMBER(SEARCH(",",$C1263)),ISNUMBER(SEARCH(";",$C1263))),"Multiple assignees",IF(COUNTIF('Team Setup'!$B$10:$B$34,$C1263)=1,"Matched","Unmatched")))))</x:f>
      </x:c>
      <x:c r="G1263" s="13" t="str">
        <x:f>IF($A1263="","",IF($D1263&lt;&gt;'Team Setup'!$B$4,"Other sprint",IF($E1263="","Unestimated",IF(NOT(ISNUMBER($E1263)),"Check estimate in hours",IF($E1263&lt;0,"Check estimate in hours",IF($E1263=0,"Unestimated","Estimated"))))))</x:f>
      </x:c>
    </x:row>
    <x:row r="1264">
      <x:c r="A1264" s="12"/>
      <x:c r="B1264" s="12"/>
      <x:c r="C1264" s="12"/>
      <x:c r="D1264" s="12"/>
      <x:c r="E1264" s="14"/>
      <x:c r="F1264" s="13" t="str">
        <x:f>IF($A1264="","",IF($D1264&lt;&gt;'Team Setup'!$B$4,"Other sprint",IF($C1264="","Unassigned",IF(OR(ISNUMBER(SEARCH(",",$C1264)),ISNUMBER(SEARCH(";",$C1264))),"Multiple assignees",IF(COUNTIF('Team Setup'!$B$10:$B$34,$C1264)=1,"Matched","Unmatched")))))</x:f>
      </x:c>
      <x:c r="G1264" s="13" t="str">
        <x:f>IF($A1264="","",IF($D1264&lt;&gt;'Team Setup'!$B$4,"Other sprint",IF($E1264="","Unestimated",IF(NOT(ISNUMBER($E1264)),"Check estimate in hours",IF($E1264&lt;0,"Check estimate in hours",IF($E1264=0,"Unestimated","Estimated"))))))</x:f>
      </x:c>
    </x:row>
    <x:row r="1265">
      <x:c r="A1265" s="12"/>
      <x:c r="B1265" s="12"/>
      <x:c r="C1265" s="12"/>
      <x:c r="D1265" s="12"/>
      <x:c r="E1265" s="14"/>
      <x:c r="F1265" s="13" t="str">
        <x:f>IF($A1265="","",IF($D1265&lt;&gt;'Team Setup'!$B$4,"Other sprint",IF($C1265="","Unassigned",IF(OR(ISNUMBER(SEARCH(",",$C1265)),ISNUMBER(SEARCH(";",$C1265))),"Multiple assignees",IF(COUNTIF('Team Setup'!$B$10:$B$34,$C1265)=1,"Matched","Unmatched")))))</x:f>
      </x:c>
      <x:c r="G1265" s="13" t="str">
        <x:f>IF($A1265="","",IF($D1265&lt;&gt;'Team Setup'!$B$4,"Other sprint",IF($E1265="","Unestimated",IF(NOT(ISNUMBER($E1265)),"Check estimate in hours",IF($E1265&lt;0,"Check estimate in hours",IF($E1265=0,"Unestimated","Estimated"))))))</x:f>
      </x:c>
    </x:row>
    <x:row r="1266">
      <x:c r="A1266" s="12"/>
      <x:c r="B1266" s="12"/>
      <x:c r="C1266" s="12"/>
      <x:c r="D1266" s="12"/>
      <x:c r="E1266" s="14"/>
      <x:c r="F1266" s="13" t="str">
        <x:f>IF($A1266="","",IF($D1266&lt;&gt;'Team Setup'!$B$4,"Other sprint",IF($C1266="","Unassigned",IF(OR(ISNUMBER(SEARCH(",",$C1266)),ISNUMBER(SEARCH(";",$C1266))),"Multiple assignees",IF(COUNTIF('Team Setup'!$B$10:$B$34,$C1266)=1,"Matched","Unmatched")))))</x:f>
      </x:c>
      <x:c r="G1266" s="13" t="str">
        <x:f>IF($A1266="","",IF($D1266&lt;&gt;'Team Setup'!$B$4,"Other sprint",IF($E1266="","Unestimated",IF(NOT(ISNUMBER($E1266)),"Check estimate in hours",IF($E1266&lt;0,"Check estimate in hours",IF($E1266=0,"Unestimated","Estimated"))))))</x:f>
      </x:c>
    </x:row>
    <x:row r="1267">
      <x:c r="A1267" s="12"/>
      <x:c r="B1267" s="12"/>
      <x:c r="C1267" s="12"/>
      <x:c r="D1267" s="12"/>
      <x:c r="E1267" s="14"/>
      <x:c r="F1267" s="13" t="str">
        <x:f>IF($A1267="","",IF($D1267&lt;&gt;'Team Setup'!$B$4,"Other sprint",IF($C1267="","Unassigned",IF(OR(ISNUMBER(SEARCH(",",$C1267)),ISNUMBER(SEARCH(";",$C1267))),"Multiple assignees",IF(COUNTIF('Team Setup'!$B$10:$B$34,$C1267)=1,"Matched","Unmatched")))))</x:f>
      </x:c>
      <x:c r="G1267" s="13" t="str">
        <x:f>IF($A1267="","",IF($D1267&lt;&gt;'Team Setup'!$B$4,"Other sprint",IF($E1267="","Unestimated",IF(NOT(ISNUMBER($E1267)),"Check estimate in hours",IF($E1267&lt;0,"Check estimate in hours",IF($E1267=0,"Unestimated","Estimated"))))))</x:f>
      </x:c>
    </x:row>
    <x:row r="1268">
      <x:c r="A1268" s="12"/>
      <x:c r="B1268" s="12"/>
      <x:c r="C1268" s="12"/>
      <x:c r="D1268" s="12"/>
      <x:c r="E1268" s="14"/>
      <x:c r="F1268" s="13" t="str">
        <x:f>IF($A1268="","",IF($D1268&lt;&gt;'Team Setup'!$B$4,"Other sprint",IF($C1268="","Unassigned",IF(OR(ISNUMBER(SEARCH(",",$C1268)),ISNUMBER(SEARCH(";",$C1268))),"Multiple assignees",IF(COUNTIF('Team Setup'!$B$10:$B$34,$C1268)=1,"Matched","Unmatched")))))</x:f>
      </x:c>
      <x:c r="G1268" s="13" t="str">
        <x:f>IF($A1268="","",IF($D1268&lt;&gt;'Team Setup'!$B$4,"Other sprint",IF($E1268="","Unestimated",IF(NOT(ISNUMBER($E1268)),"Check estimate in hours",IF($E1268&lt;0,"Check estimate in hours",IF($E1268=0,"Unestimated","Estimated"))))))</x:f>
      </x:c>
    </x:row>
    <x:row r="1269">
      <x:c r="A1269" s="12"/>
      <x:c r="B1269" s="12"/>
      <x:c r="C1269" s="12"/>
      <x:c r="D1269" s="12"/>
      <x:c r="E1269" s="14"/>
      <x:c r="F1269" s="13" t="str">
        <x:f>IF($A1269="","",IF($D1269&lt;&gt;'Team Setup'!$B$4,"Other sprint",IF($C1269="","Unassigned",IF(OR(ISNUMBER(SEARCH(",",$C1269)),ISNUMBER(SEARCH(";",$C1269))),"Multiple assignees",IF(COUNTIF('Team Setup'!$B$10:$B$34,$C1269)=1,"Matched","Unmatched")))))</x:f>
      </x:c>
      <x:c r="G1269" s="13" t="str">
        <x:f>IF($A1269="","",IF($D1269&lt;&gt;'Team Setup'!$B$4,"Other sprint",IF($E1269="","Unestimated",IF(NOT(ISNUMBER($E1269)),"Check estimate in hours",IF($E1269&lt;0,"Check estimate in hours",IF($E1269=0,"Unestimated","Estimated"))))))</x:f>
      </x:c>
    </x:row>
    <x:row r="1270">
      <x:c r="A1270" s="12"/>
      <x:c r="B1270" s="12"/>
      <x:c r="C1270" s="12"/>
      <x:c r="D1270" s="12"/>
      <x:c r="E1270" s="14"/>
      <x:c r="F1270" s="13" t="str">
        <x:f>IF($A1270="","",IF($D1270&lt;&gt;'Team Setup'!$B$4,"Other sprint",IF($C1270="","Unassigned",IF(OR(ISNUMBER(SEARCH(",",$C1270)),ISNUMBER(SEARCH(";",$C1270))),"Multiple assignees",IF(COUNTIF('Team Setup'!$B$10:$B$34,$C1270)=1,"Matched","Unmatched")))))</x:f>
      </x:c>
      <x:c r="G1270" s="13" t="str">
        <x:f>IF($A1270="","",IF($D1270&lt;&gt;'Team Setup'!$B$4,"Other sprint",IF($E1270="","Unestimated",IF(NOT(ISNUMBER($E1270)),"Check estimate in hours",IF($E1270&lt;0,"Check estimate in hours",IF($E1270=0,"Unestimated","Estimated"))))))</x:f>
      </x:c>
    </x:row>
    <x:row r="1271">
      <x:c r="A1271" s="12"/>
      <x:c r="B1271" s="12"/>
      <x:c r="C1271" s="12"/>
      <x:c r="D1271" s="12"/>
      <x:c r="E1271" s="14"/>
      <x:c r="F1271" s="13" t="str">
        <x:f>IF($A1271="","",IF($D1271&lt;&gt;'Team Setup'!$B$4,"Other sprint",IF($C1271="","Unassigned",IF(OR(ISNUMBER(SEARCH(",",$C1271)),ISNUMBER(SEARCH(";",$C1271))),"Multiple assignees",IF(COUNTIF('Team Setup'!$B$10:$B$34,$C1271)=1,"Matched","Unmatched")))))</x:f>
      </x:c>
      <x:c r="G1271" s="13" t="str">
        <x:f>IF($A1271="","",IF($D1271&lt;&gt;'Team Setup'!$B$4,"Other sprint",IF($E1271="","Unestimated",IF(NOT(ISNUMBER($E1271)),"Check estimate in hours",IF($E1271&lt;0,"Check estimate in hours",IF($E1271=0,"Unestimated","Estimated"))))))</x:f>
      </x:c>
    </x:row>
    <x:row r="1272">
      <x:c r="A1272" s="12"/>
      <x:c r="B1272" s="12"/>
      <x:c r="C1272" s="12"/>
      <x:c r="D1272" s="12"/>
      <x:c r="E1272" s="14"/>
      <x:c r="F1272" s="13" t="str">
        <x:f>IF($A1272="","",IF($D1272&lt;&gt;'Team Setup'!$B$4,"Other sprint",IF($C1272="","Unassigned",IF(OR(ISNUMBER(SEARCH(",",$C1272)),ISNUMBER(SEARCH(";",$C1272))),"Multiple assignees",IF(COUNTIF('Team Setup'!$B$10:$B$34,$C1272)=1,"Matched","Unmatched")))))</x:f>
      </x:c>
      <x:c r="G1272" s="13" t="str">
        <x:f>IF($A1272="","",IF($D1272&lt;&gt;'Team Setup'!$B$4,"Other sprint",IF($E1272="","Unestimated",IF(NOT(ISNUMBER($E1272)),"Check estimate in hours",IF($E1272&lt;0,"Check estimate in hours",IF($E1272=0,"Unestimated","Estimated"))))))</x:f>
      </x:c>
    </x:row>
    <x:row r="1273">
      <x:c r="A1273" s="12"/>
      <x:c r="B1273" s="12"/>
      <x:c r="C1273" s="12"/>
      <x:c r="D1273" s="12"/>
      <x:c r="E1273" s="14"/>
      <x:c r="F1273" s="13" t="str">
        <x:f>IF($A1273="","",IF($D1273&lt;&gt;'Team Setup'!$B$4,"Other sprint",IF($C1273="","Unassigned",IF(OR(ISNUMBER(SEARCH(",",$C1273)),ISNUMBER(SEARCH(";",$C1273))),"Multiple assignees",IF(COUNTIF('Team Setup'!$B$10:$B$34,$C1273)=1,"Matched","Unmatched")))))</x:f>
      </x:c>
      <x:c r="G1273" s="13" t="str">
        <x:f>IF($A1273="","",IF($D1273&lt;&gt;'Team Setup'!$B$4,"Other sprint",IF($E1273="","Unestimated",IF(NOT(ISNUMBER($E1273)),"Check estimate in hours",IF($E1273&lt;0,"Check estimate in hours",IF($E1273=0,"Unestimated","Estimated"))))))</x:f>
      </x:c>
    </x:row>
    <x:row r="1274">
      <x:c r="A1274" s="12"/>
      <x:c r="B1274" s="12"/>
      <x:c r="C1274" s="12"/>
      <x:c r="D1274" s="12"/>
      <x:c r="E1274" s="14"/>
      <x:c r="F1274" s="13" t="str">
        <x:f>IF($A1274="","",IF($D1274&lt;&gt;'Team Setup'!$B$4,"Other sprint",IF($C1274="","Unassigned",IF(OR(ISNUMBER(SEARCH(",",$C1274)),ISNUMBER(SEARCH(";",$C1274))),"Multiple assignees",IF(COUNTIF('Team Setup'!$B$10:$B$34,$C1274)=1,"Matched","Unmatched")))))</x:f>
      </x:c>
      <x:c r="G1274" s="13" t="str">
        <x:f>IF($A1274="","",IF($D1274&lt;&gt;'Team Setup'!$B$4,"Other sprint",IF($E1274="","Unestimated",IF(NOT(ISNUMBER($E1274)),"Check estimate in hours",IF($E1274&lt;0,"Check estimate in hours",IF($E1274=0,"Unestimated","Estimated"))))))</x:f>
      </x:c>
    </x:row>
    <x:row r="1275">
      <x:c r="A1275" s="12"/>
      <x:c r="B1275" s="12"/>
      <x:c r="C1275" s="12"/>
      <x:c r="D1275" s="12"/>
      <x:c r="E1275" s="14"/>
      <x:c r="F1275" s="13" t="str">
        <x:f>IF($A1275="","",IF($D1275&lt;&gt;'Team Setup'!$B$4,"Other sprint",IF($C1275="","Unassigned",IF(OR(ISNUMBER(SEARCH(",",$C1275)),ISNUMBER(SEARCH(";",$C1275))),"Multiple assignees",IF(COUNTIF('Team Setup'!$B$10:$B$34,$C1275)=1,"Matched","Unmatched")))))</x:f>
      </x:c>
      <x:c r="G1275" s="13" t="str">
        <x:f>IF($A1275="","",IF($D1275&lt;&gt;'Team Setup'!$B$4,"Other sprint",IF($E1275="","Unestimated",IF(NOT(ISNUMBER($E1275)),"Check estimate in hours",IF($E1275&lt;0,"Check estimate in hours",IF($E1275=0,"Unestimated","Estimated"))))))</x:f>
      </x:c>
    </x:row>
    <x:row r="1276">
      <x:c r="A1276" s="12"/>
      <x:c r="B1276" s="12"/>
      <x:c r="C1276" s="12"/>
      <x:c r="D1276" s="12"/>
      <x:c r="E1276" s="14"/>
      <x:c r="F1276" s="13" t="str">
        <x:f>IF($A1276="","",IF($D1276&lt;&gt;'Team Setup'!$B$4,"Other sprint",IF($C1276="","Unassigned",IF(OR(ISNUMBER(SEARCH(",",$C1276)),ISNUMBER(SEARCH(";",$C1276))),"Multiple assignees",IF(COUNTIF('Team Setup'!$B$10:$B$34,$C1276)=1,"Matched","Unmatched")))))</x:f>
      </x:c>
      <x:c r="G1276" s="13" t="str">
        <x:f>IF($A1276="","",IF($D1276&lt;&gt;'Team Setup'!$B$4,"Other sprint",IF($E1276="","Unestimated",IF(NOT(ISNUMBER($E1276)),"Check estimate in hours",IF($E1276&lt;0,"Check estimate in hours",IF($E1276=0,"Unestimated","Estimated"))))))</x:f>
      </x:c>
    </x:row>
    <x:row r="1277">
      <x:c r="A1277" s="12"/>
      <x:c r="B1277" s="12"/>
      <x:c r="C1277" s="12"/>
      <x:c r="D1277" s="12"/>
      <x:c r="E1277" s="14"/>
      <x:c r="F1277" s="13" t="str">
        <x:f>IF($A1277="","",IF($D1277&lt;&gt;'Team Setup'!$B$4,"Other sprint",IF($C1277="","Unassigned",IF(OR(ISNUMBER(SEARCH(",",$C1277)),ISNUMBER(SEARCH(";",$C1277))),"Multiple assignees",IF(COUNTIF('Team Setup'!$B$10:$B$34,$C1277)=1,"Matched","Unmatched")))))</x:f>
      </x:c>
      <x:c r="G1277" s="13" t="str">
        <x:f>IF($A1277="","",IF($D1277&lt;&gt;'Team Setup'!$B$4,"Other sprint",IF($E1277="","Unestimated",IF(NOT(ISNUMBER($E1277)),"Check estimate in hours",IF($E1277&lt;0,"Check estimate in hours",IF($E1277=0,"Unestimated","Estimated"))))))</x:f>
      </x:c>
    </x:row>
    <x:row r="1278">
      <x:c r="A1278" s="12"/>
      <x:c r="B1278" s="12"/>
      <x:c r="C1278" s="12"/>
      <x:c r="D1278" s="12"/>
      <x:c r="E1278" s="14"/>
      <x:c r="F1278" s="13" t="str">
        <x:f>IF($A1278="","",IF($D1278&lt;&gt;'Team Setup'!$B$4,"Other sprint",IF($C1278="","Unassigned",IF(OR(ISNUMBER(SEARCH(",",$C1278)),ISNUMBER(SEARCH(";",$C1278))),"Multiple assignees",IF(COUNTIF('Team Setup'!$B$10:$B$34,$C1278)=1,"Matched","Unmatched")))))</x:f>
      </x:c>
      <x:c r="G1278" s="13" t="str">
        <x:f>IF($A1278="","",IF($D1278&lt;&gt;'Team Setup'!$B$4,"Other sprint",IF($E1278="","Unestimated",IF(NOT(ISNUMBER($E1278)),"Check estimate in hours",IF($E1278&lt;0,"Check estimate in hours",IF($E1278=0,"Unestimated","Estimated"))))))</x:f>
      </x:c>
    </x:row>
    <x:row r="1279">
      <x:c r="A1279" s="12"/>
      <x:c r="B1279" s="12"/>
      <x:c r="C1279" s="12"/>
      <x:c r="D1279" s="12"/>
      <x:c r="E1279" s="14"/>
      <x:c r="F1279" s="13" t="str">
        <x:f>IF($A1279="","",IF($D1279&lt;&gt;'Team Setup'!$B$4,"Other sprint",IF($C1279="","Unassigned",IF(OR(ISNUMBER(SEARCH(",",$C1279)),ISNUMBER(SEARCH(";",$C1279))),"Multiple assignees",IF(COUNTIF('Team Setup'!$B$10:$B$34,$C1279)=1,"Matched","Unmatched")))))</x:f>
      </x:c>
      <x:c r="G1279" s="13" t="str">
        <x:f>IF($A1279="","",IF($D1279&lt;&gt;'Team Setup'!$B$4,"Other sprint",IF($E1279="","Unestimated",IF(NOT(ISNUMBER($E1279)),"Check estimate in hours",IF($E1279&lt;0,"Check estimate in hours",IF($E1279=0,"Unestimated","Estimated"))))))</x:f>
      </x:c>
    </x:row>
    <x:row r="1280">
      <x:c r="A1280" s="12"/>
      <x:c r="B1280" s="12"/>
      <x:c r="C1280" s="12"/>
      <x:c r="D1280" s="12"/>
      <x:c r="E1280" s="14"/>
      <x:c r="F1280" s="13" t="str">
        <x:f>IF($A1280="","",IF($D1280&lt;&gt;'Team Setup'!$B$4,"Other sprint",IF($C1280="","Unassigned",IF(OR(ISNUMBER(SEARCH(",",$C1280)),ISNUMBER(SEARCH(";",$C1280))),"Multiple assignees",IF(COUNTIF('Team Setup'!$B$10:$B$34,$C1280)=1,"Matched","Unmatched")))))</x:f>
      </x:c>
      <x:c r="G1280" s="13" t="str">
        <x:f>IF($A1280="","",IF($D1280&lt;&gt;'Team Setup'!$B$4,"Other sprint",IF($E1280="","Unestimated",IF(NOT(ISNUMBER($E1280)),"Check estimate in hours",IF($E1280&lt;0,"Check estimate in hours",IF($E1280=0,"Unestimated","Estimated"))))))</x:f>
      </x:c>
    </x:row>
    <x:row r="1281">
      <x:c r="A1281" s="12"/>
      <x:c r="B1281" s="12"/>
      <x:c r="C1281" s="12"/>
      <x:c r="D1281" s="12"/>
      <x:c r="E1281" s="14"/>
      <x:c r="F1281" s="13" t="str">
        <x:f>IF($A1281="","",IF($D1281&lt;&gt;'Team Setup'!$B$4,"Other sprint",IF($C1281="","Unassigned",IF(OR(ISNUMBER(SEARCH(",",$C1281)),ISNUMBER(SEARCH(";",$C1281))),"Multiple assignees",IF(COUNTIF('Team Setup'!$B$10:$B$34,$C1281)=1,"Matched","Unmatched")))))</x:f>
      </x:c>
      <x:c r="G1281" s="13" t="str">
        <x:f>IF($A1281="","",IF($D1281&lt;&gt;'Team Setup'!$B$4,"Other sprint",IF($E1281="","Unestimated",IF(NOT(ISNUMBER($E1281)),"Check estimate in hours",IF($E1281&lt;0,"Check estimate in hours",IF($E1281=0,"Unestimated","Estimated"))))))</x:f>
      </x:c>
    </x:row>
    <x:row r="1282">
      <x:c r="A1282" s="12"/>
      <x:c r="B1282" s="12"/>
      <x:c r="C1282" s="12"/>
      <x:c r="D1282" s="12"/>
      <x:c r="E1282" s="14"/>
      <x:c r="F1282" s="13" t="str">
        <x:f>IF($A1282="","",IF($D1282&lt;&gt;'Team Setup'!$B$4,"Other sprint",IF($C1282="","Unassigned",IF(OR(ISNUMBER(SEARCH(",",$C1282)),ISNUMBER(SEARCH(";",$C1282))),"Multiple assignees",IF(COUNTIF('Team Setup'!$B$10:$B$34,$C1282)=1,"Matched","Unmatched")))))</x:f>
      </x:c>
      <x:c r="G1282" s="13" t="str">
        <x:f>IF($A1282="","",IF($D1282&lt;&gt;'Team Setup'!$B$4,"Other sprint",IF($E1282="","Unestimated",IF(NOT(ISNUMBER($E1282)),"Check estimate in hours",IF($E1282&lt;0,"Check estimate in hours",IF($E1282=0,"Unestimated","Estimated"))))))</x:f>
      </x:c>
    </x:row>
    <x:row r="1283">
      <x:c r="A1283" s="12"/>
      <x:c r="B1283" s="12"/>
      <x:c r="C1283" s="12"/>
      <x:c r="D1283" s="12"/>
      <x:c r="E1283" s="14"/>
      <x:c r="F1283" s="13" t="str">
        <x:f>IF($A1283="","",IF($D1283&lt;&gt;'Team Setup'!$B$4,"Other sprint",IF($C1283="","Unassigned",IF(OR(ISNUMBER(SEARCH(",",$C1283)),ISNUMBER(SEARCH(";",$C1283))),"Multiple assignees",IF(COUNTIF('Team Setup'!$B$10:$B$34,$C1283)=1,"Matched","Unmatched")))))</x:f>
      </x:c>
      <x:c r="G1283" s="13" t="str">
        <x:f>IF($A1283="","",IF($D1283&lt;&gt;'Team Setup'!$B$4,"Other sprint",IF($E1283="","Unestimated",IF(NOT(ISNUMBER($E1283)),"Check estimate in hours",IF($E1283&lt;0,"Check estimate in hours",IF($E1283=0,"Unestimated","Estimated"))))))</x:f>
      </x:c>
    </x:row>
    <x:row r="1284">
      <x:c r="A1284" s="12"/>
      <x:c r="B1284" s="12"/>
      <x:c r="C1284" s="12"/>
      <x:c r="D1284" s="12"/>
      <x:c r="E1284" s="14"/>
      <x:c r="F1284" s="13" t="str">
        <x:f>IF($A1284="","",IF($D1284&lt;&gt;'Team Setup'!$B$4,"Other sprint",IF($C1284="","Unassigned",IF(OR(ISNUMBER(SEARCH(",",$C1284)),ISNUMBER(SEARCH(";",$C1284))),"Multiple assignees",IF(COUNTIF('Team Setup'!$B$10:$B$34,$C1284)=1,"Matched","Unmatched")))))</x:f>
      </x:c>
      <x:c r="G1284" s="13" t="str">
        <x:f>IF($A1284="","",IF($D1284&lt;&gt;'Team Setup'!$B$4,"Other sprint",IF($E1284="","Unestimated",IF(NOT(ISNUMBER($E1284)),"Check estimate in hours",IF($E1284&lt;0,"Check estimate in hours",IF($E1284=0,"Unestimated","Estimated"))))))</x:f>
      </x:c>
    </x:row>
    <x:row r="1285">
      <x:c r="A1285" s="12"/>
      <x:c r="B1285" s="12"/>
      <x:c r="C1285" s="12"/>
      <x:c r="D1285" s="12"/>
      <x:c r="E1285" s="14"/>
      <x:c r="F1285" s="13" t="str">
        <x:f>IF($A1285="","",IF($D1285&lt;&gt;'Team Setup'!$B$4,"Other sprint",IF($C1285="","Unassigned",IF(OR(ISNUMBER(SEARCH(",",$C1285)),ISNUMBER(SEARCH(";",$C1285))),"Multiple assignees",IF(COUNTIF('Team Setup'!$B$10:$B$34,$C1285)=1,"Matched","Unmatched")))))</x:f>
      </x:c>
      <x:c r="G1285" s="13" t="str">
        <x:f>IF($A1285="","",IF($D1285&lt;&gt;'Team Setup'!$B$4,"Other sprint",IF($E1285="","Unestimated",IF(NOT(ISNUMBER($E1285)),"Check estimate in hours",IF($E1285&lt;0,"Check estimate in hours",IF($E1285=0,"Unestimated","Estimated"))))))</x:f>
      </x:c>
    </x:row>
    <x:row r="1286">
      <x:c r="A1286" s="12"/>
      <x:c r="B1286" s="12"/>
      <x:c r="C1286" s="12"/>
      <x:c r="D1286" s="12"/>
      <x:c r="E1286" s="14"/>
      <x:c r="F1286" s="13" t="str">
        <x:f>IF($A1286="","",IF($D1286&lt;&gt;'Team Setup'!$B$4,"Other sprint",IF($C1286="","Unassigned",IF(OR(ISNUMBER(SEARCH(",",$C1286)),ISNUMBER(SEARCH(";",$C1286))),"Multiple assignees",IF(COUNTIF('Team Setup'!$B$10:$B$34,$C1286)=1,"Matched","Unmatched")))))</x:f>
      </x:c>
      <x:c r="G1286" s="13" t="str">
        <x:f>IF($A1286="","",IF($D1286&lt;&gt;'Team Setup'!$B$4,"Other sprint",IF($E1286="","Unestimated",IF(NOT(ISNUMBER($E1286)),"Check estimate in hours",IF($E1286&lt;0,"Check estimate in hours",IF($E1286=0,"Unestimated","Estimated"))))))</x:f>
      </x:c>
    </x:row>
    <x:row r="1287">
      <x:c r="A1287" s="12"/>
      <x:c r="B1287" s="12"/>
      <x:c r="C1287" s="12"/>
      <x:c r="D1287" s="12"/>
      <x:c r="E1287" s="14"/>
      <x:c r="F1287" s="13" t="str">
        <x:f>IF($A1287="","",IF($D1287&lt;&gt;'Team Setup'!$B$4,"Other sprint",IF($C1287="","Unassigned",IF(OR(ISNUMBER(SEARCH(",",$C1287)),ISNUMBER(SEARCH(";",$C1287))),"Multiple assignees",IF(COUNTIF('Team Setup'!$B$10:$B$34,$C1287)=1,"Matched","Unmatched")))))</x:f>
      </x:c>
      <x:c r="G1287" s="13" t="str">
        <x:f>IF($A1287="","",IF($D1287&lt;&gt;'Team Setup'!$B$4,"Other sprint",IF($E1287="","Unestimated",IF(NOT(ISNUMBER($E1287)),"Check estimate in hours",IF($E1287&lt;0,"Check estimate in hours",IF($E1287=0,"Unestimated","Estimated"))))))</x:f>
      </x:c>
    </x:row>
    <x:row r="1288">
      <x:c r="A1288" s="12"/>
      <x:c r="B1288" s="12"/>
      <x:c r="C1288" s="12"/>
      <x:c r="D1288" s="12"/>
      <x:c r="E1288" s="14"/>
      <x:c r="F1288" s="13" t="str">
        <x:f>IF($A1288="","",IF($D1288&lt;&gt;'Team Setup'!$B$4,"Other sprint",IF($C1288="","Unassigned",IF(OR(ISNUMBER(SEARCH(",",$C1288)),ISNUMBER(SEARCH(";",$C1288))),"Multiple assignees",IF(COUNTIF('Team Setup'!$B$10:$B$34,$C1288)=1,"Matched","Unmatched")))))</x:f>
      </x:c>
      <x:c r="G1288" s="13" t="str">
        <x:f>IF($A1288="","",IF($D1288&lt;&gt;'Team Setup'!$B$4,"Other sprint",IF($E1288="","Unestimated",IF(NOT(ISNUMBER($E1288)),"Check estimate in hours",IF($E1288&lt;0,"Check estimate in hours",IF($E1288=0,"Unestimated","Estimated"))))))</x:f>
      </x:c>
    </x:row>
    <x:row r="1289">
      <x:c r="A1289" s="12"/>
      <x:c r="B1289" s="12"/>
      <x:c r="C1289" s="12"/>
      <x:c r="D1289" s="12"/>
      <x:c r="E1289" s="14"/>
      <x:c r="F1289" s="13" t="str">
        <x:f>IF($A1289="","",IF($D1289&lt;&gt;'Team Setup'!$B$4,"Other sprint",IF($C1289="","Unassigned",IF(OR(ISNUMBER(SEARCH(",",$C1289)),ISNUMBER(SEARCH(";",$C1289))),"Multiple assignees",IF(COUNTIF('Team Setup'!$B$10:$B$34,$C1289)=1,"Matched","Unmatched")))))</x:f>
      </x:c>
      <x:c r="G1289" s="13" t="str">
        <x:f>IF($A1289="","",IF($D1289&lt;&gt;'Team Setup'!$B$4,"Other sprint",IF($E1289="","Unestimated",IF(NOT(ISNUMBER($E1289)),"Check estimate in hours",IF($E1289&lt;0,"Check estimate in hours",IF($E1289=0,"Unestimated","Estimated"))))))</x:f>
      </x:c>
    </x:row>
    <x:row r="1290">
      <x:c r="A1290" s="12"/>
      <x:c r="B1290" s="12"/>
      <x:c r="C1290" s="12"/>
      <x:c r="D1290" s="12"/>
      <x:c r="E1290" s="14"/>
      <x:c r="F1290" s="13" t="str">
        <x:f>IF($A1290="","",IF($D1290&lt;&gt;'Team Setup'!$B$4,"Other sprint",IF($C1290="","Unassigned",IF(OR(ISNUMBER(SEARCH(",",$C1290)),ISNUMBER(SEARCH(";",$C1290))),"Multiple assignees",IF(COUNTIF('Team Setup'!$B$10:$B$34,$C1290)=1,"Matched","Unmatched")))))</x:f>
      </x:c>
      <x:c r="G1290" s="13" t="str">
        <x:f>IF($A1290="","",IF($D1290&lt;&gt;'Team Setup'!$B$4,"Other sprint",IF($E1290="","Unestimated",IF(NOT(ISNUMBER($E1290)),"Check estimate in hours",IF($E1290&lt;0,"Check estimate in hours",IF($E1290=0,"Unestimated","Estimated"))))))</x:f>
      </x:c>
    </x:row>
    <x:row r="1291">
      <x:c r="A1291" s="12"/>
      <x:c r="B1291" s="12"/>
      <x:c r="C1291" s="12"/>
      <x:c r="D1291" s="12"/>
      <x:c r="E1291" s="14"/>
      <x:c r="F1291" s="13" t="str">
        <x:f>IF($A1291="","",IF($D1291&lt;&gt;'Team Setup'!$B$4,"Other sprint",IF($C1291="","Unassigned",IF(OR(ISNUMBER(SEARCH(",",$C1291)),ISNUMBER(SEARCH(";",$C1291))),"Multiple assignees",IF(COUNTIF('Team Setup'!$B$10:$B$34,$C1291)=1,"Matched","Unmatched")))))</x:f>
      </x:c>
      <x:c r="G1291" s="13" t="str">
        <x:f>IF($A1291="","",IF($D1291&lt;&gt;'Team Setup'!$B$4,"Other sprint",IF($E1291="","Unestimated",IF(NOT(ISNUMBER($E1291)),"Check estimate in hours",IF($E1291&lt;0,"Check estimate in hours",IF($E1291=0,"Unestimated","Estimated"))))))</x:f>
      </x:c>
    </x:row>
    <x:row r="1292">
      <x:c r="A1292" s="12"/>
      <x:c r="B1292" s="12"/>
      <x:c r="C1292" s="12"/>
      <x:c r="D1292" s="12"/>
      <x:c r="E1292" s="14"/>
      <x:c r="F1292" s="13" t="str">
        <x:f>IF($A1292="","",IF($D1292&lt;&gt;'Team Setup'!$B$4,"Other sprint",IF($C1292="","Unassigned",IF(OR(ISNUMBER(SEARCH(",",$C1292)),ISNUMBER(SEARCH(";",$C1292))),"Multiple assignees",IF(COUNTIF('Team Setup'!$B$10:$B$34,$C1292)=1,"Matched","Unmatched")))))</x:f>
      </x:c>
      <x:c r="G1292" s="13" t="str">
        <x:f>IF($A1292="","",IF($D1292&lt;&gt;'Team Setup'!$B$4,"Other sprint",IF($E1292="","Unestimated",IF(NOT(ISNUMBER($E1292)),"Check estimate in hours",IF($E1292&lt;0,"Check estimate in hours",IF($E1292=0,"Unestimated","Estimated"))))))</x:f>
      </x:c>
    </x:row>
    <x:row r="1293">
      <x:c r="A1293" s="12"/>
      <x:c r="B1293" s="12"/>
      <x:c r="C1293" s="12"/>
      <x:c r="D1293" s="12"/>
      <x:c r="E1293" s="14"/>
      <x:c r="F1293" s="13" t="str">
        <x:f>IF($A1293="","",IF($D1293&lt;&gt;'Team Setup'!$B$4,"Other sprint",IF($C1293="","Unassigned",IF(OR(ISNUMBER(SEARCH(",",$C1293)),ISNUMBER(SEARCH(";",$C1293))),"Multiple assignees",IF(COUNTIF('Team Setup'!$B$10:$B$34,$C1293)=1,"Matched","Unmatched")))))</x:f>
      </x:c>
      <x:c r="G1293" s="13" t="str">
        <x:f>IF($A1293="","",IF($D1293&lt;&gt;'Team Setup'!$B$4,"Other sprint",IF($E1293="","Unestimated",IF(NOT(ISNUMBER($E1293)),"Check estimate in hours",IF($E1293&lt;0,"Check estimate in hours",IF($E1293=0,"Unestimated","Estimated"))))))</x:f>
      </x:c>
    </x:row>
    <x:row r="1294">
      <x:c r="A1294" s="12"/>
      <x:c r="B1294" s="12"/>
      <x:c r="C1294" s="12"/>
      <x:c r="D1294" s="12"/>
      <x:c r="E1294" s="14"/>
      <x:c r="F1294" s="13" t="str">
        <x:f>IF($A1294="","",IF($D1294&lt;&gt;'Team Setup'!$B$4,"Other sprint",IF($C1294="","Unassigned",IF(OR(ISNUMBER(SEARCH(",",$C1294)),ISNUMBER(SEARCH(";",$C1294))),"Multiple assignees",IF(COUNTIF('Team Setup'!$B$10:$B$34,$C1294)=1,"Matched","Unmatched")))))</x:f>
      </x:c>
      <x:c r="G1294" s="13" t="str">
        <x:f>IF($A1294="","",IF($D1294&lt;&gt;'Team Setup'!$B$4,"Other sprint",IF($E1294="","Unestimated",IF(NOT(ISNUMBER($E1294)),"Check estimate in hours",IF($E1294&lt;0,"Check estimate in hours",IF($E1294=0,"Unestimated","Estimated"))))))</x:f>
      </x:c>
    </x:row>
    <x:row r="1295">
      <x:c r="A1295" s="12"/>
      <x:c r="B1295" s="12"/>
      <x:c r="C1295" s="12"/>
      <x:c r="D1295" s="12"/>
      <x:c r="E1295" s="14"/>
      <x:c r="F1295" s="13" t="str">
        <x:f>IF($A1295="","",IF($D1295&lt;&gt;'Team Setup'!$B$4,"Other sprint",IF($C1295="","Unassigned",IF(OR(ISNUMBER(SEARCH(",",$C1295)),ISNUMBER(SEARCH(";",$C1295))),"Multiple assignees",IF(COUNTIF('Team Setup'!$B$10:$B$34,$C1295)=1,"Matched","Unmatched")))))</x:f>
      </x:c>
      <x:c r="G1295" s="13" t="str">
        <x:f>IF($A1295="","",IF($D1295&lt;&gt;'Team Setup'!$B$4,"Other sprint",IF($E1295="","Unestimated",IF(NOT(ISNUMBER($E1295)),"Check estimate in hours",IF($E1295&lt;0,"Check estimate in hours",IF($E1295=0,"Unestimated","Estimated"))))))</x:f>
      </x:c>
    </x:row>
    <x:row r="1296">
      <x:c r="A1296" s="12"/>
      <x:c r="B1296" s="12"/>
      <x:c r="C1296" s="12"/>
      <x:c r="D1296" s="12"/>
      <x:c r="E1296" s="14"/>
      <x:c r="F1296" s="13" t="str">
        <x:f>IF($A1296="","",IF($D1296&lt;&gt;'Team Setup'!$B$4,"Other sprint",IF($C1296="","Unassigned",IF(OR(ISNUMBER(SEARCH(",",$C1296)),ISNUMBER(SEARCH(";",$C1296))),"Multiple assignees",IF(COUNTIF('Team Setup'!$B$10:$B$34,$C1296)=1,"Matched","Unmatched")))))</x:f>
      </x:c>
      <x:c r="G1296" s="13" t="str">
        <x:f>IF($A1296="","",IF($D1296&lt;&gt;'Team Setup'!$B$4,"Other sprint",IF($E1296="","Unestimated",IF(NOT(ISNUMBER($E1296)),"Check estimate in hours",IF($E1296&lt;0,"Check estimate in hours",IF($E1296=0,"Unestimated","Estimated"))))))</x:f>
      </x:c>
    </x:row>
    <x:row r="1297">
      <x:c r="A1297" s="12"/>
      <x:c r="B1297" s="12"/>
      <x:c r="C1297" s="12"/>
      <x:c r="D1297" s="12"/>
      <x:c r="E1297" s="14"/>
      <x:c r="F1297" s="13" t="str">
        <x:f>IF($A1297="","",IF($D1297&lt;&gt;'Team Setup'!$B$4,"Other sprint",IF($C1297="","Unassigned",IF(OR(ISNUMBER(SEARCH(",",$C1297)),ISNUMBER(SEARCH(";",$C1297))),"Multiple assignees",IF(COUNTIF('Team Setup'!$B$10:$B$34,$C1297)=1,"Matched","Unmatched")))))</x:f>
      </x:c>
      <x:c r="G1297" s="13" t="str">
        <x:f>IF($A1297="","",IF($D1297&lt;&gt;'Team Setup'!$B$4,"Other sprint",IF($E1297="","Unestimated",IF(NOT(ISNUMBER($E1297)),"Check estimate in hours",IF($E1297&lt;0,"Check estimate in hours",IF($E1297=0,"Unestimated","Estimated"))))))</x:f>
      </x:c>
    </x:row>
    <x:row r="1298">
      <x:c r="A1298" s="12"/>
      <x:c r="B1298" s="12"/>
      <x:c r="C1298" s="12"/>
      <x:c r="D1298" s="12"/>
      <x:c r="E1298" s="14"/>
      <x:c r="F1298" s="13" t="str">
        <x:f>IF($A1298="","",IF($D1298&lt;&gt;'Team Setup'!$B$4,"Other sprint",IF($C1298="","Unassigned",IF(OR(ISNUMBER(SEARCH(",",$C1298)),ISNUMBER(SEARCH(";",$C1298))),"Multiple assignees",IF(COUNTIF('Team Setup'!$B$10:$B$34,$C1298)=1,"Matched","Unmatched")))))</x:f>
      </x:c>
      <x:c r="G1298" s="13" t="str">
        <x:f>IF($A1298="","",IF($D1298&lt;&gt;'Team Setup'!$B$4,"Other sprint",IF($E1298="","Unestimated",IF(NOT(ISNUMBER($E1298)),"Check estimate in hours",IF($E1298&lt;0,"Check estimate in hours",IF($E1298=0,"Unestimated","Estimated"))))))</x:f>
      </x:c>
    </x:row>
    <x:row r="1299">
      <x:c r="A1299" s="12"/>
      <x:c r="B1299" s="12"/>
      <x:c r="C1299" s="12"/>
      <x:c r="D1299" s="12"/>
      <x:c r="E1299" s="14"/>
      <x:c r="F1299" s="13" t="str">
        <x:f>IF($A1299="","",IF($D1299&lt;&gt;'Team Setup'!$B$4,"Other sprint",IF($C1299="","Unassigned",IF(OR(ISNUMBER(SEARCH(",",$C1299)),ISNUMBER(SEARCH(";",$C1299))),"Multiple assignees",IF(COUNTIF('Team Setup'!$B$10:$B$34,$C1299)=1,"Matched","Unmatched")))))</x:f>
      </x:c>
      <x:c r="G1299" s="13" t="str">
        <x:f>IF($A1299="","",IF($D1299&lt;&gt;'Team Setup'!$B$4,"Other sprint",IF($E1299="","Unestimated",IF(NOT(ISNUMBER($E1299)),"Check estimate in hours",IF($E1299&lt;0,"Check estimate in hours",IF($E1299=0,"Unestimated","Estimated"))))))</x:f>
      </x:c>
    </x:row>
    <x:row r="1300">
      <x:c r="A1300" s="12"/>
      <x:c r="B1300" s="12"/>
      <x:c r="C1300" s="12"/>
      <x:c r="D1300" s="12"/>
      <x:c r="E1300" s="14"/>
      <x:c r="F1300" s="13" t="str">
        <x:f>IF($A1300="","",IF($D1300&lt;&gt;'Team Setup'!$B$4,"Other sprint",IF($C1300="","Unassigned",IF(OR(ISNUMBER(SEARCH(",",$C1300)),ISNUMBER(SEARCH(";",$C1300))),"Multiple assignees",IF(COUNTIF('Team Setup'!$B$10:$B$34,$C1300)=1,"Matched","Unmatched")))))</x:f>
      </x:c>
      <x:c r="G1300" s="13" t="str">
        <x:f>IF($A1300="","",IF($D1300&lt;&gt;'Team Setup'!$B$4,"Other sprint",IF($E1300="","Unestimated",IF(NOT(ISNUMBER($E1300)),"Check estimate in hours",IF($E1300&lt;0,"Check estimate in hours",IF($E1300=0,"Unestimated","Estimated"))))))</x:f>
      </x:c>
    </x:row>
    <x:row r="1301">
      <x:c r="A1301" s="12"/>
      <x:c r="B1301" s="12"/>
      <x:c r="C1301" s="12"/>
      <x:c r="D1301" s="12"/>
      <x:c r="E1301" s="14"/>
      <x:c r="F1301" s="13" t="str">
        <x:f>IF($A1301="","",IF($D1301&lt;&gt;'Team Setup'!$B$4,"Other sprint",IF($C1301="","Unassigned",IF(OR(ISNUMBER(SEARCH(",",$C1301)),ISNUMBER(SEARCH(";",$C1301))),"Multiple assignees",IF(COUNTIF('Team Setup'!$B$10:$B$34,$C1301)=1,"Matched","Unmatched")))))</x:f>
      </x:c>
      <x:c r="G1301" s="13" t="str">
        <x:f>IF($A1301="","",IF($D1301&lt;&gt;'Team Setup'!$B$4,"Other sprint",IF($E1301="","Unestimated",IF(NOT(ISNUMBER($E1301)),"Check estimate in hours",IF($E1301&lt;0,"Check estimate in hours",IF($E1301=0,"Unestimated","Estimated"))))))</x:f>
      </x:c>
    </x:row>
    <x:row r="1302">
      <x:c r="A1302" s="12"/>
      <x:c r="B1302" s="12"/>
      <x:c r="C1302" s="12"/>
      <x:c r="D1302" s="12"/>
      <x:c r="E1302" s="14"/>
      <x:c r="F1302" s="13" t="str">
        <x:f>IF($A1302="","",IF($D1302&lt;&gt;'Team Setup'!$B$4,"Other sprint",IF($C1302="","Unassigned",IF(OR(ISNUMBER(SEARCH(",",$C1302)),ISNUMBER(SEARCH(";",$C1302))),"Multiple assignees",IF(COUNTIF('Team Setup'!$B$10:$B$34,$C1302)=1,"Matched","Unmatched")))))</x:f>
      </x:c>
      <x:c r="G1302" s="13" t="str">
        <x:f>IF($A1302="","",IF($D1302&lt;&gt;'Team Setup'!$B$4,"Other sprint",IF($E1302="","Unestimated",IF(NOT(ISNUMBER($E1302)),"Check estimate in hours",IF($E1302&lt;0,"Check estimate in hours",IF($E1302=0,"Unestimated","Estimated"))))))</x:f>
      </x:c>
    </x:row>
    <x:row r="1303">
      <x:c r="A1303" s="12"/>
      <x:c r="B1303" s="12"/>
      <x:c r="C1303" s="12"/>
      <x:c r="D1303" s="12"/>
      <x:c r="E1303" s="14"/>
      <x:c r="F1303" s="13" t="str">
        <x:f>IF($A1303="","",IF($D1303&lt;&gt;'Team Setup'!$B$4,"Other sprint",IF($C1303="","Unassigned",IF(OR(ISNUMBER(SEARCH(",",$C1303)),ISNUMBER(SEARCH(";",$C1303))),"Multiple assignees",IF(COUNTIF('Team Setup'!$B$10:$B$34,$C1303)=1,"Matched","Unmatched")))))</x:f>
      </x:c>
      <x:c r="G1303" s="13" t="str">
        <x:f>IF($A1303="","",IF($D1303&lt;&gt;'Team Setup'!$B$4,"Other sprint",IF($E1303="","Unestimated",IF(NOT(ISNUMBER($E1303)),"Check estimate in hours",IF($E1303&lt;0,"Check estimate in hours",IF($E1303=0,"Unestimated","Estimated"))))))</x:f>
      </x:c>
    </x:row>
    <x:row r="1304">
      <x:c r="A1304" s="12"/>
      <x:c r="B1304" s="12"/>
      <x:c r="C1304" s="12"/>
      <x:c r="D1304" s="12"/>
      <x:c r="E1304" s="14"/>
      <x:c r="F1304" s="13" t="str">
        <x:f>IF($A1304="","",IF($D1304&lt;&gt;'Team Setup'!$B$4,"Other sprint",IF($C1304="","Unassigned",IF(OR(ISNUMBER(SEARCH(",",$C1304)),ISNUMBER(SEARCH(";",$C1304))),"Multiple assignees",IF(COUNTIF('Team Setup'!$B$10:$B$34,$C1304)=1,"Matched","Unmatched")))))</x:f>
      </x:c>
      <x:c r="G1304" s="13" t="str">
        <x:f>IF($A1304="","",IF($D1304&lt;&gt;'Team Setup'!$B$4,"Other sprint",IF($E1304="","Unestimated",IF(NOT(ISNUMBER($E1304)),"Check estimate in hours",IF($E1304&lt;0,"Check estimate in hours",IF($E1304=0,"Unestimated","Estimated"))))))</x:f>
      </x:c>
    </x:row>
    <x:row r="1305">
      <x:c r="A1305" s="12"/>
      <x:c r="B1305" s="12"/>
      <x:c r="C1305" s="12"/>
      <x:c r="D1305" s="12"/>
      <x:c r="E1305" s="14"/>
      <x:c r="F1305" s="13" t="str">
        <x:f>IF($A1305="","",IF($D1305&lt;&gt;'Team Setup'!$B$4,"Other sprint",IF($C1305="","Unassigned",IF(OR(ISNUMBER(SEARCH(",",$C1305)),ISNUMBER(SEARCH(";",$C1305))),"Multiple assignees",IF(COUNTIF('Team Setup'!$B$10:$B$34,$C1305)=1,"Matched","Unmatched")))))</x:f>
      </x:c>
      <x:c r="G1305" s="13" t="str">
        <x:f>IF($A1305="","",IF($D1305&lt;&gt;'Team Setup'!$B$4,"Other sprint",IF($E1305="","Unestimated",IF(NOT(ISNUMBER($E1305)),"Check estimate in hours",IF($E1305&lt;0,"Check estimate in hours",IF($E1305=0,"Unestimated","Estimated"))))))</x:f>
      </x:c>
    </x:row>
    <x:row r="1306">
      <x:c r="A1306" s="12"/>
      <x:c r="B1306" s="12"/>
      <x:c r="C1306" s="12"/>
      <x:c r="D1306" s="12"/>
      <x:c r="E1306" s="14"/>
      <x:c r="F1306" s="13" t="str">
        <x:f>IF($A1306="","",IF($D1306&lt;&gt;'Team Setup'!$B$4,"Other sprint",IF($C1306="","Unassigned",IF(OR(ISNUMBER(SEARCH(",",$C1306)),ISNUMBER(SEARCH(";",$C1306))),"Multiple assignees",IF(COUNTIF('Team Setup'!$B$10:$B$34,$C1306)=1,"Matched","Unmatched")))))</x:f>
      </x:c>
      <x:c r="G1306" s="13" t="str">
        <x:f>IF($A1306="","",IF($D1306&lt;&gt;'Team Setup'!$B$4,"Other sprint",IF($E1306="","Unestimated",IF(NOT(ISNUMBER($E1306)),"Check estimate in hours",IF($E1306&lt;0,"Check estimate in hours",IF($E1306=0,"Unestimated","Estimated"))))))</x:f>
      </x:c>
    </x:row>
    <x:row r="1307">
      <x:c r="A1307" s="12"/>
      <x:c r="B1307" s="12"/>
      <x:c r="C1307" s="12"/>
      <x:c r="D1307" s="12"/>
      <x:c r="E1307" s="14"/>
      <x:c r="F1307" s="13" t="str">
        <x:f>IF($A1307="","",IF($D1307&lt;&gt;'Team Setup'!$B$4,"Other sprint",IF($C1307="","Unassigned",IF(OR(ISNUMBER(SEARCH(",",$C1307)),ISNUMBER(SEARCH(";",$C1307))),"Multiple assignees",IF(COUNTIF('Team Setup'!$B$10:$B$34,$C1307)=1,"Matched","Unmatched")))))</x:f>
      </x:c>
      <x:c r="G1307" s="13" t="str">
        <x:f>IF($A1307="","",IF($D1307&lt;&gt;'Team Setup'!$B$4,"Other sprint",IF($E1307="","Unestimated",IF(NOT(ISNUMBER($E1307)),"Check estimate in hours",IF($E1307&lt;0,"Check estimate in hours",IF($E1307=0,"Unestimated","Estimated"))))))</x:f>
      </x:c>
    </x:row>
    <x:row r="1308">
      <x:c r="A1308" s="12"/>
      <x:c r="B1308" s="12"/>
      <x:c r="C1308" s="12"/>
      <x:c r="D1308" s="12"/>
      <x:c r="E1308" s="14"/>
      <x:c r="F1308" s="13" t="str">
        <x:f>IF($A1308="","",IF($D1308&lt;&gt;'Team Setup'!$B$4,"Other sprint",IF($C1308="","Unassigned",IF(OR(ISNUMBER(SEARCH(",",$C1308)),ISNUMBER(SEARCH(";",$C1308))),"Multiple assignees",IF(COUNTIF('Team Setup'!$B$10:$B$34,$C1308)=1,"Matched","Unmatched")))))</x:f>
      </x:c>
      <x:c r="G1308" s="13" t="str">
        <x:f>IF($A1308="","",IF($D1308&lt;&gt;'Team Setup'!$B$4,"Other sprint",IF($E1308="","Unestimated",IF(NOT(ISNUMBER($E1308)),"Check estimate in hours",IF($E1308&lt;0,"Check estimate in hours",IF($E1308=0,"Unestimated","Estimated"))))))</x:f>
      </x:c>
    </x:row>
    <x:row r="1309">
      <x:c r="A1309" s="12"/>
      <x:c r="B1309" s="12"/>
      <x:c r="C1309" s="12"/>
      <x:c r="D1309" s="12"/>
      <x:c r="E1309" s="14"/>
      <x:c r="F1309" s="13" t="str">
        <x:f>IF($A1309="","",IF($D1309&lt;&gt;'Team Setup'!$B$4,"Other sprint",IF($C1309="","Unassigned",IF(OR(ISNUMBER(SEARCH(",",$C1309)),ISNUMBER(SEARCH(";",$C1309))),"Multiple assignees",IF(COUNTIF('Team Setup'!$B$10:$B$34,$C1309)=1,"Matched","Unmatched")))))</x:f>
      </x:c>
      <x:c r="G1309" s="13" t="str">
        <x:f>IF($A1309="","",IF($D1309&lt;&gt;'Team Setup'!$B$4,"Other sprint",IF($E1309="","Unestimated",IF(NOT(ISNUMBER($E1309)),"Check estimate in hours",IF($E1309&lt;0,"Check estimate in hours",IF($E1309=0,"Unestimated","Estimated"))))))</x:f>
      </x:c>
    </x:row>
    <x:row r="1310">
      <x:c r="A1310" s="12"/>
      <x:c r="B1310" s="12"/>
      <x:c r="C1310" s="12"/>
      <x:c r="D1310" s="12"/>
      <x:c r="E1310" s="14"/>
      <x:c r="F1310" s="13" t="str">
        <x:f>IF($A1310="","",IF($D1310&lt;&gt;'Team Setup'!$B$4,"Other sprint",IF($C1310="","Unassigned",IF(OR(ISNUMBER(SEARCH(",",$C1310)),ISNUMBER(SEARCH(";",$C1310))),"Multiple assignees",IF(COUNTIF('Team Setup'!$B$10:$B$34,$C1310)=1,"Matched","Unmatched")))))</x:f>
      </x:c>
      <x:c r="G1310" s="13" t="str">
        <x:f>IF($A1310="","",IF($D1310&lt;&gt;'Team Setup'!$B$4,"Other sprint",IF($E1310="","Unestimated",IF(NOT(ISNUMBER($E1310)),"Check estimate in hours",IF($E1310&lt;0,"Check estimate in hours",IF($E1310=0,"Unestimated","Estimated"))))))</x:f>
      </x:c>
    </x:row>
    <x:row r="1311">
      <x:c r="A1311" s="12"/>
      <x:c r="B1311" s="12"/>
      <x:c r="C1311" s="12"/>
      <x:c r="D1311" s="12"/>
      <x:c r="E1311" s="14"/>
      <x:c r="F1311" s="13" t="str">
        <x:f>IF($A1311="","",IF($D1311&lt;&gt;'Team Setup'!$B$4,"Other sprint",IF($C1311="","Unassigned",IF(OR(ISNUMBER(SEARCH(",",$C1311)),ISNUMBER(SEARCH(";",$C1311))),"Multiple assignees",IF(COUNTIF('Team Setup'!$B$10:$B$34,$C1311)=1,"Matched","Unmatched")))))</x:f>
      </x:c>
      <x:c r="G1311" s="13" t="str">
        <x:f>IF($A1311="","",IF($D1311&lt;&gt;'Team Setup'!$B$4,"Other sprint",IF($E1311="","Unestimated",IF(NOT(ISNUMBER($E1311)),"Check estimate in hours",IF($E1311&lt;0,"Check estimate in hours",IF($E1311=0,"Unestimated","Estimated"))))))</x:f>
      </x:c>
    </x:row>
    <x:row r="1312">
      <x:c r="A1312" s="12"/>
      <x:c r="B1312" s="12"/>
      <x:c r="C1312" s="12"/>
      <x:c r="D1312" s="12"/>
      <x:c r="E1312" s="14"/>
      <x:c r="F1312" s="13" t="str">
        <x:f>IF($A1312="","",IF($D1312&lt;&gt;'Team Setup'!$B$4,"Other sprint",IF($C1312="","Unassigned",IF(OR(ISNUMBER(SEARCH(",",$C1312)),ISNUMBER(SEARCH(";",$C1312))),"Multiple assignees",IF(COUNTIF('Team Setup'!$B$10:$B$34,$C1312)=1,"Matched","Unmatched")))))</x:f>
      </x:c>
      <x:c r="G1312" s="13" t="str">
        <x:f>IF($A1312="","",IF($D1312&lt;&gt;'Team Setup'!$B$4,"Other sprint",IF($E1312="","Unestimated",IF(NOT(ISNUMBER($E1312)),"Check estimate in hours",IF($E1312&lt;0,"Check estimate in hours",IF($E1312=0,"Unestimated","Estimated"))))))</x:f>
      </x:c>
    </x:row>
    <x:row r="1313">
      <x:c r="A1313" s="12"/>
      <x:c r="B1313" s="12"/>
      <x:c r="C1313" s="12"/>
      <x:c r="D1313" s="12"/>
      <x:c r="E1313" s="14"/>
      <x:c r="F1313" s="13" t="str">
        <x:f>IF($A1313="","",IF($D1313&lt;&gt;'Team Setup'!$B$4,"Other sprint",IF($C1313="","Unassigned",IF(OR(ISNUMBER(SEARCH(",",$C1313)),ISNUMBER(SEARCH(";",$C1313))),"Multiple assignees",IF(COUNTIF('Team Setup'!$B$10:$B$34,$C1313)=1,"Matched","Unmatched")))))</x:f>
      </x:c>
      <x:c r="G1313" s="13" t="str">
        <x:f>IF($A1313="","",IF($D1313&lt;&gt;'Team Setup'!$B$4,"Other sprint",IF($E1313="","Unestimated",IF(NOT(ISNUMBER($E1313)),"Check estimate in hours",IF($E1313&lt;0,"Check estimate in hours",IF($E1313=0,"Unestimated","Estimated"))))))</x:f>
      </x:c>
    </x:row>
    <x:row r="1314">
      <x:c r="A1314" s="12"/>
      <x:c r="B1314" s="12"/>
      <x:c r="C1314" s="12"/>
      <x:c r="D1314" s="12"/>
      <x:c r="E1314" s="14"/>
      <x:c r="F1314" s="13" t="str">
        <x:f>IF($A1314="","",IF($D1314&lt;&gt;'Team Setup'!$B$4,"Other sprint",IF($C1314="","Unassigned",IF(OR(ISNUMBER(SEARCH(",",$C1314)),ISNUMBER(SEARCH(";",$C1314))),"Multiple assignees",IF(COUNTIF('Team Setup'!$B$10:$B$34,$C1314)=1,"Matched","Unmatched")))))</x:f>
      </x:c>
      <x:c r="G1314" s="13" t="str">
        <x:f>IF($A1314="","",IF($D1314&lt;&gt;'Team Setup'!$B$4,"Other sprint",IF($E1314="","Unestimated",IF(NOT(ISNUMBER($E1314)),"Check estimate in hours",IF($E1314&lt;0,"Check estimate in hours",IF($E1314=0,"Unestimated","Estimated"))))))</x:f>
      </x:c>
    </x:row>
    <x:row r="1315">
      <x:c r="A1315" s="12"/>
      <x:c r="B1315" s="12"/>
      <x:c r="C1315" s="12"/>
      <x:c r="D1315" s="12"/>
      <x:c r="E1315" s="14"/>
      <x:c r="F1315" s="13" t="str">
        <x:f>IF($A1315="","",IF($D1315&lt;&gt;'Team Setup'!$B$4,"Other sprint",IF($C1315="","Unassigned",IF(OR(ISNUMBER(SEARCH(",",$C1315)),ISNUMBER(SEARCH(";",$C1315))),"Multiple assignees",IF(COUNTIF('Team Setup'!$B$10:$B$34,$C1315)=1,"Matched","Unmatched")))))</x:f>
      </x:c>
      <x:c r="G1315" s="13" t="str">
        <x:f>IF($A1315="","",IF($D1315&lt;&gt;'Team Setup'!$B$4,"Other sprint",IF($E1315="","Unestimated",IF(NOT(ISNUMBER($E1315)),"Check estimate in hours",IF($E1315&lt;0,"Check estimate in hours",IF($E1315=0,"Unestimated","Estimated"))))))</x:f>
      </x:c>
    </x:row>
    <x:row r="1316">
      <x:c r="A1316" s="12"/>
      <x:c r="B1316" s="12"/>
      <x:c r="C1316" s="12"/>
      <x:c r="D1316" s="12"/>
      <x:c r="E1316" s="14"/>
      <x:c r="F1316" s="13" t="str">
        <x:f>IF($A1316="","",IF($D1316&lt;&gt;'Team Setup'!$B$4,"Other sprint",IF($C1316="","Unassigned",IF(OR(ISNUMBER(SEARCH(",",$C1316)),ISNUMBER(SEARCH(";",$C1316))),"Multiple assignees",IF(COUNTIF('Team Setup'!$B$10:$B$34,$C1316)=1,"Matched","Unmatched")))))</x:f>
      </x:c>
      <x:c r="G1316" s="13" t="str">
        <x:f>IF($A1316="","",IF($D1316&lt;&gt;'Team Setup'!$B$4,"Other sprint",IF($E1316="","Unestimated",IF(NOT(ISNUMBER($E1316)),"Check estimate in hours",IF($E1316&lt;0,"Check estimate in hours",IF($E1316=0,"Unestimated","Estimated"))))))</x:f>
      </x:c>
    </x:row>
    <x:row r="1317">
      <x:c r="A1317" s="12"/>
      <x:c r="B1317" s="12"/>
      <x:c r="C1317" s="12"/>
      <x:c r="D1317" s="12"/>
      <x:c r="E1317" s="14"/>
      <x:c r="F1317" s="13" t="str">
        <x:f>IF($A1317="","",IF($D1317&lt;&gt;'Team Setup'!$B$4,"Other sprint",IF($C1317="","Unassigned",IF(OR(ISNUMBER(SEARCH(",",$C1317)),ISNUMBER(SEARCH(";",$C1317))),"Multiple assignees",IF(COUNTIF('Team Setup'!$B$10:$B$34,$C1317)=1,"Matched","Unmatched")))))</x:f>
      </x:c>
      <x:c r="G1317" s="13" t="str">
        <x:f>IF($A1317="","",IF($D1317&lt;&gt;'Team Setup'!$B$4,"Other sprint",IF($E1317="","Unestimated",IF(NOT(ISNUMBER($E1317)),"Check estimate in hours",IF($E1317&lt;0,"Check estimate in hours",IF($E1317=0,"Unestimated","Estimated"))))))</x:f>
      </x:c>
    </x:row>
    <x:row r="1318">
      <x:c r="A1318" s="12"/>
      <x:c r="B1318" s="12"/>
      <x:c r="C1318" s="12"/>
      <x:c r="D1318" s="12"/>
      <x:c r="E1318" s="14"/>
      <x:c r="F1318" s="13" t="str">
        <x:f>IF($A1318="","",IF($D1318&lt;&gt;'Team Setup'!$B$4,"Other sprint",IF($C1318="","Unassigned",IF(OR(ISNUMBER(SEARCH(",",$C1318)),ISNUMBER(SEARCH(";",$C1318))),"Multiple assignees",IF(COUNTIF('Team Setup'!$B$10:$B$34,$C1318)=1,"Matched","Unmatched")))))</x:f>
      </x:c>
      <x:c r="G1318" s="13" t="str">
        <x:f>IF($A1318="","",IF($D1318&lt;&gt;'Team Setup'!$B$4,"Other sprint",IF($E1318="","Unestimated",IF(NOT(ISNUMBER($E1318)),"Check estimate in hours",IF($E1318&lt;0,"Check estimate in hours",IF($E1318=0,"Unestimated","Estimated"))))))</x:f>
      </x:c>
    </x:row>
    <x:row r="1319">
      <x:c r="A1319" s="12"/>
      <x:c r="B1319" s="12"/>
      <x:c r="C1319" s="12"/>
      <x:c r="D1319" s="12"/>
      <x:c r="E1319" s="14"/>
      <x:c r="F1319" s="13" t="str">
        <x:f>IF($A1319="","",IF($D1319&lt;&gt;'Team Setup'!$B$4,"Other sprint",IF($C1319="","Unassigned",IF(OR(ISNUMBER(SEARCH(",",$C1319)),ISNUMBER(SEARCH(";",$C1319))),"Multiple assignees",IF(COUNTIF('Team Setup'!$B$10:$B$34,$C1319)=1,"Matched","Unmatched")))))</x:f>
      </x:c>
      <x:c r="G1319" s="13" t="str">
        <x:f>IF($A1319="","",IF($D1319&lt;&gt;'Team Setup'!$B$4,"Other sprint",IF($E1319="","Unestimated",IF(NOT(ISNUMBER($E1319)),"Check estimate in hours",IF($E1319&lt;0,"Check estimate in hours",IF($E1319=0,"Unestimated","Estimated"))))))</x:f>
      </x:c>
    </x:row>
    <x:row r="1320">
      <x:c r="A1320" s="12"/>
      <x:c r="B1320" s="12"/>
      <x:c r="C1320" s="12"/>
      <x:c r="D1320" s="12"/>
      <x:c r="E1320" s="14"/>
      <x:c r="F1320" s="13" t="str">
        <x:f>IF($A1320="","",IF($D1320&lt;&gt;'Team Setup'!$B$4,"Other sprint",IF($C1320="","Unassigned",IF(OR(ISNUMBER(SEARCH(",",$C1320)),ISNUMBER(SEARCH(";",$C1320))),"Multiple assignees",IF(COUNTIF('Team Setup'!$B$10:$B$34,$C1320)=1,"Matched","Unmatched")))))</x:f>
      </x:c>
      <x:c r="G1320" s="13" t="str">
        <x:f>IF($A1320="","",IF($D1320&lt;&gt;'Team Setup'!$B$4,"Other sprint",IF($E1320="","Unestimated",IF(NOT(ISNUMBER($E1320)),"Check estimate in hours",IF($E1320&lt;0,"Check estimate in hours",IF($E1320=0,"Unestimated","Estimated"))))))</x:f>
      </x:c>
    </x:row>
    <x:row r="1321">
      <x:c r="A1321" s="12"/>
      <x:c r="B1321" s="12"/>
      <x:c r="C1321" s="12"/>
      <x:c r="D1321" s="12"/>
      <x:c r="E1321" s="14"/>
      <x:c r="F1321" s="13" t="str">
        <x:f>IF($A1321="","",IF($D1321&lt;&gt;'Team Setup'!$B$4,"Other sprint",IF($C1321="","Unassigned",IF(OR(ISNUMBER(SEARCH(",",$C1321)),ISNUMBER(SEARCH(";",$C1321))),"Multiple assignees",IF(COUNTIF('Team Setup'!$B$10:$B$34,$C1321)=1,"Matched","Unmatched")))))</x:f>
      </x:c>
      <x:c r="G1321" s="13" t="str">
        <x:f>IF($A1321="","",IF($D1321&lt;&gt;'Team Setup'!$B$4,"Other sprint",IF($E1321="","Unestimated",IF(NOT(ISNUMBER($E1321)),"Check estimate in hours",IF($E1321&lt;0,"Check estimate in hours",IF($E1321=0,"Unestimated","Estimated"))))))</x:f>
      </x:c>
    </x:row>
    <x:row r="1322">
      <x:c r="A1322" s="12"/>
      <x:c r="B1322" s="12"/>
      <x:c r="C1322" s="12"/>
      <x:c r="D1322" s="12"/>
      <x:c r="E1322" s="14"/>
      <x:c r="F1322" s="13" t="str">
        <x:f>IF($A1322="","",IF($D1322&lt;&gt;'Team Setup'!$B$4,"Other sprint",IF($C1322="","Unassigned",IF(OR(ISNUMBER(SEARCH(",",$C1322)),ISNUMBER(SEARCH(";",$C1322))),"Multiple assignees",IF(COUNTIF('Team Setup'!$B$10:$B$34,$C1322)=1,"Matched","Unmatched")))))</x:f>
      </x:c>
      <x:c r="G1322" s="13" t="str">
        <x:f>IF($A1322="","",IF($D1322&lt;&gt;'Team Setup'!$B$4,"Other sprint",IF($E1322="","Unestimated",IF(NOT(ISNUMBER($E1322)),"Check estimate in hours",IF($E1322&lt;0,"Check estimate in hours",IF($E1322=0,"Unestimated","Estimated"))))))</x:f>
      </x:c>
    </x:row>
    <x:row r="1323">
      <x:c r="A1323" s="12"/>
      <x:c r="B1323" s="12"/>
      <x:c r="C1323" s="12"/>
      <x:c r="D1323" s="12"/>
      <x:c r="E1323" s="14"/>
      <x:c r="F1323" s="13" t="str">
        <x:f>IF($A1323="","",IF($D1323&lt;&gt;'Team Setup'!$B$4,"Other sprint",IF($C1323="","Unassigned",IF(OR(ISNUMBER(SEARCH(",",$C1323)),ISNUMBER(SEARCH(";",$C1323))),"Multiple assignees",IF(COUNTIF('Team Setup'!$B$10:$B$34,$C1323)=1,"Matched","Unmatched")))))</x:f>
      </x:c>
      <x:c r="G1323" s="13" t="str">
        <x:f>IF($A1323="","",IF($D1323&lt;&gt;'Team Setup'!$B$4,"Other sprint",IF($E1323="","Unestimated",IF(NOT(ISNUMBER($E1323)),"Check estimate in hours",IF($E1323&lt;0,"Check estimate in hours",IF($E1323=0,"Unestimated","Estimated"))))))</x:f>
      </x:c>
    </x:row>
    <x:row r="1324">
      <x:c r="A1324" s="12"/>
      <x:c r="B1324" s="12"/>
      <x:c r="C1324" s="12"/>
      <x:c r="D1324" s="12"/>
      <x:c r="E1324" s="14"/>
      <x:c r="F1324" s="13" t="str">
        <x:f>IF($A1324="","",IF($D1324&lt;&gt;'Team Setup'!$B$4,"Other sprint",IF($C1324="","Unassigned",IF(OR(ISNUMBER(SEARCH(",",$C1324)),ISNUMBER(SEARCH(";",$C1324))),"Multiple assignees",IF(COUNTIF('Team Setup'!$B$10:$B$34,$C1324)=1,"Matched","Unmatched")))))</x:f>
      </x:c>
      <x:c r="G1324" s="13" t="str">
        <x:f>IF($A1324="","",IF($D1324&lt;&gt;'Team Setup'!$B$4,"Other sprint",IF($E1324="","Unestimated",IF(NOT(ISNUMBER($E1324)),"Check estimate in hours",IF($E1324&lt;0,"Check estimate in hours",IF($E1324=0,"Unestimated","Estimated"))))))</x:f>
      </x:c>
    </x:row>
    <x:row r="1325">
      <x:c r="A1325" s="12"/>
      <x:c r="B1325" s="12"/>
      <x:c r="C1325" s="12"/>
      <x:c r="D1325" s="12"/>
      <x:c r="E1325" s="14"/>
      <x:c r="F1325" s="13" t="str">
        <x:f>IF($A1325="","",IF($D1325&lt;&gt;'Team Setup'!$B$4,"Other sprint",IF($C1325="","Unassigned",IF(OR(ISNUMBER(SEARCH(",",$C1325)),ISNUMBER(SEARCH(";",$C1325))),"Multiple assignees",IF(COUNTIF('Team Setup'!$B$10:$B$34,$C1325)=1,"Matched","Unmatched")))))</x:f>
      </x:c>
      <x:c r="G1325" s="13" t="str">
        <x:f>IF($A1325="","",IF($D1325&lt;&gt;'Team Setup'!$B$4,"Other sprint",IF($E1325="","Unestimated",IF(NOT(ISNUMBER($E1325)),"Check estimate in hours",IF($E1325&lt;0,"Check estimate in hours",IF($E1325=0,"Unestimated","Estimated"))))))</x:f>
      </x:c>
    </x:row>
    <x:row r="1326">
      <x:c r="A1326" s="12"/>
      <x:c r="B1326" s="12"/>
      <x:c r="C1326" s="12"/>
      <x:c r="D1326" s="12"/>
      <x:c r="E1326" s="14"/>
      <x:c r="F1326" s="13" t="str">
        <x:f>IF($A1326="","",IF($D1326&lt;&gt;'Team Setup'!$B$4,"Other sprint",IF($C1326="","Unassigned",IF(OR(ISNUMBER(SEARCH(",",$C1326)),ISNUMBER(SEARCH(";",$C1326))),"Multiple assignees",IF(COUNTIF('Team Setup'!$B$10:$B$34,$C1326)=1,"Matched","Unmatched")))))</x:f>
      </x:c>
      <x:c r="G1326" s="13" t="str">
        <x:f>IF($A1326="","",IF($D1326&lt;&gt;'Team Setup'!$B$4,"Other sprint",IF($E1326="","Unestimated",IF(NOT(ISNUMBER($E1326)),"Check estimate in hours",IF($E1326&lt;0,"Check estimate in hours",IF($E1326=0,"Unestimated","Estimated"))))))</x:f>
      </x:c>
    </x:row>
    <x:row r="1327">
      <x:c r="A1327" s="12"/>
      <x:c r="B1327" s="12"/>
      <x:c r="C1327" s="12"/>
      <x:c r="D1327" s="12"/>
      <x:c r="E1327" s="14"/>
      <x:c r="F1327" s="13" t="str">
        <x:f>IF($A1327="","",IF($D1327&lt;&gt;'Team Setup'!$B$4,"Other sprint",IF($C1327="","Unassigned",IF(OR(ISNUMBER(SEARCH(",",$C1327)),ISNUMBER(SEARCH(";",$C1327))),"Multiple assignees",IF(COUNTIF('Team Setup'!$B$10:$B$34,$C1327)=1,"Matched","Unmatched")))))</x:f>
      </x:c>
      <x:c r="G1327" s="13" t="str">
        <x:f>IF($A1327="","",IF($D1327&lt;&gt;'Team Setup'!$B$4,"Other sprint",IF($E1327="","Unestimated",IF(NOT(ISNUMBER($E1327)),"Check estimate in hours",IF($E1327&lt;0,"Check estimate in hours",IF($E1327=0,"Unestimated","Estimated"))))))</x:f>
      </x:c>
    </x:row>
    <x:row r="1328">
      <x:c r="A1328" s="12"/>
      <x:c r="B1328" s="12"/>
      <x:c r="C1328" s="12"/>
      <x:c r="D1328" s="12"/>
      <x:c r="E1328" s="14"/>
      <x:c r="F1328" s="13" t="str">
        <x:f>IF($A1328="","",IF($D1328&lt;&gt;'Team Setup'!$B$4,"Other sprint",IF($C1328="","Unassigned",IF(OR(ISNUMBER(SEARCH(",",$C1328)),ISNUMBER(SEARCH(";",$C1328))),"Multiple assignees",IF(COUNTIF('Team Setup'!$B$10:$B$34,$C1328)=1,"Matched","Unmatched")))))</x:f>
      </x:c>
      <x:c r="G1328" s="13" t="str">
        <x:f>IF($A1328="","",IF($D1328&lt;&gt;'Team Setup'!$B$4,"Other sprint",IF($E1328="","Unestimated",IF(NOT(ISNUMBER($E1328)),"Check estimate in hours",IF($E1328&lt;0,"Check estimate in hours",IF($E1328=0,"Unestimated","Estimated"))))))</x:f>
      </x:c>
    </x:row>
    <x:row r="1329">
      <x:c r="A1329" s="12"/>
      <x:c r="B1329" s="12"/>
      <x:c r="C1329" s="12"/>
      <x:c r="D1329" s="12"/>
      <x:c r="E1329" s="14"/>
      <x:c r="F1329" s="13" t="str">
        <x:f>IF($A1329="","",IF($D1329&lt;&gt;'Team Setup'!$B$4,"Other sprint",IF($C1329="","Unassigned",IF(OR(ISNUMBER(SEARCH(",",$C1329)),ISNUMBER(SEARCH(";",$C1329))),"Multiple assignees",IF(COUNTIF('Team Setup'!$B$10:$B$34,$C1329)=1,"Matched","Unmatched")))))</x:f>
      </x:c>
      <x:c r="G1329" s="13" t="str">
        <x:f>IF($A1329="","",IF($D1329&lt;&gt;'Team Setup'!$B$4,"Other sprint",IF($E1329="","Unestimated",IF(NOT(ISNUMBER($E1329)),"Check estimate in hours",IF($E1329&lt;0,"Check estimate in hours",IF($E1329=0,"Unestimated","Estimated"))))))</x:f>
      </x:c>
    </x:row>
    <x:row r="1330">
      <x:c r="A1330" s="12"/>
      <x:c r="B1330" s="12"/>
      <x:c r="C1330" s="12"/>
      <x:c r="D1330" s="12"/>
      <x:c r="E1330" s="14"/>
      <x:c r="F1330" s="13" t="str">
        <x:f>IF($A1330="","",IF($D1330&lt;&gt;'Team Setup'!$B$4,"Other sprint",IF($C1330="","Unassigned",IF(OR(ISNUMBER(SEARCH(",",$C1330)),ISNUMBER(SEARCH(";",$C1330))),"Multiple assignees",IF(COUNTIF('Team Setup'!$B$10:$B$34,$C1330)=1,"Matched","Unmatched")))))</x:f>
      </x:c>
      <x:c r="G1330" s="13" t="str">
        <x:f>IF($A1330="","",IF($D1330&lt;&gt;'Team Setup'!$B$4,"Other sprint",IF($E1330="","Unestimated",IF(NOT(ISNUMBER($E1330)),"Check estimate in hours",IF($E1330&lt;0,"Check estimate in hours",IF($E1330=0,"Unestimated","Estimated"))))))</x:f>
      </x:c>
    </x:row>
    <x:row r="1331">
      <x:c r="A1331" s="12"/>
      <x:c r="B1331" s="12"/>
      <x:c r="C1331" s="12"/>
      <x:c r="D1331" s="12"/>
      <x:c r="E1331" s="14"/>
      <x:c r="F1331" s="13" t="str">
        <x:f>IF($A1331="","",IF($D1331&lt;&gt;'Team Setup'!$B$4,"Other sprint",IF($C1331="","Unassigned",IF(OR(ISNUMBER(SEARCH(",",$C1331)),ISNUMBER(SEARCH(";",$C1331))),"Multiple assignees",IF(COUNTIF('Team Setup'!$B$10:$B$34,$C1331)=1,"Matched","Unmatched")))))</x:f>
      </x:c>
      <x:c r="G1331" s="13" t="str">
        <x:f>IF($A1331="","",IF($D1331&lt;&gt;'Team Setup'!$B$4,"Other sprint",IF($E1331="","Unestimated",IF(NOT(ISNUMBER($E1331)),"Check estimate in hours",IF($E1331&lt;0,"Check estimate in hours",IF($E1331=0,"Unestimated","Estimated"))))))</x:f>
      </x:c>
    </x:row>
    <x:row r="1332">
      <x:c r="A1332" s="12"/>
      <x:c r="B1332" s="12"/>
      <x:c r="C1332" s="12"/>
      <x:c r="D1332" s="12"/>
      <x:c r="E1332" s="14"/>
      <x:c r="F1332" s="13" t="str">
        <x:f>IF($A1332="","",IF($D1332&lt;&gt;'Team Setup'!$B$4,"Other sprint",IF($C1332="","Unassigned",IF(OR(ISNUMBER(SEARCH(",",$C1332)),ISNUMBER(SEARCH(";",$C1332))),"Multiple assignees",IF(COUNTIF('Team Setup'!$B$10:$B$34,$C1332)=1,"Matched","Unmatched")))))</x:f>
      </x:c>
      <x:c r="G1332" s="13" t="str">
        <x:f>IF($A1332="","",IF($D1332&lt;&gt;'Team Setup'!$B$4,"Other sprint",IF($E1332="","Unestimated",IF(NOT(ISNUMBER($E1332)),"Check estimate in hours",IF($E1332&lt;0,"Check estimate in hours",IF($E1332=0,"Unestimated","Estimated"))))))</x:f>
      </x:c>
    </x:row>
    <x:row r="1333">
      <x:c r="A1333" s="12"/>
      <x:c r="B1333" s="12"/>
      <x:c r="C1333" s="12"/>
      <x:c r="D1333" s="12"/>
      <x:c r="E1333" s="14"/>
      <x:c r="F1333" s="13" t="str">
        <x:f>IF($A1333="","",IF($D1333&lt;&gt;'Team Setup'!$B$4,"Other sprint",IF($C1333="","Unassigned",IF(OR(ISNUMBER(SEARCH(",",$C1333)),ISNUMBER(SEARCH(";",$C1333))),"Multiple assignees",IF(COUNTIF('Team Setup'!$B$10:$B$34,$C1333)=1,"Matched","Unmatched")))))</x:f>
      </x:c>
      <x:c r="G1333" s="13" t="str">
        <x:f>IF($A1333="","",IF($D1333&lt;&gt;'Team Setup'!$B$4,"Other sprint",IF($E1333="","Unestimated",IF(NOT(ISNUMBER($E1333)),"Check estimate in hours",IF($E1333&lt;0,"Check estimate in hours",IF($E1333=0,"Unestimated","Estimated"))))))</x:f>
      </x:c>
    </x:row>
    <x:row r="1334">
      <x:c r="A1334" s="12"/>
      <x:c r="B1334" s="12"/>
      <x:c r="C1334" s="12"/>
      <x:c r="D1334" s="12"/>
      <x:c r="E1334" s="14"/>
      <x:c r="F1334" s="13" t="str">
        <x:f>IF($A1334="","",IF($D1334&lt;&gt;'Team Setup'!$B$4,"Other sprint",IF($C1334="","Unassigned",IF(OR(ISNUMBER(SEARCH(",",$C1334)),ISNUMBER(SEARCH(";",$C1334))),"Multiple assignees",IF(COUNTIF('Team Setup'!$B$10:$B$34,$C1334)=1,"Matched","Unmatched")))))</x:f>
      </x:c>
      <x:c r="G1334" s="13" t="str">
        <x:f>IF($A1334="","",IF($D1334&lt;&gt;'Team Setup'!$B$4,"Other sprint",IF($E1334="","Unestimated",IF(NOT(ISNUMBER($E1334)),"Check estimate in hours",IF($E1334&lt;0,"Check estimate in hours",IF($E1334=0,"Unestimated","Estimated"))))))</x:f>
      </x:c>
    </x:row>
    <x:row r="1335">
      <x:c r="A1335" s="12"/>
      <x:c r="B1335" s="12"/>
      <x:c r="C1335" s="12"/>
      <x:c r="D1335" s="12"/>
      <x:c r="E1335" s="14"/>
      <x:c r="F1335" s="13" t="str">
        <x:f>IF($A1335="","",IF($D1335&lt;&gt;'Team Setup'!$B$4,"Other sprint",IF($C1335="","Unassigned",IF(OR(ISNUMBER(SEARCH(",",$C1335)),ISNUMBER(SEARCH(";",$C1335))),"Multiple assignees",IF(COUNTIF('Team Setup'!$B$10:$B$34,$C1335)=1,"Matched","Unmatched")))))</x:f>
      </x:c>
      <x:c r="G1335" s="13" t="str">
        <x:f>IF($A1335="","",IF($D1335&lt;&gt;'Team Setup'!$B$4,"Other sprint",IF($E1335="","Unestimated",IF(NOT(ISNUMBER($E1335)),"Check estimate in hours",IF($E1335&lt;0,"Check estimate in hours",IF($E1335=0,"Unestimated","Estimated"))))))</x:f>
      </x:c>
    </x:row>
    <x:row r="1336">
      <x:c r="A1336" s="12"/>
      <x:c r="B1336" s="12"/>
      <x:c r="C1336" s="12"/>
      <x:c r="D1336" s="12"/>
      <x:c r="E1336" s="14"/>
      <x:c r="F1336" s="13" t="str">
        <x:f>IF($A1336="","",IF($D1336&lt;&gt;'Team Setup'!$B$4,"Other sprint",IF($C1336="","Unassigned",IF(OR(ISNUMBER(SEARCH(",",$C1336)),ISNUMBER(SEARCH(";",$C1336))),"Multiple assignees",IF(COUNTIF('Team Setup'!$B$10:$B$34,$C1336)=1,"Matched","Unmatched")))))</x:f>
      </x:c>
      <x:c r="G1336" s="13" t="str">
        <x:f>IF($A1336="","",IF($D1336&lt;&gt;'Team Setup'!$B$4,"Other sprint",IF($E1336="","Unestimated",IF(NOT(ISNUMBER($E1336)),"Check estimate in hours",IF($E1336&lt;0,"Check estimate in hours",IF($E1336=0,"Unestimated","Estimated"))))))</x:f>
      </x:c>
    </x:row>
    <x:row r="1337">
      <x:c r="A1337" s="12"/>
      <x:c r="B1337" s="12"/>
      <x:c r="C1337" s="12"/>
      <x:c r="D1337" s="12"/>
      <x:c r="E1337" s="14"/>
      <x:c r="F1337" s="13" t="str">
        <x:f>IF($A1337="","",IF($D1337&lt;&gt;'Team Setup'!$B$4,"Other sprint",IF($C1337="","Unassigned",IF(OR(ISNUMBER(SEARCH(",",$C1337)),ISNUMBER(SEARCH(";",$C1337))),"Multiple assignees",IF(COUNTIF('Team Setup'!$B$10:$B$34,$C1337)=1,"Matched","Unmatched")))))</x:f>
      </x:c>
      <x:c r="G1337" s="13" t="str">
        <x:f>IF($A1337="","",IF($D1337&lt;&gt;'Team Setup'!$B$4,"Other sprint",IF($E1337="","Unestimated",IF(NOT(ISNUMBER($E1337)),"Check estimate in hours",IF($E1337&lt;0,"Check estimate in hours",IF($E1337=0,"Unestimated","Estimated"))))))</x:f>
      </x:c>
    </x:row>
    <x:row r="1338">
      <x:c r="A1338" s="12"/>
      <x:c r="B1338" s="12"/>
      <x:c r="C1338" s="12"/>
      <x:c r="D1338" s="12"/>
      <x:c r="E1338" s="14"/>
      <x:c r="F1338" s="13" t="str">
        <x:f>IF($A1338="","",IF($D1338&lt;&gt;'Team Setup'!$B$4,"Other sprint",IF($C1338="","Unassigned",IF(OR(ISNUMBER(SEARCH(",",$C1338)),ISNUMBER(SEARCH(";",$C1338))),"Multiple assignees",IF(COUNTIF('Team Setup'!$B$10:$B$34,$C1338)=1,"Matched","Unmatched")))))</x:f>
      </x:c>
      <x:c r="G1338" s="13" t="str">
        <x:f>IF($A1338="","",IF($D1338&lt;&gt;'Team Setup'!$B$4,"Other sprint",IF($E1338="","Unestimated",IF(NOT(ISNUMBER($E1338)),"Check estimate in hours",IF($E1338&lt;0,"Check estimate in hours",IF($E1338=0,"Unestimated","Estimated"))))))</x:f>
      </x:c>
    </x:row>
    <x:row r="1339">
      <x:c r="A1339" s="12"/>
      <x:c r="B1339" s="12"/>
      <x:c r="C1339" s="12"/>
      <x:c r="D1339" s="12"/>
      <x:c r="E1339" s="14"/>
      <x:c r="F1339" s="13" t="str">
        <x:f>IF($A1339="","",IF($D1339&lt;&gt;'Team Setup'!$B$4,"Other sprint",IF($C1339="","Unassigned",IF(OR(ISNUMBER(SEARCH(",",$C1339)),ISNUMBER(SEARCH(";",$C1339))),"Multiple assignees",IF(COUNTIF('Team Setup'!$B$10:$B$34,$C1339)=1,"Matched","Unmatched")))))</x:f>
      </x:c>
      <x:c r="G1339" s="13" t="str">
        <x:f>IF($A1339="","",IF($D1339&lt;&gt;'Team Setup'!$B$4,"Other sprint",IF($E1339="","Unestimated",IF(NOT(ISNUMBER($E1339)),"Check estimate in hours",IF($E1339&lt;0,"Check estimate in hours",IF($E1339=0,"Unestimated","Estimated"))))))</x:f>
      </x:c>
    </x:row>
    <x:row r="1340">
      <x:c r="A1340" s="12"/>
      <x:c r="B1340" s="12"/>
      <x:c r="C1340" s="12"/>
      <x:c r="D1340" s="12"/>
      <x:c r="E1340" s="14"/>
      <x:c r="F1340" s="13" t="str">
        <x:f>IF($A1340="","",IF($D1340&lt;&gt;'Team Setup'!$B$4,"Other sprint",IF($C1340="","Unassigned",IF(OR(ISNUMBER(SEARCH(",",$C1340)),ISNUMBER(SEARCH(";",$C1340))),"Multiple assignees",IF(COUNTIF('Team Setup'!$B$10:$B$34,$C1340)=1,"Matched","Unmatched")))))</x:f>
      </x:c>
      <x:c r="G1340" s="13" t="str">
        <x:f>IF($A1340="","",IF($D1340&lt;&gt;'Team Setup'!$B$4,"Other sprint",IF($E1340="","Unestimated",IF(NOT(ISNUMBER($E1340)),"Check estimate in hours",IF($E1340&lt;0,"Check estimate in hours",IF($E1340=0,"Unestimated","Estimated"))))))</x:f>
      </x:c>
    </x:row>
    <x:row r="1341">
      <x:c r="A1341" s="12"/>
      <x:c r="B1341" s="12"/>
      <x:c r="C1341" s="12"/>
      <x:c r="D1341" s="12"/>
      <x:c r="E1341" s="14"/>
      <x:c r="F1341" s="13" t="str">
        <x:f>IF($A1341="","",IF($D1341&lt;&gt;'Team Setup'!$B$4,"Other sprint",IF($C1341="","Unassigned",IF(OR(ISNUMBER(SEARCH(",",$C1341)),ISNUMBER(SEARCH(";",$C1341))),"Multiple assignees",IF(COUNTIF('Team Setup'!$B$10:$B$34,$C1341)=1,"Matched","Unmatched")))))</x:f>
      </x:c>
      <x:c r="G1341" s="13" t="str">
        <x:f>IF($A1341="","",IF($D1341&lt;&gt;'Team Setup'!$B$4,"Other sprint",IF($E1341="","Unestimated",IF(NOT(ISNUMBER($E1341)),"Check estimate in hours",IF($E1341&lt;0,"Check estimate in hours",IF($E1341=0,"Unestimated","Estimated"))))))</x:f>
      </x:c>
    </x:row>
    <x:row r="1342">
      <x:c r="A1342" s="12"/>
      <x:c r="B1342" s="12"/>
      <x:c r="C1342" s="12"/>
      <x:c r="D1342" s="12"/>
      <x:c r="E1342" s="14"/>
      <x:c r="F1342" s="13" t="str">
        <x:f>IF($A1342="","",IF($D1342&lt;&gt;'Team Setup'!$B$4,"Other sprint",IF($C1342="","Unassigned",IF(OR(ISNUMBER(SEARCH(",",$C1342)),ISNUMBER(SEARCH(";",$C1342))),"Multiple assignees",IF(COUNTIF('Team Setup'!$B$10:$B$34,$C1342)=1,"Matched","Unmatched")))))</x:f>
      </x:c>
      <x:c r="G1342" s="13" t="str">
        <x:f>IF($A1342="","",IF($D1342&lt;&gt;'Team Setup'!$B$4,"Other sprint",IF($E1342="","Unestimated",IF(NOT(ISNUMBER($E1342)),"Check estimate in hours",IF($E1342&lt;0,"Check estimate in hours",IF($E1342=0,"Unestimated","Estimated"))))))</x:f>
      </x:c>
    </x:row>
    <x:row r="1343">
      <x:c r="A1343" s="12"/>
      <x:c r="B1343" s="12"/>
      <x:c r="C1343" s="12"/>
      <x:c r="D1343" s="12"/>
      <x:c r="E1343" s="14"/>
      <x:c r="F1343" s="13" t="str">
        <x:f>IF($A1343="","",IF($D1343&lt;&gt;'Team Setup'!$B$4,"Other sprint",IF($C1343="","Unassigned",IF(OR(ISNUMBER(SEARCH(",",$C1343)),ISNUMBER(SEARCH(";",$C1343))),"Multiple assignees",IF(COUNTIF('Team Setup'!$B$10:$B$34,$C1343)=1,"Matched","Unmatched")))))</x:f>
      </x:c>
      <x:c r="G1343" s="13" t="str">
        <x:f>IF($A1343="","",IF($D1343&lt;&gt;'Team Setup'!$B$4,"Other sprint",IF($E1343="","Unestimated",IF(NOT(ISNUMBER($E1343)),"Check estimate in hours",IF($E1343&lt;0,"Check estimate in hours",IF($E1343=0,"Unestimated","Estimated"))))))</x:f>
      </x:c>
    </x:row>
    <x:row r="1344">
      <x:c r="A1344" s="12"/>
      <x:c r="B1344" s="12"/>
      <x:c r="C1344" s="12"/>
      <x:c r="D1344" s="12"/>
      <x:c r="E1344" s="14"/>
      <x:c r="F1344" s="13" t="str">
        <x:f>IF($A1344="","",IF($D1344&lt;&gt;'Team Setup'!$B$4,"Other sprint",IF($C1344="","Unassigned",IF(OR(ISNUMBER(SEARCH(",",$C1344)),ISNUMBER(SEARCH(";",$C1344))),"Multiple assignees",IF(COUNTIF('Team Setup'!$B$10:$B$34,$C1344)=1,"Matched","Unmatched")))))</x:f>
      </x:c>
      <x:c r="G1344" s="13" t="str">
        <x:f>IF($A1344="","",IF($D1344&lt;&gt;'Team Setup'!$B$4,"Other sprint",IF($E1344="","Unestimated",IF(NOT(ISNUMBER($E1344)),"Check estimate in hours",IF($E1344&lt;0,"Check estimate in hours",IF($E1344=0,"Unestimated","Estimated"))))))</x:f>
      </x:c>
    </x:row>
    <x:row r="1345">
      <x:c r="A1345" s="12"/>
      <x:c r="B1345" s="12"/>
      <x:c r="C1345" s="12"/>
      <x:c r="D1345" s="12"/>
      <x:c r="E1345" s="14"/>
      <x:c r="F1345" s="13" t="str">
        <x:f>IF($A1345="","",IF($D1345&lt;&gt;'Team Setup'!$B$4,"Other sprint",IF($C1345="","Unassigned",IF(OR(ISNUMBER(SEARCH(",",$C1345)),ISNUMBER(SEARCH(";",$C1345))),"Multiple assignees",IF(COUNTIF('Team Setup'!$B$10:$B$34,$C1345)=1,"Matched","Unmatched")))))</x:f>
      </x:c>
      <x:c r="G1345" s="13" t="str">
        <x:f>IF($A1345="","",IF($D1345&lt;&gt;'Team Setup'!$B$4,"Other sprint",IF($E1345="","Unestimated",IF(NOT(ISNUMBER($E1345)),"Check estimate in hours",IF($E1345&lt;0,"Check estimate in hours",IF($E1345=0,"Unestimated","Estimated"))))))</x:f>
      </x:c>
    </x:row>
    <x:row r="1346">
      <x:c r="A1346" s="12"/>
      <x:c r="B1346" s="12"/>
      <x:c r="C1346" s="12"/>
      <x:c r="D1346" s="12"/>
      <x:c r="E1346" s="14"/>
      <x:c r="F1346" s="13" t="str">
        <x:f>IF($A1346="","",IF($D1346&lt;&gt;'Team Setup'!$B$4,"Other sprint",IF($C1346="","Unassigned",IF(OR(ISNUMBER(SEARCH(",",$C1346)),ISNUMBER(SEARCH(";",$C1346))),"Multiple assignees",IF(COUNTIF('Team Setup'!$B$10:$B$34,$C1346)=1,"Matched","Unmatched")))))</x:f>
      </x:c>
      <x:c r="G1346" s="13" t="str">
        <x:f>IF($A1346="","",IF($D1346&lt;&gt;'Team Setup'!$B$4,"Other sprint",IF($E1346="","Unestimated",IF(NOT(ISNUMBER($E1346)),"Check estimate in hours",IF($E1346&lt;0,"Check estimate in hours",IF($E1346=0,"Unestimated","Estimated"))))))</x:f>
      </x:c>
    </x:row>
    <x:row r="1347">
      <x:c r="A1347" s="12"/>
      <x:c r="B1347" s="12"/>
      <x:c r="C1347" s="12"/>
      <x:c r="D1347" s="12"/>
      <x:c r="E1347" s="14"/>
      <x:c r="F1347" s="13" t="str">
        <x:f>IF($A1347="","",IF($D1347&lt;&gt;'Team Setup'!$B$4,"Other sprint",IF($C1347="","Unassigned",IF(OR(ISNUMBER(SEARCH(",",$C1347)),ISNUMBER(SEARCH(";",$C1347))),"Multiple assignees",IF(COUNTIF('Team Setup'!$B$10:$B$34,$C1347)=1,"Matched","Unmatched")))))</x:f>
      </x:c>
      <x:c r="G1347" s="13" t="str">
        <x:f>IF($A1347="","",IF($D1347&lt;&gt;'Team Setup'!$B$4,"Other sprint",IF($E1347="","Unestimated",IF(NOT(ISNUMBER($E1347)),"Check estimate in hours",IF($E1347&lt;0,"Check estimate in hours",IF($E1347=0,"Unestimated","Estimated"))))))</x:f>
      </x:c>
    </x:row>
    <x:row r="1348">
      <x:c r="A1348" s="12"/>
      <x:c r="B1348" s="12"/>
      <x:c r="C1348" s="12"/>
      <x:c r="D1348" s="12"/>
      <x:c r="E1348" s="14"/>
      <x:c r="F1348" s="13" t="str">
        <x:f>IF($A1348="","",IF($D1348&lt;&gt;'Team Setup'!$B$4,"Other sprint",IF($C1348="","Unassigned",IF(OR(ISNUMBER(SEARCH(",",$C1348)),ISNUMBER(SEARCH(";",$C1348))),"Multiple assignees",IF(COUNTIF('Team Setup'!$B$10:$B$34,$C1348)=1,"Matched","Unmatched")))))</x:f>
      </x:c>
      <x:c r="G1348" s="13" t="str">
        <x:f>IF($A1348="","",IF($D1348&lt;&gt;'Team Setup'!$B$4,"Other sprint",IF($E1348="","Unestimated",IF(NOT(ISNUMBER($E1348)),"Check estimate in hours",IF($E1348&lt;0,"Check estimate in hours",IF($E1348=0,"Unestimated","Estimated"))))))</x:f>
      </x:c>
    </x:row>
    <x:row r="1349">
      <x:c r="A1349" s="12"/>
      <x:c r="B1349" s="12"/>
      <x:c r="C1349" s="12"/>
      <x:c r="D1349" s="12"/>
      <x:c r="E1349" s="14"/>
      <x:c r="F1349" s="13" t="str">
        <x:f>IF($A1349="","",IF($D1349&lt;&gt;'Team Setup'!$B$4,"Other sprint",IF($C1349="","Unassigned",IF(OR(ISNUMBER(SEARCH(",",$C1349)),ISNUMBER(SEARCH(";",$C1349))),"Multiple assignees",IF(COUNTIF('Team Setup'!$B$10:$B$34,$C1349)=1,"Matched","Unmatched")))))</x:f>
      </x:c>
      <x:c r="G1349" s="13" t="str">
        <x:f>IF($A1349="","",IF($D1349&lt;&gt;'Team Setup'!$B$4,"Other sprint",IF($E1349="","Unestimated",IF(NOT(ISNUMBER($E1349)),"Check estimate in hours",IF($E1349&lt;0,"Check estimate in hours",IF($E1349=0,"Unestimated","Estimated"))))))</x:f>
      </x:c>
    </x:row>
    <x:row r="1350">
      <x:c r="A1350" s="12"/>
      <x:c r="B1350" s="12"/>
      <x:c r="C1350" s="12"/>
      <x:c r="D1350" s="12"/>
      <x:c r="E1350" s="14"/>
      <x:c r="F1350" s="13" t="str">
        <x:f>IF($A1350="","",IF($D1350&lt;&gt;'Team Setup'!$B$4,"Other sprint",IF($C1350="","Unassigned",IF(OR(ISNUMBER(SEARCH(",",$C1350)),ISNUMBER(SEARCH(";",$C1350))),"Multiple assignees",IF(COUNTIF('Team Setup'!$B$10:$B$34,$C1350)=1,"Matched","Unmatched")))))</x:f>
      </x:c>
      <x:c r="G1350" s="13" t="str">
        <x:f>IF($A1350="","",IF($D1350&lt;&gt;'Team Setup'!$B$4,"Other sprint",IF($E1350="","Unestimated",IF(NOT(ISNUMBER($E1350)),"Check estimate in hours",IF($E1350&lt;0,"Check estimate in hours",IF($E1350=0,"Unestimated","Estimated"))))))</x:f>
      </x:c>
    </x:row>
    <x:row r="1351">
      <x:c r="A1351" s="12"/>
      <x:c r="B1351" s="12"/>
      <x:c r="C1351" s="12"/>
      <x:c r="D1351" s="12"/>
      <x:c r="E1351" s="14"/>
      <x:c r="F1351" s="13" t="str">
        <x:f>IF($A1351="","",IF($D1351&lt;&gt;'Team Setup'!$B$4,"Other sprint",IF($C1351="","Unassigned",IF(OR(ISNUMBER(SEARCH(",",$C1351)),ISNUMBER(SEARCH(";",$C1351))),"Multiple assignees",IF(COUNTIF('Team Setup'!$B$10:$B$34,$C1351)=1,"Matched","Unmatched")))))</x:f>
      </x:c>
      <x:c r="G1351" s="13" t="str">
        <x:f>IF($A1351="","",IF($D1351&lt;&gt;'Team Setup'!$B$4,"Other sprint",IF($E1351="","Unestimated",IF(NOT(ISNUMBER($E1351)),"Check estimate in hours",IF($E1351&lt;0,"Check estimate in hours",IF($E1351=0,"Unestimated","Estimated"))))))</x:f>
      </x:c>
    </x:row>
    <x:row r="1352">
      <x:c r="A1352" s="12"/>
      <x:c r="B1352" s="12"/>
      <x:c r="C1352" s="12"/>
      <x:c r="D1352" s="12"/>
      <x:c r="E1352" s="14"/>
      <x:c r="F1352" s="13" t="str">
        <x:f>IF($A1352="","",IF($D1352&lt;&gt;'Team Setup'!$B$4,"Other sprint",IF($C1352="","Unassigned",IF(OR(ISNUMBER(SEARCH(",",$C1352)),ISNUMBER(SEARCH(";",$C1352))),"Multiple assignees",IF(COUNTIF('Team Setup'!$B$10:$B$34,$C1352)=1,"Matched","Unmatched")))))</x:f>
      </x:c>
      <x:c r="G1352" s="13" t="str">
        <x:f>IF($A1352="","",IF($D1352&lt;&gt;'Team Setup'!$B$4,"Other sprint",IF($E1352="","Unestimated",IF(NOT(ISNUMBER($E1352)),"Check estimate in hours",IF($E1352&lt;0,"Check estimate in hours",IF($E1352=0,"Unestimated","Estimated"))))))</x:f>
      </x:c>
    </x:row>
    <x:row r="1353">
      <x:c r="A1353" s="12"/>
      <x:c r="B1353" s="12"/>
      <x:c r="C1353" s="12"/>
      <x:c r="D1353" s="12"/>
      <x:c r="E1353" s="14"/>
      <x:c r="F1353" s="13" t="str">
        <x:f>IF($A1353="","",IF($D1353&lt;&gt;'Team Setup'!$B$4,"Other sprint",IF($C1353="","Unassigned",IF(OR(ISNUMBER(SEARCH(",",$C1353)),ISNUMBER(SEARCH(";",$C1353))),"Multiple assignees",IF(COUNTIF('Team Setup'!$B$10:$B$34,$C1353)=1,"Matched","Unmatched")))))</x:f>
      </x:c>
      <x:c r="G1353" s="13" t="str">
        <x:f>IF($A1353="","",IF($D1353&lt;&gt;'Team Setup'!$B$4,"Other sprint",IF($E1353="","Unestimated",IF(NOT(ISNUMBER($E1353)),"Check estimate in hours",IF($E1353&lt;0,"Check estimate in hours",IF($E1353=0,"Unestimated","Estimated"))))))</x:f>
      </x:c>
    </x:row>
    <x:row r="1354">
      <x:c r="A1354" s="12"/>
      <x:c r="B1354" s="12"/>
      <x:c r="C1354" s="12"/>
      <x:c r="D1354" s="12"/>
      <x:c r="E1354" s="14"/>
      <x:c r="F1354" s="13" t="str">
        <x:f>IF($A1354="","",IF($D1354&lt;&gt;'Team Setup'!$B$4,"Other sprint",IF($C1354="","Unassigned",IF(OR(ISNUMBER(SEARCH(",",$C1354)),ISNUMBER(SEARCH(";",$C1354))),"Multiple assignees",IF(COUNTIF('Team Setup'!$B$10:$B$34,$C1354)=1,"Matched","Unmatched")))))</x:f>
      </x:c>
      <x:c r="G1354" s="13" t="str">
        <x:f>IF($A1354="","",IF($D1354&lt;&gt;'Team Setup'!$B$4,"Other sprint",IF($E1354="","Unestimated",IF(NOT(ISNUMBER($E1354)),"Check estimate in hours",IF($E1354&lt;0,"Check estimate in hours",IF($E1354=0,"Unestimated","Estimated"))))))</x:f>
      </x:c>
    </x:row>
    <x:row r="1355">
      <x:c r="A1355" s="12"/>
      <x:c r="B1355" s="12"/>
      <x:c r="C1355" s="12"/>
      <x:c r="D1355" s="12"/>
      <x:c r="E1355" s="14"/>
      <x:c r="F1355" s="13" t="str">
        <x:f>IF($A1355="","",IF($D1355&lt;&gt;'Team Setup'!$B$4,"Other sprint",IF($C1355="","Unassigned",IF(OR(ISNUMBER(SEARCH(",",$C1355)),ISNUMBER(SEARCH(";",$C1355))),"Multiple assignees",IF(COUNTIF('Team Setup'!$B$10:$B$34,$C1355)=1,"Matched","Unmatched")))))</x:f>
      </x:c>
      <x:c r="G1355" s="13" t="str">
        <x:f>IF($A1355="","",IF($D1355&lt;&gt;'Team Setup'!$B$4,"Other sprint",IF($E1355="","Unestimated",IF(NOT(ISNUMBER($E1355)),"Check estimate in hours",IF($E1355&lt;0,"Check estimate in hours",IF($E1355=0,"Unestimated","Estimated"))))))</x:f>
      </x:c>
    </x:row>
    <x:row r="1356">
      <x:c r="A1356" s="12"/>
      <x:c r="B1356" s="12"/>
      <x:c r="C1356" s="12"/>
      <x:c r="D1356" s="12"/>
      <x:c r="E1356" s="14"/>
      <x:c r="F1356" s="13" t="str">
        <x:f>IF($A1356="","",IF($D1356&lt;&gt;'Team Setup'!$B$4,"Other sprint",IF($C1356="","Unassigned",IF(OR(ISNUMBER(SEARCH(",",$C1356)),ISNUMBER(SEARCH(";",$C1356))),"Multiple assignees",IF(COUNTIF('Team Setup'!$B$10:$B$34,$C1356)=1,"Matched","Unmatched")))))</x:f>
      </x:c>
      <x:c r="G1356" s="13" t="str">
        <x:f>IF($A1356="","",IF($D1356&lt;&gt;'Team Setup'!$B$4,"Other sprint",IF($E1356="","Unestimated",IF(NOT(ISNUMBER($E1356)),"Check estimate in hours",IF($E1356&lt;0,"Check estimate in hours",IF($E1356=0,"Unestimated","Estimated"))))))</x:f>
      </x:c>
    </x:row>
    <x:row r="1357">
      <x:c r="A1357" s="12"/>
      <x:c r="B1357" s="12"/>
      <x:c r="C1357" s="12"/>
      <x:c r="D1357" s="12"/>
      <x:c r="E1357" s="14"/>
      <x:c r="F1357" s="13" t="str">
        <x:f>IF($A1357="","",IF($D1357&lt;&gt;'Team Setup'!$B$4,"Other sprint",IF($C1357="","Unassigned",IF(OR(ISNUMBER(SEARCH(",",$C1357)),ISNUMBER(SEARCH(";",$C1357))),"Multiple assignees",IF(COUNTIF('Team Setup'!$B$10:$B$34,$C1357)=1,"Matched","Unmatched")))))</x:f>
      </x:c>
      <x:c r="G1357" s="13" t="str">
        <x:f>IF($A1357="","",IF($D1357&lt;&gt;'Team Setup'!$B$4,"Other sprint",IF($E1357="","Unestimated",IF(NOT(ISNUMBER($E1357)),"Check estimate in hours",IF($E1357&lt;0,"Check estimate in hours",IF($E1357=0,"Unestimated","Estimated"))))))</x:f>
      </x:c>
    </x:row>
    <x:row r="1358">
      <x:c r="A1358" s="12"/>
      <x:c r="B1358" s="12"/>
      <x:c r="C1358" s="12"/>
      <x:c r="D1358" s="12"/>
      <x:c r="E1358" s="14"/>
      <x:c r="F1358" s="13" t="str">
        <x:f>IF($A1358="","",IF($D1358&lt;&gt;'Team Setup'!$B$4,"Other sprint",IF($C1358="","Unassigned",IF(OR(ISNUMBER(SEARCH(",",$C1358)),ISNUMBER(SEARCH(";",$C1358))),"Multiple assignees",IF(COUNTIF('Team Setup'!$B$10:$B$34,$C1358)=1,"Matched","Unmatched")))))</x:f>
      </x:c>
      <x:c r="G1358" s="13" t="str">
        <x:f>IF($A1358="","",IF($D1358&lt;&gt;'Team Setup'!$B$4,"Other sprint",IF($E1358="","Unestimated",IF(NOT(ISNUMBER($E1358)),"Check estimate in hours",IF($E1358&lt;0,"Check estimate in hours",IF($E1358=0,"Unestimated","Estimated"))))))</x:f>
      </x:c>
    </x:row>
    <x:row r="1359">
      <x:c r="A1359" s="12"/>
      <x:c r="B1359" s="12"/>
      <x:c r="C1359" s="12"/>
      <x:c r="D1359" s="12"/>
      <x:c r="E1359" s="14"/>
      <x:c r="F1359" s="13" t="str">
        <x:f>IF($A1359="","",IF($D1359&lt;&gt;'Team Setup'!$B$4,"Other sprint",IF($C1359="","Unassigned",IF(OR(ISNUMBER(SEARCH(",",$C1359)),ISNUMBER(SEARCH(";",$C1359))),"Multiple assignees",IF(COUNTIF('Team Setup'!$B$10:$B$34,$C1359)=1,"Matched","Unmatched")))))</x:f>
      </x:c>
      <x:c r="G1359" s="13" t="str">
        <x:f>IF($A1359="","",IF($D1359&lt;&gt;'Team Setup'!$B$4,"Other sprint",IF($E1359="","Unestimated",IF(NOT(ISNUMBER($E1359)),"Check estimate in hours",IF($E1359&lt;0,"Check estimate in hours",IF($E1359=0,"Unestimated","Estimated"))))))</x:f>
      </x:c>
    </x:row>
    <x:row r="1360">
      <x:c r="A1360" s="12"/>
      <x:c r="B1360" s="12"/>
      <x:c r="C1360" s="12"/>
      <x:c r="D1360" s="12"/>
      <x:c r="E1360" s="14"/>
      <x:c r="F1360" s="13" t="str">
        <x:f>IF($A1360="","",IF($D1360&lt;&gt;'Team Setup'!$B$4,"Other sprint",IF($C1360="","Unassigned",IF(OR(ISNUMBER(SEARCH(",",$C1360)),ISNUMBER(SEARCH(";",$C1360))),"Multiple assignees",IF(COUNTIF('Team Setup'!$B$10:$B$34,$C1360)=1,"Matched","Unmatched")))))</x:f>
      </x:c>
      <x:c r="G1360" s="13" t="str">
        <x:f>IF($A1360="","",IF($D1360&lt;&gt;'Team Setup'!$B$4,"Other sprint",IF($E1360="","Unestimated",IF(NOT(ISNUMBER($E1360)),"Check estimate in hours",IF($E1360&lt;0,"Check estimate in hours",IF($E1360=0,"Unestimated","Estimated"))))))</x:f>
      </x:c>
    </x:row>
    <x:row r="1361">
      <x:c r="A1361" s="12"/>
      <x:c r="B1361" s="12"/>
      <x:c r="C1361" s="12"/>
      <x:c r="D1361" s="12"/>
      <x:c r="E1361" s="14"/>
      <x:c r="F1361" s="13" t="str">
        <x:f>IF($A1361="","",IF($D1361&lt;&gt;'Team Setup'!$B$4,"Other sprint",IF($C1361="","Unassigned",IF(OR(ISNUMBER(SEARCH(",",$C1361)),ISNUMBER(SEARCH(";",$C1361))),"Multiple assignees",IF(COUNTIF('Team Setup'!$B$10:$B$34,$C1361)=1,"Matched","Unmatched")))))</x:f>
      </x:c>
      <x:c r="G1361" s="13" t="str">
        <x:f>IF($A1361="","",IF($D1361&lt;&gt;'Team Setup'!$B$4,"Other sprint",IF($E1361="","Unestimated",IF(NOT(ISNUMBER($E1361)),"Check estimate in hours",IF($E1361&lt;0,"Check estimate in hours",IF($E1361=0,"Unestimated","Estimated"))))))</x:f>
      </x:c>
    </x:row>
    <x:row r="1362">
      <x:c r="A1362" s="12"/>
      <x:c r="B1362" s="12"/>
      <x:c r="C1362" s="12"/>
      <x:c r="D1362" s="12"/>
      <x:c r="E1362" s="14"/>
      <x:c r="F1362" s="13" t="str">
        <x:f>IF($A1362="","",IF($D1362&lt;&gt;'Team Setup'!$B$4,"Other sprint",IF($C1362="","Unassigned",IF(OR(ISNUMBER(SEARCH(",",$C1362)),ISNUMBER(SEARCH(";",$C1362))),"Multiple assignees",IF(COUNTIF('Team Setup'!$B$10:$B$34,$C1362)=1,"Matched","Unmatched")))))</x:f>
      </x:c>
      <x:c r="G1362" s="13" t="str">
        <x:f>IF($A1362="","",IF($D1362&lt;&gt;'Team Setup'!$B$4,"Other sprint",IF($E1362="","Unestimated",IF(NOT(ISNUMBER($E1362)),"Check estimate in hours",IF($E1362&lt;0,"Check estimate in hours",IF($E1362=0,"Unestimated","Estimated"))))))</x:f>
      </x:c>
    </x:row>
    <x:row r="1363">
      <x:c r="A1363" s="12"/>
      <x:c r="B1363" s="12"/>
      <x:c r="C1363" s="12"/>
      <x:c r="D1363" s="12"/>
      <x:c r="E1363" s="14"/>
      <x:c r="F1363" s="13" t="str">
        <x:f>IF($A1363="","",IF($D1363&lt;&gt;'Team Setup'!$B$4,"Other sprint",IF($C1363="","Unassigned",IF(OR(ISNUMBER(SEARCH(",",$C1363)),ISNUMBER(SEARCH(";",$C1363))),"Multiple assignees",IF(COUNTIF('Team Setup'!$B$10:$B$34,$C1363)=1,"Matched","Unmatched")))))</x:f>
      </x:c>
      <x:c r="G1363" s="13" t="str">
        <x:f>IF($A1363="","",IF($D1363&lt;&gt;'Team Setup'!$B$4,"Other sprint",IF($E1363="","Unestimated",IF(NOT(ISNUMBER($E1363)),"Check estimate in hours",IF($E1363&lt;0,"Check estimate in hours",IF($E1363=0,"Unestimated","Estimated"))))))</x:f>
      </x:c>
    </x:row>
    <x:row r="1364">
      <x:c r="A1364" s="12"/>
      <x:c r="B1364" s="12"/>
      <x:c r="C1364" s="12"/>
      <x:c r="D1364" s="12"/>
      <x:c r="E1364" s="14"/>
      <x:c r="F1364" s="13" t="str">
        <x:f>IF($A1364="","",IF($D1364&lt;&gt;'Team Setup'!$B$4,"Other sprint",IF($C1364="","Unassigned",IF(OR(ISNUMBER(SEARCH(",",$C1364)),ISNUMBER(SEARCH(";",$C1364))),"Multiple assignees",IF(COUNTIF('Team Setup'!$B$10:$B$34,$C1364)=1,"Matched","Unmatched")))))</x:f>
      </x:c>
      <x:c r="G1364" s="13" t="str">
        <x:f>IF($A1364="","",IF($D1364&lt;&gt;'Team Setup'!$B$4,"Other sprint",IF($E1364="","Unestimated",IF(NOT(ISNUMBER($E1364)),"Check estimate in hours",IF($E1364&lt;0,"Check estimate in hours",IF($E1364=0,"Unestimated","Estimated"))))))</x:f>
      </x:c>
    </x:row>
    <x:row r="1365">
      <x:c r="A1365" s="12"/>
      <x:c r="B1365" s="12"/>
      <x:c r="C1365" s="12"/>
      <x:c r="D1365" s="12"/>
      <x:c r="E1365" s="14"/>
      <x:c r="F1365" s="13" t="str">
        <x:f>IF($A1365="","",IF($D1365&lt;&gt;'Team Setup'!$B$4,"Other sprint",IF($C1365="","Unassigned",IF(OR(ISNUMBER(SEARCH(",",$C1365)),ISNUMBER(SEARCH(";",$C1365))),"Multiple assignees",IF(COUNTIF('Team Setup'!$B$10:$B$34,$C1365)=1,"Matched","Unmatched")))))</x:f>
      </x:c>
      <x:c r="G1365" s="13" t="str">
        <x:f>IF($A1365="","",IF($D1365&lt;&gt;'Team Setup'!$B$4,"Other sprint",IF($E1365="","Unestimated",IF(NOT(ISNUMBER($E1365)),"Check estimate in hours",IF($E1365&lt;0,"Check estimate in hours",IF($E1365=0,"Unestimated","Estimated"))))))</x:f>
      </x:c>
    </x:row>
    <x:row r="1366">
      <x:c r="A1366" s="12"/>
      <x:c r="B1366" s="12"/>
      <x:c r="C1366" s="12"/>
      <x:c r="D1366" s="12"/>
      <x:c r="E1366" s="14"/>
      <x:c r="F1366" s="13" t="str">
        <x:f>IF($A1366="","",IF($D1366&lt;&gt;'Team Setup'!$B$4,"Other sprint",IF($C1366="","Unassigned",IF(OR(ISNUMBER(SEARCH(",",$C1366)),ISNUMBER(SEARCH(";",$C1366))),"Multiple assignees",IF(COUNTIF('Team Setup'!$B$10:$B$34,$C1366)=1,"Matched","Unmatched")))))</x:f>
      </x:c>
      <x:c r="G1366" s="13" t="str">
        <x:f>IF($A1366="","",IF($D1366&lt;&gt;'Team Setup'!$B$4,"Other sprint",IF($E1366="","Unestimated",IF(NOT(ISNUMBER($E1366)),"Check estimate in hours",IF($E1366&lt;0,"Check estimate in hours",IF($E1366=0,"Unestimated","Estimated"))))))</x:f>
      </x:c>
    </x:row>
    <x:row r="1367">
      <x:c r="A1367" s="12"/>
      <x:c r="B1367" s="12"/>
      <x:c r="C1367" s="12"/>
      <x:c r="D1367" s="12"/>
      <x:c r="E1367" s="14"/>
      <x:c r="F1367" s="13" t="str">
        <x:f>IF($A1367="","",IF($D1367&lt;&gt;'Team Setup'!$B$4,"Other sprint",IF($C1367="","Unassigned",IF(OR(ISNUMBER(SEARCH(",",$C1367)),ISNUMBER(SEARCH(";",$C1367))),"Multiple assignees",IF(COUNTIF('Team Setup'!$B$10:$B$34,$C1367)=1,"Matched","Unmatched")))))</x:f>
      </x:c>
      <x:c r="G1367" s="13" t="str">
        <x:f>IF($A1367="","",IF($D1367&lt;&gt;'Team Setup'!$B$4,"Other sprint",IF($E1367="","Unestimated",IF(NOT(ISNUMBER($E1367)),"Check estimate in hours",IF($E1367&lt;0,"Check estimate in hours",IF($E1367=0,"Unestimated","Estimated"))))))</x:f>
      </x:c>
    </x:row>
    <x:row r="1368">
      <x:c r="A1368" s="12"/>
      <x:c r="B1368" s="12"/>
      <x:c r="C1368" s="12"/>
      <x:c r="D1368" s="12"/>
      <x:c r="E1368" s="14"/>
      <x:c r="F1368" s="13" t="str">
        <x:f>IF($A1368="","",IF($D1368&lt;&gt;'Team Setup'!$B$4,"Other sprint",IF($C1368="","Unassigned",IF(OR(ISNUMBER(SEARCH(",",$C1368)),ISNUMBER(SEARCH(";",$C1368))),"Multiple assignees",IF(COUNTIF('Team Setup'!$B$10:$B$34,$C1368)=1,"Matched","Unmatched")))))</x:f>
      </x:c>
      <x:c r="G1368" s="13" t="str">
        <x:f>IF($A1368="","",IF($D1368&lt;&gt;'Team Setup'!$B$4,"Other sprint",IF($E1368="","Unestimated",IF(NOT(ISNUMBER($E1368)),"Check estimate in hours",IF($E1368&lt;0,"Check estimate in hours",IF($E1368=0,"Unestimated","Estimated"))))))</x:f>
      </x:c>
    </x:row>
    <x:row r="1369">
      <x:c r="A1369" s="12"/>
      <x:c r="B1369" s="12"/>
      <x:c r="C1369" s="12"/>
      <x:c r="D1369" s="12"/>
      <x:c r="E1369" s="14"/>
      <x:c r="F1369" s="13" t="str">
        <x:f>IF($A1369="","",IF($D1369&lt;&gt;'Team Setup'!$B$4,"Other sprint",IF($C1369="","Unassigned",IF(OR(ISNUMBER(SEARCH(",",$C1369)),ISNUMBER(SEARCH(";",$C1369))),"Multiple assignees",IF(COUNTIF('Team Setup'!$B$10:$B$34,$C1369)=1,"Matched","Unmatched")))))</x:f>
      </x:c>
      <x:c r="G1369" s="13" t="str">
        <x:f>IF($A1369="","",IF($D1369&lt;&gt;'Team Setup'!$B$4,"Other sprint",IF($E1369="","Unestimated",IF(NOT(ISNUMBER($E1369)),"Check estimate in hours",IF($E1369&lt;0,"Check estimate in hours",IF($E1369=0,"Unestimated","Estimated"))))))</x:f>
      </x:c>
    </x:row>
    <x:row r="1370">
      <x:c r="A1370" s="12"/>
      <x:c r="B1370" s="12"/>
      <x:c r="C1370" s="12"/>
      <x:c r="D1370" s="12"/>
      <x:c r="E1370" s="14"/>
      <x:c r="F1370" s="13" t="str">
        <x:f>IF($A1370="","",IF($D1370&lt;&gt;'Team Setup'!$B$4,"Other sprint",IF($C1370="","Unassigned",IF(OR(ISNUMBER(SEARCH(",",$C1370)),ISNUMBER(SEARCH(";",$C1370))),"Multiple assignees",IF(COUNTIF('Team Setup'!$B$10:$B$34,$C1370)=1,"Matched","Unmatched")))))</x:f>
      </x:c>
      <x:c r="G1370" s="13" t="str">
        <x:f>IF($A1370="","",IF($D1370&lt;&gt;'Team Setup'!$B$4,"Other sprint",IF($E1370="","Unestimated",IF(NOT(ISNUMBER($E1370)),"Check estimate in hours",IF($E1370&lt;0,"Check estimate in hours",IF($E1370=0,"Unestimated","Estimated"))))))</x:f>
      </x:c>
    </x:row>
    <x:row r="1371">
      <x:c r="A1371" s="12"/>
      <x:c r="B1371" s="12"/>
      <x:c r="C1371" s="12"/>
      <x:c r="D1371" s="12"/>
      <x:c r="E1371" s="14"/>
      <x:c r="F1371" s="13" t="str">
        <x:f>IF($A1371="","",IF($D1371&lt;&gt;'Team Setup'!$B$4,"Other sprint",IF($C1371="","Unassigned",IF(OR(ISNUMBER(SEARCH(",",$C1371)),ISNUMBER(SEARCH(";",$C1371))),"Multiple assignees",IF(COUNTIF('Team Setup'!$B$10:$B$34,$C1371)=1,"Matched","Unmatched")))))</x:f>
      </x:c>
      <x:c r="G1371" s="13" t="str">
        <x:f>IF($A1371="","",IF($D1371&lt;&gt;'Team Setup'!$B$4,"Other sprint",IF($E1371="","Unestimated",IF(NOT(ISNUMBER($E1371)),"Check estimate in hours",IF($E1371&lt;0,"Check estimate in hours",IF($E1371=0,"Unestimated","Estimated"))))))</x:f>
      </x:c>
    </x:row>
    <x:row r="1372">
      <x:c r="A1372" s="12"/>
      <x:c r="B1372" s="12"/>
      <x:c r="C1372" s="12"/>
      <x:c r="D1372" s="12"/>
      <x:c r="E1372" s="14"/>
      <x:c r="F1372" s="13" t="str">
        <x:f>IF($A1372="","",IF($D1372&lt;&gt;'Team Setup'!$B$4,"Other sprint",IF($C1372="","Unassigned",IF(OR(ISNUMBER(SEARCH(",",$C1372)),ISNUMBER(SEARCH(";",$C1372))),"Multiple assignees",IF(COUNTIF('Team Setup'!$B$10:$B$34,$C1372)=1,"Matched","Unmatched")))))</x:f>
      </x:c>
      <x:c r="G1372" s="13" t="str">
        <x:f>IF($A1372="","",IF($D1372&lt;&gt;'Team Setup'!$B$4,"Other sprint",IF($E1372="","Unestimated",IF(NOT(ISNUMBER($E1372)),"Check estimate in hours",IF($E1372&lt;0,"Check estimate in hours",IF($E1372=0,"Unestimated","Estimated"))))))</x:f>
      </x:c>
    </x:row>
    <x:row r="1373">
      <x:c r="A1373" s="12"/>
      <x:c r="B1373" s="12"/>
      <x:c r="C1373" s="12"/>
      <x:c r="D1373" s="12"/>
      <x:c r="E1373" s="14"/>
      <x:c r="F1373" s="13" t="str">
        <x:f>IF($A1373="","",IF($D1373&lt;&gt;'Team Setup'!$B$4,"Other sprint",IF($C1373="","Unassigned",IF(OR(ISNUMBER(SEARCH(",",$C1373)),ISNUMBER(SEARCH(";",$C1373))),"Multiple assignees",IF(COUNTIF('Team Setup'!$B$10:$B$34,$C1373)=1,"Matched","Unmatched")))))</x:f>
      </x:c>
      <x:c r="G1373" s="13" t="str">
        <x:f>IF($A1373="","",IF($D1373&lt;&gt;'Team Setup'!$B$4,"Other sprint",IF($E1373="","Unestimated",IF(NOT(ISNUMBER($E1373)),"Check estimate in hours",IF($E1373&lt;0,"Check estimate in hours",IF($E1373=0,"Unestimated","Estimated"))))))</x:f>
      </x:c>
    </x:row>
    <x:row r="1374">
      <x:c r="A1374" s="12"/>
      <x:c r="B1374" s="12"/>
      <x:c r="C1374" s="12"/>
      <x:c r="D1374" s="12"/>
      <x:c r="E1374" s="14"/>
      <x:c r="F1374" s="13" t="str">
        <x:f>IF($A1374="","",IF($D1374&lt;&gt;'Team Setup'!$B$4,"Other sprint",IF($C1374="","Unassigned",IF(OR(ISNUMBER(SEARCH(",",$C1374)),ISNUMBER(SEARCH(";",$C1374))),"Multiple assignees",IF(COUNTIF('Team Setup'!$B$10:$B$34,$C1374)=1,"Matched","Unmatched")))))</x:f>
      </x:c>
      <x:c r="G1374" s="13" t="str">
        <x:f>IF($A1374="","",IF($D1374&lt;&gt;'Team Setup'!$B$4,"Other sprint",IF($E1374="","Unestimated",IF(NOT(ISNUMBER($E1374)),"Check estimate in hours",IF($E1374&lt;0,"Check estimate in hours",IF($E1374=0,"Unestimated","Estimated"))))))</x:f>
      </x:c>
    </x:row>
    <x:row r="1375">
      <x:c r="A1375" s="12"/>
      <x:c r="B1375" s="12"/>
      <x:c r="C1375" s="12"/>
      <x:c r="D1375" s="12"/>
      <x:c r="E1375" s="14"/>
      <x:c r="F1375" s="13" t="str">
        <x:f>IF($A1375="","",IF($D1375&lt;&gt;'Team Setup'!$B$4,"Other sprint",IF($C1375="","Unassigned",IF(OR(ISNUMBER(SEARCH(",",$C1375)),ISNUMBER(SEARCH(";",$C1375))),"Multiple assignees",IF(COUNTIF('Team Setup'!$B$10:$B$34,$C1375)=1,"Matched","Unmatched")))))</x:f>
      </x:c>
      <x:c r="G1375" s="13" t="str">
        <x:f>IF($A1375="","",IF($D1375&lt;&gt;'Team Setup'!$B$4,"Other sprint",IF($E1375="","Unestimated",IF(NOT(ISNUMBER($E1375)),"Check estimate in hours",IF($E1375&lt;0,"Check estimate in hours",IF($E1375=0,"Unestimated","Estimated"))))))</x:f>
      </x:c>
    </x:row>
    <x:row r="1376">
      <x:c r="A1376" s="12"/>
      <x:c r="B1376" s="12"/>
      <x:c r="C1376" s="12"/>
      <x:c r="D1376" s="12"/>
      <x:c r="E1376" s="14"/>
      <x:c r="F1376" s="13" t="str">
        <x:f>IF($A1376="","",IF($D1376&lt;&gt;'Team Setup'!$B$4,"Other sprint",IF($C1376="","Unassigned",IF(OR(ISNUMBER(SEARCH(",",$C1376)),ISNUMBER(SEARCH(";",$C1376))),"Multiple assignees",IF(COUNTIF('Team Setup'!$B$10:$B$34,$C1376)=1,"Matched","Unmatched")))))</x:f>
      </x:c>
      <x:c r="G1376" s="13" t="str">
        <x:f>IF($A1376="","",IF($D1376&lt;&gt;'Team Setup'!$B$4,"Other sprint",IF($E1376="","Unestimated",IF(NOT(ISNUMBER($E1376)),"Check estimate in hours",IF($E1376&lt;0,"Check estimate in hours",IF($E1376=0,"Unestimated","Estimated"))))))</x:f>
      </x:c>
    </x:row>
    <x:row r="1377">
      <x:c r="A1377" s="12"/>
      <x:c r="B1377" s="12"/>
      <x:c r="C1377" s="12"/>
      <x:c r="D1377" s="12"/>
      <x:c r="E1377" s="14"/>
      <x:c r="F1377" s="13" t="str">
        <x:f>IF($A1377="","",IF($D1377&lt;&gt;'Team Setup'!$B$4,"Other sprint",IF($C1377="","Unassigned",IF(OR(ISNUMBER(SEARCH(",",$C1377)),ISNUMBER(SEARCH(";",$C1377))),"Multiple assignees",IF(COUNTIF('Team Setup'!$B$10:$B$34,$C1377)=1,"Matched","Unmatched")))))</x:f>
      </x:c>
      <x:c r="G1377" s="13" t="str">
        <x:f>IF($A1377="","",IF($D1377&lt;&gt;'Team Setup'!$B$4,"Other sprint",IF($E1377="","Unestimated",IF(NOT(ISNUMBER($E1377)),"Check estimate in hours",IF($E1377&lt;0,"Check estimate in hours",IF($E1377=0,"Unestimated","Estimated"))))))</x:f>
      </x:c>
    </x:row>
    <x:row r="1378">
      <x:c r="A1378" s="12"/>
      <x:c r="B1378" s="12"/>
      <x:c r="C1378" s="12"/>
      <x:c r="D1378" s="12"/>
      <x:c r="E1378" s="14"/>
      <x:c r="F1378" s="13" t="str">
        <x:f>IF($A1378="","",IF($D1378&lt;&gt;'Team Setup'!$B$4,"Other sprint",IF($C1378="","Unassigned",IF(OR(ISNUMBER(SEARCH(",",$C1378)),ISNUMBER(SEARCH(";",$C1378))),"Multiple assignees",IF(COUNTIF('Team Setup'!$B$10:$B$34,$C1378)=1,"Matched","Unmatched")))))</x:f>
      </x:c>
      <x:c r="G1378" s="13" t="str">
        <x:f>IF($A1378="","",IF($D1378&lt;&gt;'Team Setup'!$B$4,"Other sprint",IF($E1378="","Unestimated",IF(NOT(ISNUMBER($E1378)),"Check estimate in hours",IF($E1378&lt;0,"Check estimate in hours",IF($E1378=0,"Unestimated","Estimated"))))))</x:f>
      </x:c>
    </x:row>
    <x:row r="1379">
      <x:c r="A1379" s="12"/>
      <x:c r="B1379" s="12"/>
      <x:c r="C1379" s="12"/>
      <x:c r="D1379" s="12"/>
      <x:c r="E1379" s="14"/>
      <x:c r="F1379" s="13" t="str">
        <x:f>IF($A1379="","",IF($D1379&lt;&gt;'Team Setup'!$B$4,"Other sprint",IF($C1379="","Unassigned",IF(OR(ISNUMBER(SEARCH(",",$C1379)),ISNUMBER(SEARCH(";",$C1379))),"Multiple assignees",IF(COUNTIF('Team Setup'!$B$10:$B$34,$C1379)=1,"Matched","Unmatched")))))</x:f>
      </x:c>
      <x:c r="G1379" s="13" t="str">
        <x:f>IF($A1379="","",IF($D1379&lt;&gt;'Team Setup'!$B$4,"Other sprint",IF($E1379="","Unestimated",IF(NOT(ISNUMBER($E1379)),"Check estimate in hours",IF($E1379&lt;0,"Check estimate in hours",IF($E1379=0,"Unestimated","Estimated"))))))</x:f>
      </x:c>
    </x:row>
    <x:row r="1380">
      <x:c r="A1380" s="12"/>
      <x:c r="B1380" s="12"/>
      <x:c r="C1380" s="12"/>
      <x:c r="D1380" s="12"/>
      <x:c r="E1380" s="14"/>
      <x:c r="F1380" s="13" t="str">
        <x:f>IF($A1380="","",IF($D1380&lt;&gt;'Team Setup'!$B$4,"Other sprint",IF($C1380="","Unassigned",IF(OR(ISNUMBER(SEARCH(",",$C1380)),ISNUMBER(SEARCH(";",$C1380))),"Multiple assignees",IF(COUNTIF('Team Setup'!$B$10:$B$34,$C1380)=1,"Matched","Unmatched")))))</x:f>
      </x:c>
      <x:c r="G1380" s="13" t="str">
        <x:f>IF($A1380="","",IF($D1380&lt;&gt;'Team Setup'!$B$4,"Other sprint",IF($E1380="","Unestimated",IF(NOT(ISNUMBER($E1380)),"Check estimate in hours",IF($E1380&lt;0,"Check estimate in hours",IF($E1380=0,"Unestimated","Estimated"))))))</x:f>
      </x:c>
    </x:row>
    <x:row r="1381">
      <x:c r="A1381" s="12"/>
      <x:c r="B1381" s="12"/>
      <x:c r="C1381" s="12"/>
      <x:c r="D1381" s="12"/>
      <x:c r="E1381" s="14"/>
      <x:c r="F1381" s="13" t="str">
        <x:f>IF($A1381="","",IF($D1381&lt;&gt;'Team Setup'!$B$4,"Other sprint",IF($C1381="","Unassigned",IF(OR(ISNUMBER(SEARCH(",",$C1381)),ISNUMBER(SEARCH(";",$C1381))),"Multiple assignees",IF(COUNTIF('Team Setup'!$B$10:$B$34,$C1381)=1,"Matched","Unmatched")))))</x:f>
      </x:c>
      <x:c r="G1381" s="13" t="str">
        <x:f>IF($A1381="","",IF($D1381&lt;&gt;'Team Setup'!$B$4,"Other sprint",IF($E1381="","Unestimated",IF(NOT(ISNUMBER($E1381)),"Check estimate in hours",IF($E1381&lt;0,"Check estimate in hours",IF($E1381=0,"Unestimated","Estimated"))))))</x:f>
      </x:c>
    </x:row>
    <x:row r="1382">
      <x:c r="A1382" s="12"/>
      <x:c r="B1382" s="12"/>
      <x:c r="C1382" s="12"/>
      <x:c r="D1382" s="12"/>
      <x:c r="E1382" s="14"/>
      <x:c r="F1382" s="13" t="str">
        <x:f>IF($A1382="","",IF($D1382&lt;&gt;'Team Setup'!$B$4,"Other sprint",IF($C1382="","Unassigned",IF(OR(ISNUMBER(SEARCH(",",$C1382)),ISNUMBER(SEARCH(";",$C1382))),"Multiple assignees",IF(COUNTIF('Team Setup'!$B$10:$B$34,$C1382)=1,"Matched","Unmatched")))))</x:f>
      </x:c>
      <x:c r="G1382" s="13" t="str">
        <x:f>IF($A1382="","",IF($D1382&lt;&gt;'Team Setup'!$B$4,"Other sprint",IF($E1382="","Unestimated",IF(NOT(ISNUMBER($E1382)),"Check estimate in hours",IF($E1382&lt;0,"Check estimate in hours",IF($E1382=0,"Unestimated","Estimated"))))))</x:f>
      </x:c>
    </x:row>
    <x:row r="1383">
      <x:c r="A1383" s="12"/>
      <x:c r="B1383" s="12"/>
      <x:c r="C1383" s="12"/>
      <x:c r="D1383" s="12"/>
      <x:c r="E1383" s="14"/>
      <x:c r="F1383" s="13" t="str">
        <x:f>IF($A1383="","",IF($D1383&lt;&gt;'Team Setup'!$B$4,"Other sprint",IF($C1383="","Unassigned",IF(OR(ISNUMBER(SEARCH(",",$C1383)),ISNUMBER(SEARCH(";",$C1383))),"Multiple assignees",IF(COUNTIF('Team Setup'!$B$10:$B$34,$C1383)=1,"Matched","Unmatched")))))</x:f>
      </x:c>
      <x:c r="G1383" s="13" t="str">
        <x:f>IF($A1383="","",IF($D1383&lt;&gt;'Team Setup'!$B$4,"Other sprint",IF($E1383="","Unestimated",IF(NOT(ISNUMBER($E1383)),"Check estimate in hours",IF($E1383&lt;0,"Check estimate in hours",IF($E1383=0,"Unestimated","Estimated"))))))</x:f>
      </x:c>
    </x:row>
    <x:row r="1384">
      <x:c r="A1384" s="12"/>
      <x:c r="B1384" s="12"/>
      <x:c r="C1384" s="12"/>
      <x:c r="D1384" s="12"/>
      <x:c r="E1384" s="14"/>
      <x:c r="F1384" s="13" t="str">
        <x:f>IF($A1384="","",IF($D1384&lt;&gt;'Team Setup'!$B$4,"Other sprint",IF($C1384="","Unassigned",IF(OR(ISNUMBER(SEARCH(",",$C1384)),ISNUMBER(SEARCH(";",$C1384))),"Multiple assignees",IF(COUNTIF('Team Setup'!$B$10:$B$34,$C1384)=1,"Matched","Unmatched")))))</x:f>
      </x:c>
      <x:c r="G1384" s="13" t="str">
        <x:f>IF($A1384="","",IF($D1384&lt;&gt;'Team Setup'!$B$4,"Other sprint",IF($E1384="","Unestimated",IF(NOT(ISNUMBER($E1384)),"Check estimate in hours",IF($E1384&lt;0,"Check estimate in hours",IF($E1384=0,"Unestimated","Estimated"))))))</x:f>
      </x:c>
    </x:row>
    <x:row r="1385">
      <x:c r="A1385" s="12"/>
      <x:c r="B1385" s="12"/>
      <x:c r="C1385" s="12"/>
      <x:c r="D1385" s="12"/>
      <x:c r="E1385" s="14"/>
      <x:c r="F1385" s="13" t="str">
        <x:f>IF($A1385="","",IF($D1385&lt;&gt;'Team Setup'!$B$4,"Other sprint",IF($C1385="","Unassigned",IF(OR(ISNUMBER(SEARCH(",",$C1385)),ISNUMBER(SEARCH(";",$C1385))),"Multiple assignees",IF(COUNTIF('Team Setup'!$B$10:$B$34,$C1385)=1,"Matched","Unmatched")))))</x:f>
      </x:c>
      <x:c r="G1385" s="13" t="str">
        <x:f>IF($A1385="","",IF($D1385&lt;&gt;'Team Setup'!$B$4,"Other sprint",IF($E1385="","Unestimated",IF(NOT(ISNUMBER($E1385)),"Check estimate in hours",IF($E1385&lt;0,"Check estimate in hours",IF($E1385=0,"Unestimated","Estimated"))))))</x:f>
      </x:c>
    </x:row>
    <x:row r="1386">
      <x:c r="A1386" s="12"/>
      <x:c r="B1386" s="12"/>
      <x:c r="C1386" s="12"/>
      <x:c r="D1386" s="12"/>
      <x:c r="E1386" s="14"/>
      <x:c r="F1386" s="13" t="str">
        <x:f>IF($A1386="","",IF($D1386&lt;&gt;'Team Setup'!$B$4,"Other sprint",IF($C1386="","Unassigned",IF(OR(ISNUMBER(SEARCH(",",$C1386)),ISNUMBER(SEARCH(";",$C1386))),"Multiple assignees",IF(COUNTIF('Team Setup'!$B$10:$B$34,$C1386)=1,"Matched","Unmatched")))))</x:f>
      </x:c>
      <x:c r="G1386" s="13" t="str">
        <x:f>IF($A1386="","",IF($D1386&lt;&gt;'Team Setup'!$B$4,"Other sprint",IF($E1386="","Unestimated",IF(NOT(ISNUMBER($E1386)),"Check estimate in hours",IF($E1386&lt;0,"Check estimate in hours",IF($E1386=0,"Unestimated","Estimated"))))))</x:f>
      </x:c>
    </x:row>
    <x:row r="1387">
      <x:c r="A1387" s="12"/>
      <x:c r="B1387" s="12"/>
      <x:c r="C1387" s="12"/>
      <x:c r="D1387" s="12"/>
      <x:c r="E1387" s="14"/>
      <x:c r="F1387" s="13" t="str">
        <x:f>IF($A1387="","",IF($D1387&lt;&gt;'Team Setup'!$B$4,"Other sprint",IF($C1387="","Unassigned",IF(OR(ISNUMBER(SEARCH(",",$C1387)),ISNUMBER(SEARCH(";",$C1387))),"Multiple assignees",IF(COUNTIF('Team Setup'!$B$10:$B$34,$C1387)=1,"Matched","Unmatched")))))</x:f>
      </x:c>
      <x:c r="G1387" s="13" t="str">
        <x:f>IF($A1387="","",IF($D1387&lt;&gt;'Team Setup'!$B$4,"Other sprint",IF($E1387="","Unestimated",IF(NOT(ISNUMBER($E1387)),"Check estimate in hours",IF($E1387&lt;0,"Check estimate in hours",IF($E1387=0,"Unestimated","Estimated"))))))</x:f>
      </x:c>
    </x:row>
    <x:row r="1388">
      <x:c r="A1388" s="12"/>
      <x:c r="B1388" s="12"/>
      <x:c r="C1388" s="12"/>
      <x:c r="D1388" s="12"/>
      <x:c r="E1388" s="14"/>
      <x:c r="F1388" s="13" t="str">
        <x:f>IF($A1388="","",IF($D1388&lt;&gt;'Team Setup'!$B$4,"Other sprint",IF($C1388="","Unassigned",IF(OR(ISNUMBER(SEARCH(",",$C1388)),ISNUMBER(SEARCH(";",$C1388))),"Multiple assignees",IF(COUNTIF('Team Setup'!$B$10:$B$34,$C1388)=1,"Matched","Unmatched")))))</x:f>
      </x:c>
      <x:c r="G1388" s="13" t="str">
        <x:f>IF($A1388="","",IF($D1388&lt;&gt;'Team Setup'!$B$4,"Other sprint",IF($E1388="","Unestimated",IF(NOT(ISNUMBER($E1388)),"Check estimate in hours",IF($E1388&lt;0,"Check estimate in hours",IF($E1388=0,"Unestimated","Estimated"))))))</x:f>
      </x:c>
    </x:row>
    <x:row r="1389">
      <x:c r="A1389" s="12"/>
      <x:c r="B1389" s="12"/>
      <x:c r="C1389" s="12"/>
      <x:c r="D1389" s="12"/>
      <x:c r="E1389" s="14"/>
      <x:c r="F1389" s="13" t="str">
        <x:f>IF($A1389="","",IF($D1389&lt;&gt;'Team Setup'!$B$4,"Other sprint",IF($C1389="","Unassigned",IF(OR(ISNUMBER(SEARCH(",",$C1389)),ISNUMBER(SEARCH(";",$C1389))),"Multiple assignees",IF(COUNTIF('Team Setup'!$B$10:$B$34,$C1389)=1,"Matched","Unmatched")))))</x:f>
      </x:c>
      <x:c r="G1389" s="13" t="str">
        <x:f>IF($A1389="","",IF($D1389&lt;&gt;'Team Setup'!$B$4,"Other sprint",IF($E1389="","Unestimated",IF(NOT(ISNUMBER($E1389)),"Check estimate in hours",IF($E1389&lt;0,"Check estimate in hours",IF($E1389=0,"Unestimated","Estimated"))))))</x:f>
      </x:c>
    </x:row>
    <x:row r="1390">
      <x:c r="A1390" s="12"/>
      <x:c r="B1390" s="12"/>
      <x:c r="C1390" s="12"/>
      <x:c r="D1390" s="12"/>
      <x:c r="E1390" s="14"/>
      <x:c r="F1390" s="13" t="str">
        <x:f>IF($A1390="","",IF($D1390&lt;&gt;'Team Setup'!$B$4,"Other sprint",IF($C1390="","Unassigned",IF(OR(ISNUMBER(SEARCH(",",$C1390)),ISNUMBER(SEARCH(";",$C1390))),"Multiple assignees",IF(COUNTIF('Team Setup'!$B$10:$B$34,$C1390)=1,"Matched","Unmatched")))))</x:f>
      </x:c>
      <x:c r="G1390" s="13" t="str">
        <x:f>IF($A1390="","",IF($D1390&lt;&gt;'Team Setup'!$B$4,"Other sprint",IF($E1390="","Unestimated",IF(NOT(ISNUMBER($E1390)),"Check estimate in hours",IF($E1390&lt;0,"Check estimate in hours",IF($E1390=0,"Unestimated","Estimated"))))))</x:f>
      </x:c>
    </x:row>
    <x:row r="1391">
      <x:c r="A1391" s="12"/>
      <x:c r="B1391" s="12"/>
      <x:c r="C1391" s="12"/>
      <x:c r="D1391" s="12"/>
      <x:c r="E1391" s="14"/>
      <x:c r="F1391" s="13" t="str">
        <x:f>IF($A1391="","",IF($D1391&lt;&gt;'Team Setup'!$B$4,"Other sprint",IF($C1391="","Unassigned",IF(OR(ISNUMBER(SEARCH(",",$C1391)),ISNUMBER(SEARCH(";",$C1391))),"Multiple assignees",IF(COUNTIF('Team Setup'!$B$10:$B$34,$C1391)=1,"Matched","Unmatched")))))</x:f>
      </x:c>
      <x:c r="G1391" s="13" t="str">
        <x:f>IF($A1391="","",IF($D1391&lt;&gt;'Team Setup'!$B$4,"Other sprint",IF($E1391="","Unestimated",IF(NOT(ISNUMBER($E1391)),"Check estimate in hours",IF($E1391&lt;0,"Check estimate in hours",IF($E1391=0,"Unestimated","Estimated"))))))</x:f>
      </x:c>
    </x:row>
    <x:row r="1392">
      <x:c r="A1392" s="12"/>
      <x:c r="B1392" s="12"/>
      <x:c r="C1392" s="12"/>
      <x:c r="D1392" s="12"/>
      <x:c r="E1392" s="14"/>
      <x:c r="F1392" s="13" t="str">
        <x:f>IF($A1392="","",IF($D1392&lt;&gt;'Team Setup'!$B$4,"Other sprint",IF($C1392="","Unassigned",IF(OR(ISNUMBER(SEARCH(",",$C1392)),ISNUMBER(SEARCH(";",$C1392))),"Multiple assignees",IF(COUNTIF('Team Setup'!$B$10:$B$34,$C1392)=1,"Matched","Unmatched")))))</x:f>
      </x:c>
      <x:c r="G1392" s="13" t="str">
        <x:f>IF($A1392="","",IF($D1392&lt;&gt;'Team Setup'!$B$4,"Other sprint",IF($E1392="","Unestimated",IF(NOT(ISNUMBER($E1392)),"Check estimate in hours",IF($E1392&lt;0,"Check estimate in hours",IF($E1392=0,"Unestimated","Estimated"))))))</x:f>
      </x:c>
    </x:row>
    <x:row r="1393">
      <x:c r="A1393" s="12"/>
      <x:c r="B1393" s="12"/>
      <x:c r="C1393" s="12"/>
      <x:c r="D1393" s="12"/>
      <x:c r="E1393" s="14"/>
      <x:c r="F1393" s="13" t="str">
        <x:f>IF($A1393="","",IF($D1393&lt;&gt;'Team Setup'!$B$4,"Other sprint",IF($C1393="","Unassigned",IF(OR(ISNUMBER(SEARCH(",",$C1393)),ISNUMBER(SEARCH(";",$C1393))),"Multiple assignees",IF(COUNTIF('Team Setup'!$B$10:$B$34,$C1393)=1,"Matched","Unmatched")))))</x:f>
      </x:c>
      <x:c r="G1393" s="13" t="str">
        <x:f>IF($A1393="","",IF($D1393&lt;&gt;'Team Setup'!$B$4,"Other sprint",IF($E1393="","Unestimated",IF(NOT(ISNUMBER($E1393)),"Check estimate in hours",IF($E1393&lt;0,"Check estimate in hours",IF($E1393=0,"Unestimated","Estimated"))))))</x:f>
      </x:c>
    </x:row>
    <x:row r="1394">
      <x:c r="A1394" s="12"/>
      <x:c r="B1394" s="12"/>
      <x:c r="C1394" s="12"/>
      <x:c r="D1394" s="12"/>
      <x:c r="E1394" s="14"/>
      <x:c r="F1394" s="13" t="str">
        <x:f>IF($A1394="","",IF($D1394&lt;&gt;'Team Setup'!$B$4,"Other sprint",IF($C1394="","Unassigned",IF(OR(ISNUMBER(SEARCH(",",$C1394)),ISNUMBER(SEARCH(";",$C1394))),"Multiple assignees",IF(COUNTIF('Team Setup'!$B$10:$B$34,$C1394)=1,"Matched","Unmatched")))))</x:f>
      </x:c>
      <x:c r="G1394" s="13" t="str">
        <x:f>IF($A1394="","",IF($D1394&lt;&gt;'Team Setup'!$B$4,"Other sprint",IF($E1394="","Unestimated",IF(NOT(ISNUMBER($E1394)),"Check estimate in hours",IF($E1394&lt;0,"Check estimate in hours",IF($E1394=0,"Unestimated","Estimated"))))))</x:f>
      </x:c>
    </x:row>
    <x:row r="1395">
      <x:c r="A1395" s="12"/>
      <x:c r="B1395" s="12"/>
      <x:c r="C1395" s="12"/>
      <x:c r="D1395" s="12"/>
      <x:c r="E1395" s="14"/>
      <x:c r="F1395" s="13" t="str">
        <x:f>IF($A1395="","",IF($D1395&lt;&gt;'Team Setup'!$B$4,"Other sprint",IF($C1395="","Unassigned",IF(OR(ISNUMBER(SEARCH(",",$C1395)),ISNUMBER(SEARCH(";",$C1395))),"Multiple assignees",IF(COUNTIF('Team Setup'!$B$10:$B$34,$C1395)=1,"Matched","Unmatched")))))</x:f>
      </x:c>
      <x:c r="G1395" s="13" t="str">
        <x:f>IF($A1395="","",IF($D1395&lt;&gt;'Team Setup'!$B$4,"Other sprint",IF($E1395="","Unestimated",IF(NOT(ISNUMBER($E1395)),"Check estimate in hours",IF($E1395&lt;0,"Check estimate in hours",IF($E1395=0,"Unestimated","Estimated"))))))</x:f>
      </x:c>
    </x:row>
    <x:row r="1396">
      <x:c r="A1396" s="12"/>
      <x:c r="B1396" s="12"/>
      <x:c r="C1396" s="12"/>
      <x:c r="D1396" s="12"/>
      <x:c r="E1396" s="14"/>
      <x:c r="F1396" s="13" t="str">
        <x:f>IF($A1396="","",IF($D1396&lt;&gt;'Team Setup'!$B$4,"Other sprint",IF($C1396="","Unassigned",IF(OR(ISNUMBER(SEARCH(",",$C1396)),ISNUMBER(SEARCH(";",$C1396))),"Multiple assignees",IF(COUNTIF('Team Setup'!$B$10:$B$34,$C1396)=1,"Matched","Unmatched")))))</x:f>
      </x:c>
      <x:c r="G1396" s="13" t="str">
        <x:f>IF($A1396="","",IF($D1396&lt;&gt;'Team Setup'!$B$4,"Other sprint",IF($E1396="","Unestimated",IF(NOT(ISNUMBER($E1396)),"Check estimate in hours",IF($E1396&lt;0,"Check estimate in hours",IF($E1396=0,"Unestimated","Estimated"))))))</x:f>
      </x:c>
    </x:row>
    <x:row r="1397">
      <x:c r="A1397" s="12"/>
      <x:c r="B1397" s="12"/>
      <x:c r="C1397" s="12"/>
      <x:c r="D1397" s="12"/>
      <x:c r="E1397" s="14"/>
      <x:c r="F1397" s="13" t="str">
        <x:f>IF($A1397="","",IF($D1397&lt;&gt;'Team Setup'!$B$4,"Other sprint",IF($C1397="","Unassigned",IF(OR(ISNUMBER(SEARCH(",",$C1397)),ISNUMBER(SEARCH(";",$C1397))),"Multiple assignees",IF(COUNTIF('Team Setup'!$B$10:$B$34,$C1397)=1,"Matched","Unmatched")))))</x:f>
      </x:c>
      <x:c r="G1397" s="13" t="str">
        <x:f>IF($A1397="","",IF($D1397&lt;&gt;'Team Setup'!$B$4,"Other sprint",IF($E1397="","Unestimated",IF(NOT(ISNUMBER($E1397)),"Check estimate in hours",IF($E1397&lt;0,"Check estimate in hours",IF($E1397=0,"Unestimated","Estimated"))))))</x:f>
      </x:c>
    </x:row>
    <x:row r="1398">
      <x:c r="A1398" s="12"/>
      <x:c r="B1398" s="12"/>
      <x:c r="C1398" s="12"/>
      <x:c r="D1398" s="12"/>
      <x:c r="E1398" s="14"/>
      <x:c r="F1398" s="13" t="str">
        <x:f>IF($A1398="","",IF($D1398&lt;&gt;'Team Setup'!$B$4,"Other sprint",IF($C1398="","Unassigned",IF(OR(ISNUMBER(SEARCH(",",$C1398)),ISNUMBER(SEARCH(";",$C1398))),"Multiple assignees",IF(COUNTIF('Team Setup'!$B$10:$B$34,$C1398)=1,"Matched","Unmatched")))))</x:f>
      </x:c>
      <x:c r="G1398" s="13" t="str">
        <x:f>IF($A1398="","",IF($D1398&lt;&gt;'Team Setup'!$B$4,"Other sprint",IF($E1398="","Unestimated",IF(NOT(ISNUMBER($E1398)),"Check estimate in hours",IF($E1398&lt;0,"Check estimate in hours",IF($E1398=0,"Unestimated","Estimated"))))))</x:f>
      </x:c>
    </x:row>
    <x:row r="1399">
      <x:c r="A1399" s="12"/>
      <x:c r="B1399" s="12"/>
      <x:c r="C1399" s="12"/>
      <x:c r="D1399" s="12"/>
      <x:c r="E1399" s="14"/>
      <x:c r="F1399" s="13" t="str">
        <x:f>IF($A1399="","",IF($D1399&lt;&gt;'Team Setup'!$B$4,"Other sprint",IF($C1399="","Unassigned",IF(OR(ISNUMBER(SEARCH(",",$C1399)),ISNUMBER(SEARCH(";",$C1399))),"Multiple assignees",IF(COUNTIF('Team Setup'!$B$10:$B$34,$C1399)=1,"Matched","Unmatched")))))</x:f>
      </x:c>
      <x:c r="G1399" s="13" t="str">
        <x:f>IF($A1399="","",IF($D1399&lt;&gt;'Team Setup'!$B$4,"Other sprint",IF($E1399="","Unestimated",IF(NOT(ISNUMBER($E1399)),"Check estimate in hours",IF($E1399&lt;0,"Check estimate in hours",IF($E1399=0,"Unestimated","Estimated"))))))</x:f>
      </x:c>
    </x:row>
    <x:row r="1400">
      <x:c r="A1400" s="12"/>
      <x:c r="B1400" s="12"/>
      <x:c r="C1400" s="12"/>
      <x:c r="D1400" s="12"/>
      <x:c r="E1400" s="14"/>
      <x:c r="F1400" s="13" t="str">
        <x:f>IF($A1400="","",IF($D1400&lt;&gt;'Team Setup'!$B$4,"Other sprint",IF($C1400="","Unassigned",IF(OR(ISNUMBER(SEARCH(",",$C1400)),ISNUMBER(SEARCH(";",$C1400))),"Multiple assignees",IF(COUNTIF('Team Setup'!$B$10:$B$34,$C1400)=1,"Matched","Unmatched")))))</x:f>
      </x:c>
      <x:c r="G1400" s="13" t="str">
        <x:f>IF($A1400="","",IF($D1400&lt;&gt;'Team Setup'!$B$4,"Other sprint",IF($E1400="","Unestimated",IF(NOT(ISNUMBER($E1400)),"Check estimate in hours",IF($E1400&lt;0,"Check estimate in hours",IF($E1400=0,"Unestimated","Estimated"))))))</x:f>
      </x:c>
    </x:row>
    <x:row r="1401">
      <x:c r="A1401" s="12"/>
      <x:c r="B1401" s="12"/>
      <x:c r="C1401" s="12"/>
      <x:c r="D1401" s="12"/>
      <x:c r="E1401" s="14"/>
      <x:c r="F1401" s="13" t="str">
        <x:f>IF($A1401="","",IF($D1401&lt;&gt;'Team Setup'!$B$4,"Other sprint",IF($C1401="","Unassigned",IF(OR(ISNUMBER(SEARCH(",",$C1401)),ISNUMBER(SEARCH(";",$C1401))),"Multiple assignees",IF(COUNTIF('Team Setup'!$B$10:$B$34,$C1401)=1,"Matched","Unmatched")))))</x:f>
      </x:c>
      <x:c r="G1401" s="13" t="str">
        <x:f>IF($A1401="","",IF($D1401&lt;&gt;'Team Setup'!$B$4,"Other sprint",IF($E1401="","Unestimated",IF(NOT(ISNUMBER($E1401)),"Check estimate in hours",IF($E1401&lt;0,"Check estimate in hours",IF($E1401=0,"Unestimated","Estimated"))))))</x:f>
      </x:c>
    </x:row>
    <x:row r="1402">
      <x:c r="A1402" s="12"/>
      <x:c r="B1402" s="12"/>
      <x:c r="C1402" s="12"/>
      <x:c r="D1402" s="12"/>
      <x:c r="E1402" s="14"/>
      <x:c r="F1402" s="13" t="str">
        <x:f>IF($A1402="","",IF($D1402&lt;&gt;'Team Setup'!$B$4,"Other sprint",IF($C1402="","Unassigned",IF(OR(ISNUMBER(SEARCH(",",$C1402)),ISNUMBER(SEARCH(";",$C1402))),"Multiple assignees",IF(COUNTIF('Team Setup'!$B$10:$B$34,$C1402)=1,"Matched","Unmatched")))))</x:f>
      </x:c>
      <x:c r="G1402" s="13" t="str">
        <x:f>IF($A1402="","",IF($D1402&lt;&gt;'Team Setup'!$B$4,"Other sprint",IF($E1402="","Unestimated",IF(NOT(ISNUMBER($E1402)),"Check estimate in hours",IF($E1402&lt;0,"Check estimate in hours",IF($E1402=0,"Unestimated","Estimated"))))))</x:f>
      </x:c>
    </x:row>
    <x:row r="1403">
      <x:c r="A1403" s="12"/>
      <x:c r="B1403" s="12"/>
      <x:c r="C1403" s="12"/>
      <x:c r="D1403" s="12"/>
      <x:c r="E1403" s="14"/>
      <x:c r="F1403" s="13" t="str">
        <x:f>IF($A1403="","",IF($D1403&lt;&gt;'Team Setup'!$B$4,"Other sprint",IF($C1403="","Unassigned",IF(OR(ISNUMBER(SEARCH(",",$C1403)),ISNUMBER(SEARCH(";",$C1403))),"Multiple assignees",IF(COUNTIF('Team Setup'!$B$10:$B$34,$C1403)=1,"Matched","Unmatched")))))</x:f>
      </x:c>
      <x:c r="G1403" s="13" t="str">
        <x:f>IF($A1403="","",IF($D1403&lt;&gt;'Team Setup'!$B$4,"Other sprint",IF($E1403="","Unestimated",IF(NOT(ISNUMBER($E1403)),"Check estimate in hours",IF($E1403&lt;0,"Check estimate in hours",IF($E1403=0,"Unestimated","Estimated"))))))</x:f>
      </x:c>
    </x:row>
    <x:row r="1404">
      <x:c r="A1404" s="12"/>
      <x:c r="B1404" s="12"/>
      <x:c r="C1404" s="12"/>
      <x:c r="D1404" s="12"/>
      <x:c r="E1404" s="14"/>
      <x:c r="F1404" s="13" t="str">
        <x:f>IF($A1404="","",IF($D1404&lt;&gt;'Team Setup'!$B$4,"Other sprint",IF($C1404="","Unassigned",IF(OR(ISNUMBER(SEARCH(",",$C1404)),ISNUMBER(SEARCH(";",$C1404))),"Multiple assignees",IF(COUNTIF('Team Setup'!$B$10:$B$34,$C1404)=1,"Matched","Unmatched")))))</x:f>
      </x:c>
      <x:c r="G1404" s="13" t="str">
        <x:f>IF($A1404="","",IF($D1404&lt;&gt;'Team Setup'!$B$4,"Other sprint",IF($E1404="","Unestimated",IF(NOT(ISNUMBER($E1404)),"Check estimate in hours",IF($E1404&lt;0,"Check estimate in hours",IF($E1404=0,"Unestimated","Estimated"))))))</x:f>
      </x:c>
    </x:row>
    <x:row r="1405">
      <x:c r="A1405" s="12"/>
      <x:c r="B1405" s="12"/>
      <x:c r="C1405" s="12"/>
      <x:c r="D1405" s="12"/>
      <x:c r="E1405" s="14"/>
      <x:c r="F1405" s="13" t="str">
        <x:f>IF($A1405="","",IF($D1405&lt;&gt;'Team Setup'!$B$4,"Other sprint",IF($C1405="","Unassigned",IF(OR(ISNUMBER(SEARCH(",",$C1405)),ISNUMBER(SEARCH(";",$C1405))),"Multiple assignees",IF(COUNTIF('Team Setup'!$B$10:$B$34,$C1405)=1,"Matched","Unmatched")))))</x:f>
      </x:c>
      <x:c r="G1405" s="13" t="str">
        <x:f>IF($A1405="","",IF($D1405&lt;&gt;'Team Setup'!$B$4,"Other sprint",IF($E1405="","Unestimated",IF(NOT(ISNUMBER($E1405)),"Check estimate in hours",IF($E1405&lt;0,"Check estimate in hours",IF($E1405=0,"Unestimated","Estimated"))))))</x:f>
      </x:c>
    </x:row>
    <x:row r="1406">
      <x:c r="A1406" s="12"/>
      <x:c r="B1406" s="12"/>
      <x:c r="C1406" s="12"/>
      <x:c r="D1406" s="12"/>
      <x:c r="E1406" s="14"/>
      <x:c r="F1406" s="13" t="str">
        <x:f>IF($A1406="","",IF($D1406&lt;&gt;'Team Setup'!$B$4,"Other sprint",IF($C1406="","Unassigned",IF(OR(ISNUMBER(SEARCH(",",$C1406)),ISNUMBER(SEARCH(";",$C1406))),"Multiple assignees",IF(COUNTIF('Team Setup'!$B$10:$B$34,$C1406)=1,"Matched","Unmatched")))))</x:f>
      </x:c>
      <x:c r="G1406" s="13" t="str">
        <x:f>IF($A1406="","",IF($D1406&lt;&gt;'Team Setup'!$B$4,"Other sprint",IF($E1406="","Unestimated",IF(NOT(ISNUMBER($E1406)),"Check estimate in hours",IF($E1406&lt;0,"Check estimate in hours",IF($E1406=0,"Unestimated","Estimated"))))))</x:f>
      </x:c>
    </x:row>
    <x:row r="1407">
      <x:c r="A1407" s="12"/>
      <x:c r="B1407" s="12"/>
      <x:c r="C1407" s="12"/>
      <x:c r="D1407" s="12"/>
      <x:c r="E1407" s="14"/>
      <x:c r="F1407" s="13" t="str">
        <x:f>IF($A1407="","",IF($D1407&lt;&gt;'Team Setup'!$B$4,"Other sprint",IF($C1407="","Unassigned",IF(OR(ISNUMBER(SEARCH(",",$C1407)),ISNUMBER(SEARCH(";",$C1407))),"Multiple assignees",IF(COUNTIF('Team Setup'!$B$10:$B$34,$C1407)=1,"Matched","Unmatched")))))</x:f>
      </x:c>
      <x:c r="G1407" s="13" t="str">
        <x:f>IF($A1407="","",IF($D1407&lt;&gt;'Team Setup'!$B$4,"Other sprint",IF($E1407="","Unestimated",IF(NOT(ISNUMBER($E1407)),"Check estimate in hours",IF($E1407&lt;0,"Check estimate in hours",IF($E1407=0,"Unestimated","Estimated"))))))</x:f>
      </x:c>
    </x:row>
    <x:row r="1408">
      <x:c r="A1408" s="12"/>
      <x:c r="B1408" s="12"/>
      <x:c r="C1408" s="12"/>
      <x:c r="D1408" s="12"/>
      <x:c r="E1408" s="14"/>
      <x:c r="F1408" s="13" t="str">
        <x:f>IF($A1408="","",IF($D1408&lt;&gt;'Team Setup'!$B$4,"Other sprint",IF($C1408="","Unassigned",IF(OR(ISNUMBER(SEARCH(",",$C1408)),ISNUMBER(SEARCH(";",$C1408))),"Multiple assignees",IF(COUNTIF('Team Setup'!$B$10:$B$34,$C1408)=1,"Matched","Unmatched")))))</x:f>
      </x:c>
      <x:c r="G1408" s="13" t="str">
        <x:f>IF($A1408="","",IF($D1408&lt;&gt;'Team Setup'!$B$4,"Other sprint",IF($E1408="","Unestimated",IF(NOT(ISNUMBER($E1408)),"Check estimate in hours",IF($E1408&lt;0,"Check estimate in hours",IF($E1408=0,"Unestimated","Estimated"))))))</x:f>
      </x:c>
    </x:row>
    <x:row r="1409">
      <x:c r="A1409" s="12"/>
      <x:c r="B1409" s="12"/>
      <x:c r="C1409" s="12"/>
      <x:c r="D1409" s="12"/>
      <x:c r="E1409" s="14"/>
      <x:c r="F1409" s="13" t="str">
        <x:f>IF($A1409="","",IF($D1409&lt;&gt;'Team Setup'!$B$4,"Other sprint",IF($C1409="","Unassigned",IF(OR(ISNUMBER(SEARCH(",",$C1409)),ISNUMBER(SEARCH(";",$C1409))),"Multiple assignees",IF(COUNTIF('Team Setup'!$B$10:$B$34,$C1409)=1,"Matched","Unmatched")))))</x:f>
      </x:c>
      <x:c r="G1409" s="13" t="str">
        <x:f>IF($A1409="","",IF($D1409&lt;&gt;'Team Setup'!$B$4,"Other sprint",IF($E1409="","Unestimated",IF(NOT(ISNUMBER($E1409)),"Check estimate in hours",IF($E1409&lt;0,"Check estimate in hours",IF($E1409=0,"Unestimated","Estimated"))))))</x:f>
      </x:c>
    </x:row>
    <x:row r="1410">
      <x:c r="A1410" s="12"/>
      <x:c r="B1410" s="12"/>
      <x:c r="C1410" s="12"/>
      <x:c r="D1410" s="12"/>
      <x:c r="E1410" s="14"/>
      <x:c r="F1410" s="13" t="str">
        <x:f>IF($A1410="","",IF($D1410&lt;&gt;'Team Setup'!$B$4,"Other sprint",IF($C1410="","Unassigned",IF(OR(ISNUMBER(SEARCH(",",$C1410)),ISNUMBER(SEARCH(";",$C1410))),"Multiple assignees",IF(COUNTIF('Team Setup'!$B$10:$B$34,$C1410)=1,"Matched","Unmatched")))))</x:f>
      </x:c>
      <x:c r="G1410" s="13" t="str">
        <x:f>IF($A1410="","",IF($D1410&lt;&gt;'Team Setup'!$B$4,"Other sprint",IF($E1410="","Unestimated",IF(NOT(ISNUMBER($E1410)),"Check estimate in hours",IF($E1410&lt;0,"Check estimate in hours",IF($E1410=0,"Unestimated","Estimated"))))))</x:f>
      </x:c>
    </x:row>
    <x:row r="1411">
      <x:c r="A1411" s="12"/>
      <x:c r="B1411" s="12"/>
      <x:c r="C1411" s="12"/>
      <x:c r="D1411" s="12"/>
      <x:c r="E1411" s="14"/>
      <x:c r="F1411" s="13" t="str">
        <x:f>IF($A1411="","",IF($D1411&lt;&gt;'Team Setup'!$B$4,"Other sprint",IF($C1411="","Unassigned",IF(OR(ISNUMBER(SEARCH(",",$C1411)),ISNUMBER(SEARCH(";",$C1411))),"Multiple assignees",IF(COUNTIF('Team Setup'!$B$10:$B$34,$C1411)=1,"Matched","Unmatched")))))</x:f>
      </x:c>
      <x:c r="G1411" s="13" t="str">
        <x:f>IF($A1411="","",IF($D1411&lt;&gt;'Team Setup'!$B$4,"Other sprint",IF($E1411="","Unestimated",IF(NOT(ISNUMBER($E1411)),"Check estimate in hours",IF($E1411&lt;0,"Check estimate in hours",IF($E1411=0,"Unestimated","Estimated"))))))</x:f>
      </x:c>
    </x:row>
    <x:row r="1412">
      <x:c r="A1412" s="12"/>
      <x:c r="B1412" s="12"/>
      <x:c r="C1412" s="12"/>
      <x:c r="D1412" s="12"/>
      <x:c r="E1412" s="14"/>
      <x:c r="F1412" s="13" t="str">
        <x:f>IF($A1412="","",IF($D1412&lt;&gt;'Team Setup'!$B$4,"Other sprint",IF($C1412="","Unassigned",IF(OR(ISNUMBER(SEARCH(",",$C1412)),ISNUMBER(SEARCH(";",$C1412))),"Multiple assignees",IF(COUNTIF('Team Setup'!$B$10:$B$34,$C1412)=1,"Matched","Unmatched")))))</x:f>
      </x:c>
      <x:c r="G1412" s="13" t="str">
        <x:f>IF($A1412="","",IF($D1412&lt;&gt;'Team Setup'!$B$4,"Other sprint",IF($E1412="","Unestimated",IF(NOT(ISNUMBER($E1412)),"Check estimate in hours",IF($E1412&lt;0,"Check estimate in hours",IF($E1412=0,"Unestimated","Estimated"))))))</x:f>
      </x:c>
    </x:row>
    <x:row r="1413">
      <x:c r="A1413" s="12"/>
      <x:c r="B1413" s="12"/>
      <x:c r="C1413" s="12"/>
      <x:c r="D1413" s="12"/>
      <x:c r="E1413" s="14"/>
      <x:c r="F1413" s="13" t="str">
        <x:f>IF($A1413="","",IF($D1413&lt;&gt;'Team Setup'!$B$4,"Other sprint",IF($C1413="","Unassigned",IF(OR(ISNUMBER(SEARCH(",",$C1413)),ISNUMBER(SEARCH(";",$C1413))),"Multiple assignees",IF(COUNTIF('Team Setup'!$B$10:$B$34,$C1413)=1,"Matched","Unmatched")))))</x:f>
      </x:c>
      <x:c r="G1413" s="13" t="str">
        <x:f>IF($A1413="","",IF($D1413&lt;&gt;'Team Setup'!$B$4,"Other sprint",IF($E1413="","Unestimated",IF(NOT(ISNUMBER($E1413)),"Check estimate in hours",IF($E1413&lt;0,"Check estimate in hours",IF($E1413=0,"Unestimated","Estimated"))))))</x:f>
      </x:c>
    </x:row>
    <x:row r="1414">
      <x:c r="A1414" s="12"/>
      <x:c r="B1414" s="12"/>
      <x:c r="C1414" s="12"/>
      <x:c r="D1414" s="12"/>
      <x:c r="E1414" s="14"/>
      <x:c r="F1414" s="13" t="str">
        <x:f>IF($A1414="","",IF($D1414&lt;&gt;'Team Setup'!$B$4,"Other sprint",IF($C1414="","Unassigned",IF(OR(ISNUMBER(SEARCH(",",$C1414)),ISNUMBER(SEARCH(";",$C1414))),"Multiple assignees",IF(COUNTIF('Team Setup'!$B$10:$B$34,$C1414)=1,"Matched","Unmatched")))))</x:f>
      </x:c>
      <x:c r="G1414" s="13" t="str">
        <x:f>IF($A1414="","",IF($D1414&lt;&gt;'Team Setup'!$B$4,"Other sprint",IF($E1414="","Unestimated",IF(NOT(ISNUMBER($E1414)),"Check estimate in hours",IF($E1414&lt;0,"Check estimate in hours",IF($E1414=0,"Unestimated","Estimated"))))))</x:f>
      </x:c>
    </x:row>
    <x:row r="1415">
      <x:c r="A1415" s="12"/>
      <x:c r="B1415" s="12"/>
      <x:c r="C1415" s="12"/>
      <x:c r="D1415" s="12"/>
      <x:c r="E1415" s="14"/>
      <x:c r="F1415" s="13" t="str">
        <x:f>IF($A1415="","",IF($D1415&lt;&gt;'Team Setup'!$B$4,"Other sprint",IF($C1415="","Unassigned",IF(OR(ISNUMBER(SEARCH(",",$C1415)),ISNUMBER(SEARCH(";",$C1415))),"Multiple assignees",IF(COUNTIF('Team Setup'!$B$10:$B$34,$C1415)=1,"Matched","Unmatched")))))</x:f>
      </x:c>
      <x:c r="G1415" s="13" t="str">
        <x:f>IF($A1415="","",IF($D1415&lt;&gt;'Team Setup'!$B$4,"Other sprint",IF($E1415="","Unestimated",IF(NOT(ISNUMBER($E1415)),"Check estimate in hours",IF($E1415&lt;0,"Check estimate in hours",IF($E1415=0,"Unestimated","Estimated"))))))</x:f>
      </x:c>
    </x:row>
    <x:row r="1416">
      <x:c r="A1416" s="12"/>
      <x:c r="B1416" s="12"/>
      <x:c r="C1416" s="12"/>
      <x:c r="D1416" s="12"/>
      <x:c r="E1416" s="14"/>
      <x:c r="F1416" s="13" t="str">
        <x:f>IF($A1416="","",IF($D1416&lt;&gt;'Team Setup'!$B$4,"Other sprint",IF($C1416="","Unassigned",IF(OR(ISNUMBER(SEARCH(",",$C1416)),ISNUMBER(SEARCH(";",$C1416))),"Multiple assignees",IF(COUNTIF('Team Setup'!$B$10:$B$34,$C1416)=1,"Matched","Unmatched")))))</x:f>
      </x:c>
      <x:c r="G1416" s="13" t="str">
        <x:f>IF($A1416="","",IF($D1416&lt;&gt;'Team Setup'!$B$4,"Other sprint",IF($E1416="","Unestimated",IF(NOT(ISNUMBER($E1416)),"Check estimate in hours",IF($E1416&lt;0,"Check estimate in hours",IF($E1416=0,"Unestimated","Estimated"))))))</x:f>
      </x:c>
    </x:row>
    <x:row r="1417">
      <x:c r="A1417" s="12"/>
      <x:c r="B1417" s="12"/>
      <x:c r="C1417" s="12"/>
      <x:c r="D1417" s="12"/>
      <x:c r="E1417" s="14"/>
      <x:c r="F1417" s="13" t="str">
        <x:f>IF($A1417="","",IF($D1417&lt;&gt;'Team Setup'!$B$4,"Other sprint",IF($C1417="","Unassigned",IF(OR(ISNUMBER(SEARCH(",",$C1417)),ISNUMBER(SEARCH(";",$C1417))),"Multiple assignees",IF(COUNTIF('Team Setup'!$B$10:$B$34,$C1417)=1,"Matched","Unmatched")))))</x:f>
      </x:c>
      <x:c r="G1417" s="13" t="str">
        <x:f>IF($A1417="","",IF($D1417&lt;&gt;'Team Setup'!$B$4,"Other sprint",IF($E1417="","Unestimated",IF(NOT(ISNUMBER($E1417)),"Check estimate in hours",IF($E1417&lt;0,"Check estimate in hours",IF($E1417=0,"Unestimated","Estimated"))))))</x:f>
      </x:c>
    </x:row>
    <x:row r="1418">
      <x:c r="A1418" s="12"/>
      <x:c r="B1418" s="12"/>
      <x:c r="C1418" s="12"/>
      <x:c r="D1418" s="12"/>
      <x:c r="E1418" s="14"/>
      <x:c r="F1418" s="13" t="str">
        <x:f>IF($A1418="","",IF($D1418&lt;&gt;'Team Setup'!$B$4,"Other sprint",IF($C1418="","Unassigned",IF(OR(ISNUMBER(SEARCH(",",$C1418)),ISNUMBER(SEARCH(";",$C1418))),"Multiple assignees",IF(COUNTIF('Team Setup'!$B$10:$B$34,$C1418)=1,"Matched","Unmatched")))))</x:f>
      </x:c>
      <x:c r="G1418" s="13" t="str">
        <x:f>IF($A1418="","",IF($D1418&lt;&gt;'Team Setup'!$B$4,"Other sprint",IF($E1418="","Unestimated",IF(NOT(ISNUMBER($E1418)),"Check estimate in hours",IF($E1418&lt;0,"Check estimate in hours",IF($E1418=0,"Unestimated","Estimated"))))))</x:f>
      </x:c>
    </x:row>
    <x:row r="1419">
      <x:c r="A1419" s="12"/>
      <x:c r="B1419" s="12"/>
      <x:c r="C1419" s="12"/>
      <x:c r="D1419" s="12"/>
      <x:c r="E1419" s="14"/>
      <x:c r="F1419" s="13" t="str">
        <x:f>IF($A1419="","",IF($D1419&lt;&gt;'Team Setup'!$B$4,"Other sprint",IF($C1419="","Unassigned",IF(OR(ISNUMBER(SEARCH(",",$C1419)),ISNUMBER(SEARCH(";",$C1419))),"Multiple assignees",IF(COUNTIF('Team Setup'!$B$10:$B$34,$C1419)=1,"Matched","Unmatched")))))</x:f>
      </x:c>
      <x:c r="G1419" s="13" t="str">
        <x:f>IF($A1419="","",IF($D1419&lt;&gt;'Team Setup'!$B$4,"Other sprint",IF($E1419="","Unestimated",IF(NOT(ISNUMBER($E1419)),"Check estimate in hours",IF($E1419&lt;0,"Check estimate in hours",IF($E1419=0,"Unestimated","Estimated"))))))</x:f>
      </x:c>
    </x:row>
    <x:row r="1420">
      <x:c r="A1420" s="12"/>
      <x:c r="B1420" s="12"/>
      <x:c r="C1420" s="12"/>
      <x:c r="D1420" s="12"/>
      <x:c r="E1420" s="14"/>
      <x:c r="F1420" s="13" t="str">
        <x:f>IF($A1420="","",IF($D1420&lt;&gt;'Team Setup'!$B$4,"Other sprint",IF($C1420="","Unassigned",IF(OR(ISNUMBER(SEARCH(",",$C1420)),ISNUMBER(SEARCH(";",$C1420))),"Multiple assignees",IF(COUNTIF('Team Setup'!$B$10:$B$34,$C1420)=1,"Matched","Unmatched")))))</x:f>
      </x:c>
      <x:c r="G1420" s="13" t="str">
        <x:f>IF($A1420="","",IF($D1420&lt;&gt;'Team Setup'!$B$4,"Other sprint",IF($E1420="","Unestimated",IF(NOT(ISNUMBER($E1420)),"Check estimate in hours",IF($E1420&lt;0,"Check estimate in hours",IF($E1420=0,"Unestimated","Estimated"))))))</x:f>
      </x:c>
    </x:row>
    <x:row r="1421">
      <x:c r="A1421" s="12"/>
      <x:c r="B1421" s="12"/>
      <x:c r="C1421" s="12"/>
      <x:c r="D1421" s="12"/>
      <x:c r="E1421" s="14"/>
      <x:c r="F1421" s="13" t="str">
        <x:f>IF($A1421="","",IF($D1421&lt;&gt;'Team Setup'!$B$4,"Other sprint",IF($C1421="","Unassigned",IF(OR(ISNUMBER(SEARCH(",",$C1421)),ISNUMBER(SEARCH(";",$C1421))),"Multiple assignees",IF(COUNTIF('Team Setup'!$B$10:$B$34,$C1421)=1,"Matched","Unmatched")))))</x:f>
      </x:c>
      <x:c r="G1421" s="13" t="str">
        <x:f>IF($A1421="","",IF($D1421&lt;&gt;'Team Setup'!$B$4,"Other sprint",IF($E1421="","Unestimated",IF(NOT(ISNUMBER($E1421)),"Check estimate in hours",IF($E1421&lt;0,"Check estimate in hours",IF($E1421=0,"Unestimated","Estimated"))))))</x:f>
      </x:c>
    </x:row>
    <x:row r="1422">
      <x:c r="A1422" s="12"/>
      <x:c r="B1422" s="12"/>
      <x:c r="C1422" s="12"/>
      <x:c r="D1422" s="12"/>
      <x:c r="E1422" s="14"/>
      <x:c r="F1422" s="13" t="str">
        <x:f>IF($A1422="","",IF($D1422&lt;&gt;'Team Setup'!$B$4,"Other sprint",IF($C1422="","Unassigned",IF(OR(ISNUMBER(SEARCH(",",$C1422)),ISNUMBER(SEARCH(";",$C1422))),"Multiple assignees",IF(COUNTIF('Team Setup'!$B$10:$B$34,$C1422)=1,"Matched","Unmatched")))))</x:f>
      </x:c>
      <x:c r="G1422" s="13" t="str">
        <x:f>IF($A1422="","",IF($D1422&lt;&gt;'Team Setup'!$B$4,"Other sprint",IF($E1422="","Unestimated",IF(NOT(ISNUMBER($E1422)),"Check estimate in hours",IF($E1422&lt;0,"Check estimate in hours",IF($E1422=0,"Unestimated","Estimated"))))))</x:f>
      </x:c>
    </x:row>
    <x:row r="1423">
      <x:c r="A1423" s="12"/>
      <x:c r="B1423" s="12"/>
      <x:c r="C1423" s="12"/>
      <x:c r="D1423" s="12"/>
      <x:c r="E1423" s="14"/>
      <x:c r="F1423" s="13" t="str">
        <x:f>IF($A1423="","",IF($D1423&lt;&gt;'Team Setup'!$B$4,"Other sprint",IF($C1423="","Unassigned",IF(OR(ISNUMBER(SEARCH(",",$C1423)),ISNUMBER(SEARCH(";",$C1423))),"Multiple assignees",IF(COUNTIF('Team Setup'!$B$10:$B$34,$C1423)=1,"Matched","Unmatched")))))</x:f>
      </x:c>
      <x:c r="G1423" s="13" t="str">
        <x:f>IF($A1423="","",IF($D1423&lt;&gt;'Team Setup'!$B$4,"Other sprint",IF($E1423="","Unestimated",IF(NOT(ISNUMBER($E1423)),"Check estimate in hours",IF($E1423&lt;0,"Check estimate in hours",IF($E1423=0,"Unestimated","Estimated"))))))</x:f>
      </x:c>
    </x:row>
    <x:row r="1424">
      <x:c r="A1424" s="12"/>
      <x:c r="B1424" s="12"/>
      <x:c r="C1424" s="12"/>
      <x:c r="D1424" s="12"/>
      <x:c r="E1424" s="14"/>
      <x:c r="F1424" s="13" t="str">
        <x:f>IF($A1424="","",IF($D1424&lt;&gt;'Team Setup'!$B$4,"Other sprint",IF($C1424="","Unassigned",IF(OR(ISNUMBER(SEARCH(",",$C1424)),ISNUMBER(SEARCH(";",$C1424))),"Multiple assignees",IF(COUNTIF('Team Setup'!$B$10:$B$34,$C1424)=1,"Matched","Unmatched")))))</x:f>
      </x:c>
      <x:c r="G1424" s="13" t="str">
        <x:f>IF($A1424="","",IF($D1424&lt;&gt;'Team Setup'!$B$4,"Other sprint",IF($E1424="","Unestimated",IF(NOT(ISNUMBER($E1424)),"Check estimate in hours",IF($E1424&lt;0,"Check estimate in hours",IF($E1424=0,"Unestimated","Estimated"))))))</x:f>
      </x:c>
    </x:row>
    <x:row r="1425">
      <x:c r="A1425" s="12"/>
      <x:c r="B1425" s="12"/>
      <x:c r="C1425" s="12"/>
      <x:c r="D1425" s="12"/>
      <x:c r="E1425" s="14"/>
      <x:c r="F1425" s="13" t="str">
        <x:f>IF($A1425="","",IF($D1425&lt;&gt;'Team Setup'!$B$4,"Other sprint",IF($C1425="","Unassigned",IF(OR(ISNUMBER(SEARCH(",",$C1425)),ISNUMBER(SEARCH(";",$C1425))),"Multiple assignees",IF(COUNTIF('Team Setup'!$B$10:$B$34,$C1425)=1,"Matched","Unmatched")))))</x:f>
      </x:c>
      <x:c r="G1425" s="13" t="str">
        <x:f>IF($A1425="","",IF($D1425&lt;&gt;'Team Setup'!$B$4,"Other sprint",IF($E1425="","Unestimated",IF(NOT(ISNUMBER($E1425)),"Check estimate in hours",IF($E1425&lt;0,"Check estimate in hours",IF($E1425=0,"Unestimated","Estimated"))))))</x:f>
      </x:c>
    </x:row>
    <x:row r="1426">
      <x:c r="A1426" s="12"/>
      <x:c r="B1426" s="12"/>
      <x:c r="C1426" s="12"/>
      <x:c r="D1426" s="12"/>
      <x:c r="E1426" s="14"/>
      <x:c r="F1426" s="13" t="str">
        <x:f>IF($A1426="","",IF($D1426&lt;&gt;'Team Setup'!$B$4,"Other sprint",IF($C1426="","Unassigned",IF(OR(ISNUMBER(SEARCH(",",$C1426)),ISNUMBER(SEARCH(";",$C1426))),"Multiple assignees",IF(COUNTIF('Team Setup'!$B$10:$B$34,$C1426)=1,"Matched","Unmatched")))))</x:f>
      </x:c>
      <x:c r="G1426" s="13" t="str">
        <x:f>IF($A1426="","",IF($D1426&lt;&gt;'Team Setup'!$B$4,"Other sprint",IF($E1426="","Unestimated",IF(NOT(ISNUMBER($E1426)),"Check estimate in hours",IF($E1426&lt;0,"Check estimate in hours",IF($E1426=0,"Unestimated","Estimated"))))))</x:f>
      </x:c>
    </x:row>
    <x:row r="1427">
      <x:c r="A1427" s="12"/>
      <x:c r="B1427" s="12"/>
      <x:c r="C1427" s="12"/>
      <x:c r="D1427" s="12"/>
      <x:c r="E1427" s="14"/>
      <x:c r="F1427" s="13" t="str">
        <x:f>IF($A1427="","",IF($D1427&lt;&gt;'Team Setup'!$B$4,"Other sprint",IF($C1427="","Unassigned",IF(OR(ISNUMBER(SEARCH(",",$C1427)),ISNUMBER(SEARCH(";",$C1427))),"Multiple assignees",IF(COUNTIF('Team Setup'!$B$10:$B$34,$C1427)=1,"Matched","Unmatched")))))</x:f>
      </x:c>
      <x:c r="G1427" s="13" t="str">
        <x:f>IF($A1427="","",IF($D1427&lt;&gt;'Team Setup'!$B$4,"Other sprint",IF($E1427="","Unestimated",IF(NOT(ISNUMBER($E1427)),"Check estimate in hours",IF($E1427&lt;0,"Check estimate in hours",IF($E1427=0,"Unestimated","Estimated"))))))</x:f>
      </x:c>
    </x:row>
    <x:row r="1428">
      <x:c r="A1428" s="12"/>
      <x:c r="B1428" s="12"/>
      <x:c r="C1428" s="12"/>
      <x:c r="D1428" s="12"/>
      <x:c r="E1428" s="14"/>
      <x:c r="F1428" s="13" t="str">
        <x:f>IF($A1428="","",IF($D1428&lt;&gt;'Team Setup'!$B$4,"Other sprint",IF($C1428="","Unassigned",IF(OR(ISNUMBER(SEARCH(",",$C1428)),ISNUMBER(SEARCH(";",$C1428))),"Multiple assignees",IF(COUNTIF('Team Setup'!$B$10:$B$34,$C1428)=1,"Matched","Unmatched")))))</x:f>
      </x:c>
      <x:c r="G1428" s="13" t="str">
        <x:f>IF($A1428="","",IF($D1428&lt;&gt;'Team Setup'!$B$4,"Other sprint",IF($E1428="","Unestimated",IF(NOT(ISNUMBER($E1428)),"Check estimate in hours",IF($E1428&lt;0,"Check estimate in hours",IF($E1428=0,"Unestimated","Estimated"))))))</x:f>
      </x:c>
    </x:row>
    <x:row r="1429">
      <x:c r="A1429" s="12"/>
      <x:c r="B1429" s="12"/>
      <x:c r="C1429" s="12"/>
      <x:c r="D1429" s="12"/>
      <x:c r="E1429" s="14"/>
      <x:c r="F1429" s="13" t="str">
        <x:f>IF($A1429="","",IF($D1429&lt;&gt;'Team Setup'!$B$4,"Other sprint",IF($C1429="","Unassigned",IF(OR(ISNUMBER(SEARCH(",",$C1429)),ISNUMBER(SEARCH(";",$C1429))),"Multiple assignees",IF(COUNTIF('Team Setup'!$B$10:$B$34,$C1429)=1,"Matched","Unmatched")))))</x:f>
      </x:c>
      <x:c r="G1429" s="13" t="str">
        <x:f>IF($A1429="","",IF($D1429&lt;&gt;'Team Setup'!$B$4,"Other sprint",IF($E1429="","Unestimated",IF(NOT(ISNUMBER($E1429)),"Check estimate in hours",IF($E1429&lt;0,"Check estimate in hours",IF($E1429=0,"Unestimated","Estimated"))))))</x:f>
      </x:c>
    </x:row>
    <x:row r="1430">
      <x:c r="A1430" s="12"/>
      <x:c r="B1430" s="12"/>
      <x:c r="C1430" s="12"/>
      <x:c r="D1430" s="12"/>
      <x:c r="E1430" s="14"/>
      <x:c r="F1430" s="13" t="str">
        <x:f>IF($A1430="","",IF($D1430&lt;&gt;'Team Setup'!$B$4,"Other sprint",IF($C1430="","Unassigned",IF(OR(ISNUMBER(SEARCH(",",$C1430)),ISNUMBER(SEARCH(";",$C1430))),"Multiple assignees",IF(COUNTIF('Team Setup'!$B$10:$B$34,$C1430)=1,"Matched","Unmatched")))))</x:f>
      </x:c>
      <x:c r="G1430" s="13" t="str">
        <x:f>IF($A1430="","",IF($D1430&lt;&gt;'Team Setup'!$B$4,"Other sprint",IF($E1430="","Unestimated",IF(NOT(ISNUMBER($E1430)),"Check estimate in hours",IF($E1430&lt;0,"Check estimate in hours",IF($E1430=0,"Unestimated","Estimated"))))))</x:f>
      </x:c>
    </x:row>
    <x:row r="1431">
      <x:c r="A1431" s="12"/>
      <x:c r="B1431" s="12"/>
      <x:c r="C1431" s="12"/>
      <x:c r="D1431" s="12"/>
      <x:c r="E1431" s="14"/>
      <x:c r="F1431" s="13" t="str">
        <x:f>IF($A1431="","",IF($D1431&lt;&gt;'Team Setup'!$B$4,"Other sprint",IF($C1431="","Unassigned",IF(OR(ISNUMBER(SEARCH(",",$C1431)),ISNUMBER(SEARCH(";",$C1431))),"Multiple assignees",IF(COUNTIF('Team Setup'!$B$10:$B$34,$C1431)=1,"Matched","Unmatched")))))</x:f>
      </x:c>
      <x:c r="G1431" s="13" t="str">
        <x:f>IF($A1431="","",IF($D1431&lt;&gt;'Team Setup'!$B$4,"Other sprint",IF($E1431="","Unestimated",IF(NOT(ISNUMBER($E1431)),"Check estimate in hours",IF($E1431&lt;0,"Check estimate in hours",IF($E1431=0,"Unestimated","Estimated"))))))</x:f>
      </x:c>
    </x:row>
    <x:row r="1432">
      <x:c r="A1432" s="12"/>
      <x:c r="B1432" s="12"/>
      <x:c r="C1432" s="12"/>
      <x:c r="D1432" s="12"/>
      <x:c r="E1432" s="14"/>
      <x:c r="F1432" s="13" t="str">
        <x:f>IF($A1432="","",IF($D1432&lt;&gt;'Team Setup'!$B$4,"Other sprint",IF($C1432="","Unassigned",IF(OR(ISNUMBER(SEARCH(",",$C1432)),ISNUMBER(SEARCH(";",$C1432))),"Multiple assignees",IF(COUNTIF('Team Setup'!$B$10:$B$34,$C1432)=1,"Matched","Unmatched")))))</x:f>
      </x:c>
      <x:c r="G1432" s="13" t="str">
        <x:f>IF($A1432="","",IF($D1432&lt;&gt;'Team Setup'!$B$4,"Other sprint",IF($E1432="","Unestimated",IF(NOT(ISNUMBER($E1432)),"Check estimate in hours",IF($E1432&lt;0,"Check estimate in hours",IF($E1432=0,"Unestimated","Estimated"))))))</x:f>
      </x:c>
    </x:row>
    <x:row r="1433">
      <x:c r="A1433" s="12"/>
      <x:c r="B1433" s="12"/>
      <x:c r="C1433" s="12"/>
      <x:c r="D1433" s="12"/>
      <x:c r="E1433" s="14"/>
      <x:c r="F1433" s="13" t="str">
        <x:f>IF($A1433="","",IF($D1433&lt;&gt;'Team Setup'!$B$4,"Other sprint",IF($C1433="","Unassigned",IF(OR(ISNUMBER(SEARCH(",",$C1433)),ISNUMBER(SEARCH(";",$C1433))),"Multiple assignees",IF(COUNTIF('Team Setup'!$B$10:$B$34,$C1433)=1,"Matched","Unmatched")))))</x:f>
      </x:c>
      <x:c r="G1433" s="13" t="str">
        <x:f>IF($A1433="","",IF($D1433&lt;&gt;'Team Setup'!$B$4,"Other sprint",IF($E1433="","Unestimated",IF(NOT(ISNUMBER($E1433)),"Check estimate in hours",IF($E1433&lt;0,"Check estimate in hours",IF($E1433=0,"Unestimated","Estimated"))))))</x:f>
      </x:c>
    </x:row>
    <x:row r="1434">
      <x:c r="A1434" s="12"/>
      <x:c r="B1434" s="12"/>
      <x:c r="C1434" s="12"/>
      <x:c r="D1434" s="12"/>
      <x:c r="E1434" s="14"/>
      <x:c r="F1434" s="13" t="str">
        <x:f>IF($A1434="","",IF($D1434&lt;&gt;'Team Setup'!$B$4,"Other sprint",IF($C1434="","Unassigned",IF(OR(ISNUMBER(SEARCH(",",$C1434)),ISNUMBER(SEARCH(";",$C1434))),"Multiple assignees",IF(COUNTIF('Team Setup'!$B$10:$B$34,$C1434)=1,"Matched","Unmatched")))))</x:f>
      </x:c>
      <x:c r="G1434" s="13" t="str">
        <x:f>IF($A1434="","",IF($D1434&lt;&gt;'Team Setup'!$B$4,"Other sprint",IF($E1434="","Unestimated",IF(NOT(ISNUMBER($E1434)),"Check estimate in hours",IF($E1434&lt;0,"Check estimate in hours",IF($E1434=0,"Unestimated","Estimated"))))))</x:f>
      </x:c>
    </x:row>
    <x:row r="1435">
      <x:c r="A1435" s="12"/>
      <x:c r="B1435" s="12"/>
      <x:c r="C1435" s="12"/>
      <x:c r="D1435" s="12"/>
      <x:c r="E1435" s="14"/>
      <x:c r="F1435" s="13" t="str">
        <x:f>IF($A1435="","",IF($D1435&lt;&gt;'Team Setup'!$B$4,"Other sprint",IF($C1435="","Unassigned",IF(OR(ISNUMBER(SEARCH(",",$C1435)),ISNUMBER(SEARCH(";",$C1435))),"Multiple assignees",IF(COUNTIF('Team Setup'!$B$10:$B$34,$C1435)=1,"Matched","Unmatched")))))</x:f>
      </x:c>
      <x:c r="G1435" s="13" t="str">
        <x:f>IF($A1435="","",IF($D1435&lt;&gt;'Team Setup'!$B$4,"Other sprint",IF($E1435="","Unestimated",IF(NOT(ISNUMBER($E1435)),"Check estimate in hours",IF($E1435&lt;0,"Check estimate in hours",IF($E1435=0,"Unestimated","Estimated"))))))</x:f>
      </x:c>
    </x:row>
    <x:row r="1436">
      <x:c r="A1436" s="12"/>
      <x:c r="B1436" s="12"/>
      <x:c r="C1436" s="12"/>
      <x:c r="D1436" s="12"/>
      <x:c r="E1436" s="14"/>
      <x:c r="F1436" s="13" t="str">
        <x:f>IF($A1436="","",IF($D1436&lt;&gt;'Team Setup'!$B$4,"Other sprint",IF($C1436="","Unassigned",IF(OR(ISNUMBER(SEARCH(",",$C1436)),ISNUMBER(SEARCH(";",$C1436))),"Multiple assignees",IF(COUNTIF('Team Setup'!$B$10:$B$34,$C1436)=1,"Matched","Unmatched")))))</x:f>
      </x:c>
      <x:c r="G1436" s="13" t="str">
        <x:f>IF($A1436="","",IF($D1436&lt;&gt;'Team Setup'!$B$4,"Other sprint",IF($E1436="","Unestimated",IF(NOT(ISNUMBER($E1436)),"Check estimate in hours",IF($E1436&lt;0,"Check estimate in hours",IF($E1436=0,"Unestimated","Estimated"))))))</x:f>
      </x:c>
    </x:row>
    <x:row r="1437">
      <x:c r="A1437" s="12"/>
      <x:c r="B1437" s="12"/>
      <x:c r="C1437" s="12"/>
      <x:c r="D1437" s="12"/>
      <x:c r="E1437" s="14"/>
      <x:c r="F1437" s="13" t="str">
        <x:f>IF($A1437="","",IF($D1437&lt;&gt;'Team Setup'!$B$4,"Other sprint",IF($C1437="","Unassigned",IF(OR(ISNUMBER(SEARCH(",",$C1437)),ISNUMBER(SEARCH(";",$C1437))),"Multiple assignees",IF(COUNTIF('Team Setup'!$B$10:$B$34,$C1437)=1,"Matched","Unmatched")))))</x:f>
      </x:c>
      <x:c r="G1437" s="13" t="str">
        <x:f>IF($A1437="","",IF($D1437&lt;&gt;'Team Setup'!$B$4,"Other sprint",IF($E1437="","Unestimated",IF(NOT(ISNUMBER($E1437)),"Check estimate in hours",IF($E1437&lt;0,"Check estimate in hours",IF($E1437=0,"Unestimated","Estimated"))))))</x:f>
      </x:c>
    </x:row>
    <x:row r="1438">
      <x:c r="A1438" s="12"/>
      <x:c r="B1438" s="12"/>
      <x:c r="C1438" s="12"/>
      <x:c r="D1438" s="12"/>
      <x:c r="E1438" s="14"/>
      <x:c r="F1438" s="13" t="str">
        <x:f>IF($A1438="","",IF($D1438&lt;&gt;'Team Setup'!$B$4,"Other sprint",IF($C1438="","Unassigned",IF(OR(ISNUMBER(SEARCH(",",$C1438)),ISNUMBER(SEARCH(";",$C1438))),"Multiple assignees",IF(COUNTIF('Team Setup'!$B$10:$B$34,$C1438)=1,"Matched","Unmatched")))))</x:f>
      </x:c>
      <x:c r="G1438" s="13" t="str">
        <x:f>IF($A1438="","",IF($D1438&lt;&gt;'Team Setup'!$B$4,"Other sprint",IF($E1438="","Unestimated",IF(NOT(ISNUMBER($E1438)),"Check estimate in hours",IF($E1438&lt;0,"Check estimate in hours",IF($E1438=0,"Unestimated","Estimated"))))))</x:f>
      </x:c>
    </x:row>
    <x:row r="1439">
      <x:c r="A1439" s="12"/>
      <x:c r="B1439" s="12"/>
      <x:c r="C1439" s="12"/>
      <x:c r="D1439" s="12"/>
      <x:c r="E1439" s="14"/>
      <x:c r="F1439" s="13" t="str">
        <x:f>IF($A1439="","",IF($D1439&lt;&gt;'Team Setup'!$B$4,"Other sprint",IF($C1439="","Unassigned",IF(OR(ISNUMBER(SEARCH(",",$C1439)),ISNUMBER(SEARCH(";",$C1439))),"Multiple assignees",IF(COUNTIF('Team Setup'!$B$10:$B$34,$C1439)=1,"Matched","Unmatched")))))</x:f>
      </x:c>
      <x:c r="G1439" s="13" t="str">
        <x:f>IF($A1439="","",IF($D1439&lt;&gt;'Team Setup'!$B$4,"Other sprint",IF($E1439="","Unestimated",IF(NOT(ISNUMBER($E1439)),"Check estimate in hours",IF($E1439&lt;0,"Check estimate in hours",IF($E1439=0,"Unestimated","Estimated"))))))</x:f>
      </x:c>
    </x:row>
    <x:row r="1440">
      <x:c r="A1440" s="12"/>
      <x:c r="B1440" s="12"/>
      <x:c r="C1440" s="12"/>
      <x:c r="D1440" s="12"/>
      <x:c r="E1440" s="14"/>
      <x:c r="F1440" s="13" t="str">
        <x:f>IF($A1440="","",IF($D1440&lt;&gt;'Team Setup'!$B$4,"Other sprint",IF($C1440="","Unassigned",IF(OR(ISNUMBER(SEARCH(",",$C1440)),ISNUMBER(SEARCH(";",$C1440))),"Multiple assignees",IF(COUNTIF('Team Setup'!$B$10:$B$34,$C1440)=1,"Matched","Unmatched")))))</x:f>
      </x:c>
      <x:c r="G1440" s="13" t="str">
        <x:f>IF($A1440="","",IF($D1440&lt;&gt;'Team Setup'!$B$4,"Other sprint",IF($E1440="","Unestimated",IF(NOT(ISNUMBER($E1440)),"Check estimate in hours",IF($E1440&lt;0,"Check estimate in hours",IF($E1440=0,"Unestimated","Estimated"))))))</x:f>
      </x:c>
    </x:row>
    <x:row r="1441">
      <x:c r="A1441" s="12"/>
      <x:c r="B1441" s="12"/>
      <x:c r="C1441" s="12"/>
      <x:c r="D1441" s="12"/>
      <x:c r="E1441" s="14"/>
      <x:c r="F1441" s="13" t="str">
        <x:f>IF($A1441="","",IF($D1441&lt;&gt;'Team Setup'!$B$4,"Other sprint",IF($C1441="","Unassigned",IF(OR(ISNUMBER(SEARCH(",",$C1441)),ISNUMBER(SEARCH(";",$C1441))),"Multiple assignees",IF(COUNTIF('Team Setup'!$B$10:$B$34,$C1441)=1,"Matched","Unmatched")))))</x:f>
      </x:c>
      <x:c r="G1441" s="13" t="str">
        <x:f>IF($A1441="","",IF($D1441&lt;&gt;'Team Setup'!$B$4,"Other sprint",IF($E1441="","Unestimated",IF(NOT(ISNUMBER($E1441)),"Check estimate in hours",IF($E1441&lt;0,"Check estimate in hours",IF($E1441=0,"Unestimated","Estimated"))))))</x:f>
      </x:c>
    </x:row>
    <x:row r="1442">
      <x:c r="A1442" s="12"/>
      <x:c r="B1442" s="12"/>
      <x:c r="C1442" s="12"/>
      <x:c r="D1442" s="12"/>
      <x:c r="E1442" s="14"/>
      <x:c r="F1442" s="13" t="str">
        <x:f>IF($A1442="","",IF($D1442&lt;&gt;'Team Setup'!$B$4,"Other sprint",IF($C1442="","Unassigned",IF(OR(ISNUMBER(SEARCH(",",$C1442)),ISNUMBER(SEARCH(";",$C1442))),"Multiple assignees",IF(COUNTIF('Team Setup'!$B$10:$B$34,$C1442)=1,"Matched","Unmatched")))))</x:f>
      </x:c>
      <x:c r="G1442" s="13" t="str">
        <x:f>IF($A1442="","",IF($D1442&lt;&gt;'Team Setup'!$B$4,"Other sprint",IF($E1442="","Unestimated",IF(NOT(ISNUMBER($E1442)),"Check estimate in hours",IF($E1442&lt;0,"Check estimate in hours",IF($E1442=0,"Unestimated","Estimated"))))))</x:f>
      </x:c>
    </x:row>
    <x:row r="1443">
      <x:c r="A1443" s="12"/>
      <x:c r="B1443" s="12"/>
      <x:c r="C1443" s="12"/>
      <x:c r="D1443" s="12"/>
      <x:c r="E1443" s="14"/>
      <x:c r="F1443" s="13" t="str">
        <x:f>IF($A1443="","",IF($D1443&lt;&gt;'Team Setup'!$B$4,"Other sprint",IF($C1443="","Unassigned",IF(OR(ISNUMBER(SEARCH(",",$C1443)),ISNUMBER(SEARCH(";",$C1443))),"Multiple assignees",IF(COUNTIF('Team Setup'!$B$10:$B$34,$C1443)=1,"Matched","Unmatched")))))</x:f>
      </x:c>
      <x:c r="G1443" s="13" t="str">
        <x:f>IF($A1443="","",IF($D1443&lt;&gt;'Team Setup'!$B$4,"Other sprint",IF($E1443="","Unestimated",IF(NOT(ISNUMBER($E1443)),"Check estimate in hours",IF($E1443&lt;0,"Check estimate in hours",IF($E1443=0,"Unestimated","Estimated"))))))</x:f>
      </x:c>
    </x:row>
    <x:row r="1444">
      <x:c r="A1444" s="12"/>
      <x:c r="B1444" s="12"/>
      <x:c r="C1444" s="12"/>
      <x:c r="D1444" s="12"/>
      <x:c r="E1444" s="14"/>
      <x:c r="F1444" s="13" t="str">
        <x:f>IF($A1444="","",IF($D1444&lt;&gt;'Team Setup'!$B$4,"Other sprint",IF($C1444="","Unassigned",IF(OR(ISNUMBER(SEARCH(",",$C1444)),ISNUMBER(SEARCH(";",$C1444))),"Multiple assignees",IF(COUNTIF('Team Setup'!$B$10:$B$34,$C1444)=1,"Matched","Unmatched")))))</x:f>
      </x:c>
      <x:c r="G1444" s="13" t="str">
        <x:f>IF($A1444="","",IF($D1444&lt;&gt;'Team Setup'!$B$4,"Other sprint",IF($E1444="","Unestimated",IF(NOT(ISNUMBER($E1444)),"Check estimate in hours",IF($E1444&lt;0,"Check estimate in hours",IF($E1444=0,"Unestimated","Estimated"))))))</x:f>
      </x:c>
    </x:row>
    <x:row r="1445">
      <x:c r="A1445" s="12"/>
      <x:c r="B1445" s="12"/>
      <x:c r="C1445" s="12"/>
      <x:c r="D1445" s="12"/>
      <x:c r="E1445" s="14"/>
      <x:c r="F1445" s="13" t="str">
        <x:f>IF($A1445="","",IF($D1445&lt;&gt;'Team Setup'!$B$4,"Other sprint",IF($C1445="","Unassigned",IF(OR(ISNUMBER(SEARCH(",",$C1445)),ISNUMBER(SEARCH(";",$C1445))),"Multiple assignees",IF(COUNTIF('Team Setup'!$B$10:$B$34,$C1445)=1,"Matched","Unmatched")))))</x:f>
      </x:c>
      <x:c r="G1445" s="13" t="str">
        <x:f>IF($A1445="","",IF($D1445&lt;&gt;'Team Setup'!$B$4,"Other sprint",IF($E1445="","Unestimated",IF(NOT(ISNUMBER($E1445)),"Check estimate in hours",IF($E1445&lt;0,"Check estimate in hours",IF($E1445=0,"Unestimated","Estimated"))))))</x:f>
      </x:c>
    </x:row>
    <x:row r="1446">
      <x:c r="A1446" s="12"/>
      <x:c r="B1446" s="12"/>
      <x:c r="C1446" s="12"/>
      <x:c r="D1446" s="12"/>
      <x:c r="E1446" s="14"/>
      <x:c r="F1446" s="13" t="str">
        <x:f>IF($A1446="","",IF($D1446&lt;&gt;'Team Setup'!$B$4,"Other sprint",IF($C1446="","Unassigned",IF(OR(ISNUMBER(SEARCH(",",$C1446)),ISNUMBER(SEARCH(";",$C1446))),"Multiple assignees",IF(COUNTIF('Team Setup'!$B$10:$B$34,$C1446)=1,"Matched","Unmatched")))))</x:f>
      </x:c>
      <x:c r="G1446" s="13" t="str">
        <x:f>IF($A1446="","",IF($D1446&lt;&gt;'Team Setup'!$B$4,"Other sprint",IF($E1446="","Unestimated",IF(NOT(ISNUMBER($E1446)),"Check estimate in hours",IF($E1446&lt;0,"Check estimate in hours",IF($E1446=0,"Unestimated","Estimated"))))))</x:f>
      </x:c>
    </x:row>
    <x:row r="1447">
      <x:c r="A1447" s="12"/>
      <x:c r="B1447" s="12"/>
      <x:c r="C1447" s="12"/>
      <x:c r="D1447" s="12"/>
      <x:c r="E1447" s="14"/>
      <x:c r="F1447" s="13" t="str">
        <x:f>IF($A1447="","",IF($D1447&lt;&gt;'Team Setup'!$B$4,"Other sprint",IF($C1447="","Unassigned",IF(OR(ISNUMBER(SEARCH(",",$C1447)),ISNUMBER(SEARCH(";",$C1447))),"Multiple assignees",IF(COUNTIF('Team Setup'!$B$10:$B$34,$C1447)=1,"Matched","Unmatched")))))</x:f>
      </x:c>
      <x:c r="G1447" s="13" t="str">
        <x:f>IF($A1447="","",IF($D1447&lt;&gt;'Team Setup'!$B$4,"Other sprint",IF($E1447="","Unestimated",IF(NOT(ISNUMBER($E1447)),"Check estimate in hours",IF($E1447&lt;0,"Check estimate in hours",IF($E1447=0,"Unestimated","Estimated"))))))</x:f>
      </x:c>
    </x:row>
    <x:row r="1448">
      <x:c r="A1448" s="12"/>
      <x:c r="B1448" s="12"/>
      <x:c r="C1448" s="12"/>
      <x:c r="D1448" s="12"/>
      <x:c r="E1448" s="14"/>
      <x:c r="F1448" s="13" t="str">
        <x:f>IF($A1448="","",IF($D1448&lt;&gt;'Team Setup'!$B$4,"Other sprint",IF($C1448="","Unassigned",IF(OR(ISNUMBER(SEARCH(",",$C1448)),ISNUMBER(SEARCH(";",$C1448))),"Multiple assignees",IF(COUNTIF('Team Setup'!$B$10:$B$34,$C1448)=1,"Matched","Unmatched")))))</x:f>
      </x:c>
      <x:c r="G1448" s="13" t="str">
        <x:f>IF($A1448="","",IF($D1448&lt;&gt;'Team Setup'!$B$4,"Other sprint",IF($E1448="","Unestimated",IF(NOT(ISNUMBER($E1448)),"Check estimate in hours",IF($E1448&lt;0,"Check estimate in hours",IF($E1448=0,"Unestimated","Estimated"))))))</x:f>
      </x:c>
    </x:row>
    <x:row r="1449">
      <x:c r="A1449" s="12"/>
      <x:c r="B1449" s="12"/>
      <x:c r="C1449" s="12"/>
      <x:c r="D1449" s="12"/>
      <x:c r="E1449" s="14"/>
      <x:c r="F1449" s="13" t="str">
        <x:f>IF($A1449="","",IF($D1449&lt;&gt;'Team Setup'!$B$4,"Other sprint",IF($C1449="","Unassigned",IF(OR(ISNUMBER(SEARCH(",",$C1449)),ISNUMBER(SEARCH(";",$C1449))),"Multiple assignees",IF(COUNTIF('Team Setup'!$B$10:$B$34,$C1449)=1,"Matched","Unmatched")))))</x:f>
      </x:c>
      <x:c r="G1449" s="13" t="str">
        <x:f>IF($A1449="","",IF($D1449&lt;&gt;'Team Setup'!$B$4,"Other sprint",IF($E1449="","Unestimated",IF(NOT(ISNUMBER($E1449)),"Check estimate in hours",IF($E1449&lt;0,"Check estimate in hours",IF($E1449=0,"Unestimated","Estimated"))))))</x:f>
      </x:c>
    </x:row>
    <x:row r="1450">
      <x:c r="A1450" s="12"/>
      <x:c r="B1450" s="12"/>
      <x:c r="C1450" s="12"/>
      <x:c r="D1450" s="12"/>
      <x:c r="E1450" s="14"/>
      <x:c r="F1450" s="13" t="str">
        <x:f>IF($A1450="","",IF($D1450&lt;&gt;'Team Setup'!$B$4,"Other sprint",IF($C1450="","Unassigned",IF(OR(ISNUMBER(SEARCH(",",$C1450)),ISNUMBER(SEARCH(";",$C1450))),"Multiple assignees",IF(COUNTIF('Team Setup'!$B$10:$B$34,$C1450)=1,"Matched","Unmatched")))))</x:f>
      </x:c>
      <x:c r="G1450" s="13" t="str">
        <x:f>IF($A1450="","",IF($D1450&lt;&gt;'Team Setup'!$B$4,"Other sprint",IF($E1450="","Unestimated",IF(NOT(ISNUMBER($E1450)),"Check estimate in hours",IF($E1450&lt;0,"Check estimate in hours",IF($E1450=0,"Unestimated","Estimated"))))))</x:f>
      </x:c>
    </x:row>
    <x:row r="1451">
      <x:c r="A1451" s="12"/>
      <x:c r="B1451" s="12"/>
      <x:c r="C1451" s="12"/>
      <x:c r="D1451" s="12"/>
      <x:c r="E1451" s="14"/>
      <x:c r="F1451" s="13" t="str">
        <x:f>IF($A1451="","",IF($D1451&lt;&gt;'Team Setup'!$B$4,"Other sprint",IF($C1451="","Unassigned",IF(OR(ISNUMBER(SEARCH(",",$C1451)),ISNUMBER(SEARCH(";",$C1451))),"Multiple assignees",IF(COUNTIF('Team Setup'!$B$10:$B$34,$C1451)=1,"Matched","Unmatched")))))</x:f>
      </x:c>
      <x:c r="G1451" s="13" t="str">
        <x:f>IF($A1451="","",IF($D1451&lt;&gt;'Team Setup'!$B$4,"Other sprint",IF($E1451="","Unestimated",IF(NOT(ISNUMBER($E1451)),"Check estimate in hours",IF($E1451&lt;0,"Check estimate in hours",IF($E1451=0,"Unestimated","Estimated"))))))</x:f>
      </x:c>
    </x:row>
    <x:row r="1452">
      <x:c r="A1452" s="12"/>
      <x:c r="B1452" s="12"/>
      <x:c r="C1452" s="12"/>
      <x:c r="D1452" s="12"/>
      <x:c r="E1452" s="14"/>
      <x:c r="F1452" s="13" t="str">
        <x:f>IF($A1452="","",IF($D1452&lt;&gt;'Team Setup'!$B$4,"Other sprint",IF($C1452="","Unassigned",IF(OR(ISNUMBER(SEARCH(",",$C1452)),ISNUMBER(SEARCH(";",$C1452))),"Multiple assignees",IF(COUNTIF('Team Setup'!$B$10:$B$34,$C1452)=1,"Matched","Unmatched")))))</x:f>
      </x:c>
      <x:c r="G1452" s="13" t="str">
        <x:f>IF($A1452="","",IF($D1452&lt;&gt;'Team Setup'!$B$4,"Other sprint",IF($E1452="","Unestimated",IF(NOT(ISNUMBER($E1452)),"Check estimate in hours",IF($E1452&lt;0,"Check estimate in hours",IF($E1452=0,"Unestimated","Estimated"))))))</x:f>
      </x:c>
    </x:row>
    <x:row r="1453">
      <x:c r="A1453" s="12"/>
      <x:c r="B1453" s="12"/>
      <x:c r="C1453" s="12"/>
      <x:c r="D1453" s="12"/>
      <x:c r="E1453" s="14"/>
      <x:c r="F1453" s="13" t="str">
        <x:f>IF($A1453="","",IF($D1453&lt;&gt;'Team Setup'!$B$4,"Other sprint",IF($C1453="","Unassigned",IF(OR(ISNUMBER(SEARCH(",",$C1453)),ISNUMBER(SEARCH(";",$C1453))),"Multiple assignees",IF(COUNTIF('Team Setup'!$B$10:$B$34,$C1453)=1,"Matched","Unmatched")))))</x:f>
      </x:c>
      <x:c r="G1453" s="13" t="str">
        <x:f>IF($A1453="","",IF($D1453&lt;&gt;'Team Setup'!$B$4,"Other sprint",IF($E1453="","Unestimated",IF(NOT(ISNUMBER($E1453)),"Check estimate in hours",IF($E1453&lt;0,"Check estimate in hours",IF($E1453=0,"Unestimated","Estimated"))))))</x:f>
      </x:c>
    </x:row>
    <x:row r="1454">
      <x:c r="A1454" s="12"/>
      <x:c r="B1454" s="12"/>
      <x:c r="C1454" s="12"/>
      <x:c r="D1454" s="12"/>
      <x:c r="E1454" s="14"/>
      <x:c r="F1454" s="13" t="str">
        <x:f>IF($A1454="","",IF($D1454&lt;&gt;'Team Setup'!$B$4,"Other sprint",IF($C1454="","Unassigned",IF(OR(ISNUMBER(SEARCH(",",$C1454)),ISNUMBER(SEARCH(";",$C1454))),"Multiple assignees",IF(COUNTIF('Team Setup'!$B$10:$B$34,$C1454)=1,"Matched","Unmatched")))))</x:f>
      </x:c>
      <x:c r="G1454" s="13" t="str">
        <x:f>IF($A1454="","",IF($D1454&lt;&gt;'Team Setup'!$B$4,"Other sprint",IF($E1454="","Unestimated",IF(NOT(ISNUMBER($E1454)),"Check estimate in hours",IF($E1454&lt;0,"Check estimate in hours",IF($E1454=0,"Unestimated","Estimated"))))))</x:f>
      </x:c>
    </x:row>
    <x:row r="1455">
      <x:c r="A1455" s="12"/>
      <x:c r="B1455" s="12"/>
      <x:c r="C1455" s="12"/>
      <x:c r="D1455" s="12"/>
      <x:c r="E1455" s="14"/>
      <x:c r="F1455" s="13" t="str">
        <x:f>IF($A1455="","",IF($D1455&lt;&gt;'Team Setup'!$B$4,"Other sprint",IF($C1455="","Unassigned",IF(OR(ISNUMBER(SEARCH(",",$C1455)),ISNUMBER(SEARCH(";",$C1455))),"Multiple assignees",IF(COUNTIF('Team Setup'!$B$10:$B$34,$C1455)=1,"Matched","Unmatched")))))</x:f>
      </x:c>
      <x:c r="G1455" s="13" t="str">
        <x:f>IF($A1455="","",IF($D1455&lt;&gt;'Team Setup'!$B$4,"Other sprint",IF($E1455="","Unestimated",IF(NOT(ISNUMBER($E1455)),"Check estimate in hours",IF($E1455&lt;0,"Check estimate in hours",IF($E1455=0,"Unestimated","Estimated"))))))</x:f>
      </x:c>
    </x:row>
    <x:row r="1456">
      <x:c r="A1456" s="12"/>
      <x:c r="B1456" s="12"/>
      <x:c r="C1456" s="12"/>
      <x:c r="D1456" s="12"/>
      <x:c r="E1456" s="14"/>
      <x:c r="F1456" s="13" t="str">
        <x:f>IF($A1456="","",IF($D1456&lt;&gt;'Team Setup'!$B$4,"Other sprint",IF($C1456="","Unassigned",IF(OR(ISNUMBER(SEARCH(",",$C1456)),ISNUMBER(SEARCH(";",$C1456))),"Multiple assignees",IF(COUNTIF('Team Setup'!$B$10:$B$34,$C1456)=1,"Matched","Unmatched")))))</x:f>
      </x:c>
      <x:c r="G1456" s="13" t="str">
        <x:f>IF($A1456="","",IF($D1456&lt;&gt;'Team Setup'!$B$4,"Other sprint",IF($E1456="","Unestimated",IF(NOT(ISNUMBER($E1456)),"Check estimate in hours",IF($E1456&lt;0,"Check estimate in hours",IF($E1456=0,"Unestimated","Estimated"))))))</x:f>
      </x:c>
    </x:row>
    <x:row r="1457">
      <x:c r="A1457" s="12"/>
      <x:c r="B1457" s="12"/>
      <x:c r="C1457" s="12"/>
      <x:c r="D1457" s="12"/>
      <x:c r="E1457" s="14"/>
      <x:c r="F1457" s="13" t="str">
        <x:f>IF($A1457="","",IF($D1457&lt;&gt;'Team Setup'!$B$4,"Other sprint",IF($C1457="","Unassigned",IF(OR(ISNUMBER(SEARCH(",",$C1457)),ISNUMBER(SEARCH(";",$C1457))),"Multiple assignees",IF(COUNTIF('Team Setup'!$B$10:$B$34,$C1457)=1,"Matched","Unmatched")))))</x:f>
      </x:c>
      <x:c r="G1457" s="13" t="str">
        <x:f>IF($A1457="","",IF($D1457&lt;&gt;'Team Setup'!$B$4,"Other sprint",IF($E1457="","Unestimated",IF(NOT(ISNUMBER($E1457)),"Check estimate in hours",IF($E1457&lt;0,"Check estimate in hours",IF($E1457=0,"Unestimated","Estimated"))))))</x:f>
      </x:c>
    </x:row>
    <x:row r="1458">
      <x:c r="A1458" s="12"/>
      <x:c r="B1458" s="12"/>
      <x:c r="C1458" s="12"/>
      <x:c r="D1458" s="12"/>
      <x:c r="E1458" s="14"/>
      <x:c r="F1458" s="13" t="str">
        <x:f>IF($A1458="","",IF($D1458&lt;&gt;'Team Setup'!$B$4,"Other sprint",IF($C1458="","Unassigned",IF(OR(ISNUMBER(SEARCH(",",$C1458)),ISNUMBER(SEARCH(";",$C1458))),"Multiple assignees",IF(COUNTIF('Team Setup'!$B$10:$B$34,$C1458)=1,"Matched","Unmatched")))))</x:f>
      </x:c>
      <x:c r="G1458" s="13" t="str">
        <x:f>IF($A1458="","",IF($D1458&lt;&gt;'Team Setup'!$B$4,"Other sprint",IF($E1458="","Unestimated",IF(NOT(ISNUMBER($E1458)),"Check estimate in hours",IF($E1458&lt;0,"Check estimate in hours",IF($E1458=0,"Unestimated","Estimated"))))))</x:f>
      </x:c>
    </x:row>
    <x:row r="1459">
      <x:c r="A1459" s="12"/>
      <x:c r="B1459" s="12"/>
      <x:c r="C1459" s="12"/>
      <x:c r="D1459" s="12"/>
      <x:c r="E1459" s="14"/>
      <x:c r="F1459" s="13" t="str">
        <x:f>IF($A1459="","",IF($D1459&lt;&gt;'Team Setup'!$B$4,"Other sprint",IF($C1459="","Unassigned",IF(OR(ISNUMBER(SEARCH(",",$C1459)),ISNUMBER(SEARCH(";",$C1459))),"Multiple assignees",IF(COUNTIF('Team Setup'!$B$10:$B$34,$C1459)=1,"Matched","Unmatched")))))</x:f>
      </x:c>
      <x:c r="G1459" s="13" t="str">
        <x:f>IF($A1459="","",IF($D1459&lt;&gt;'Team Setup'!$B$4,"Other sprint",IF($E1459="","Unestimated",IF(NOT(ISNUMBER($E1459)),"Check estimate in hours",IF($E1459&lt;0,"Check estimate in hours",IF($E1459=0,"Unestimated","Estimated"))))))</x:f>
      </x:c>
    </x:row>
    <x:row r="1460">
      <x:c r="A1460" s="12"/>
      <x:c r="B1460" s="12"/>
      <x:c r="C1460" s="12"/>
      <x:c r="D1460" s="12"/>
      <x:c r="E1460" s="14"/>
      <x:c r="F1460" s="13" t="str">
        <x:f>IF($A1460="","",IF($D1460&lt;&gt;'Team Setup'!$B$4,"Other sprint",IF($C1460="","Unassigned",IF(OR(ISNUMBER(SEARCH(",",$C1460)),ISNUMBER(SEARCH(";",$C1460))),"Multiple assignees",IF(COUNTIF('Team Setup'!$B$10:$B$34,$C1460)=1,"Matched","Unmatched")))))</x:f>
      </x:c>
      <x:c r="G1460" s="13" t="str">
        <x:f>IF($A1460="","",IF($D1460&lt;&gt;'Team Setup'!$B$4,"Other sprint",IF($E1460="","Unestimated",IF(NOT(ISNUMBER($E1460)),"Check estimate in hours",IF($E1460&lt;0,"Check estimate in hours",IF($E1460=0,"Unestimated","Estimated"))))))</x:f>
      </x:c>
    </x:row>
    <x:row r="1461">
      <x:c r="A1461" s="12"/>
      <x:c r="B1461" s="12"/>
      <x:c r="C1461" s="12"/>
      <x:c r="D1461" s="12"/>
      <x:c r="E1461" s="14"/>
      <x:c r="F1461" s="13" t="str">
        <x:f>IF($A1461="","",IF($D1461&lt;&gt;'Team Setup'!$B$4,"Other sprint",IF($C1461="","Unassigned",IF(OR(ISNUMBER(SEARCH(",",$C1461)),ISNUMBER(SEARCH(";",$C1461))),"Multiple assignees",IF(COUNTIF('Team Setup'!$B$10:$B$34,$C1461)=1,"Matched","Unmatched")))))</x:f>
      </x:c>
      <x:c r="G1461" s="13" t="str">
        <x:f>IF($A1461="","",IF($D1461&lt;&gt;'Team Setup'!$B$4,"Other sprint",IF($E1461="","Unestimated",IF(NOT(ISNUMBER($E1461)),"Check estimate in hours",IF($E1461&lt;0,"Check estimate in hours",IF($E1461=0,"Unestimated","Estimated"))))))</x:f>
      </x:c>
    </x:row>
    <x:row r="1462">
      <x:c r="A1462" s="12"/>
      <x:c r="B1462" s="12"/>
      <x:c r="C1462" s="12"/>
      <x:c r="D1462" s="12"/>
      <x:c r="E1462" s="14"/>
      <x:c r="F1462" s="13" t="str">
        <x:f>IF($A1462="","",IF($D1462&lt;&gt;'Team Setup'!$B$4,"Other sprint",IF($C1462="","Unassigned",IF(OR(ISNUMBER(SEARCH(",",$C1462)),ISNUMBER(SEARCH(";",$C1462))),"Multiple assignees",IF(COUNTIF('Team Setup'!$B$10:$B$34,$C1462)=1,"Matched","Unmatched")))))</x:f>
      </x:c>
      <x:c r="G1462" s="13" t="str">
        <x:f>IF($A1462="","",IF($D1462&lt;&gt;'Team Setup'!$B$4,"Other sprint",IF($E1462="","Unestimated",IF(NOT(ISNUMBER($E1462)),"Check estimate in hours",IF($E1462&lt;0,"Check estimate in hours",IF($E1462=0,"Unestimated","Estimated"))))))</x:f>
      </x:c>
    </x:row>
    <x:row r="1463">
      <x:c r="A1463" s="12"/>
      <x:c r="B1463" s="12"/>
      <x:c r="C1463" s="12"/>
      <x:c r="D1463" s="12"/>
      <x:c r="E1463" s="14"/>
      <x:c r="F1463" s="13" t="str">
        <x:f>IF($A1463="","",IF($D1463&lt;&gt;'Team Setup'!$B$4,"Other sprint",IF($C1463="","Unassigned",IF(OR(ISNUMBER(SEARCH(",",$C1463)),ISNUMBER(SEARCH(";",$C1463))),"Multiple assignees",IF(COUNTIF('Team Setup'!$B$10:$B$34,$C1463)=1,"Matched","Unmatched")))))</x:f>
      </x:c>
      <x:c r="G1463" s="13" t="str">
        <x:f>IF($A1463="","",IF($D1463&lt;&gt;'Team Setup'!$B$4,"Other sprint",IF($E1463="","Unestimated",IF(NOT(ISNUMBER($E1463)),"Check estimate in hours",IF($E1463&lt;0,"Check estimate in hours",IF($E1463=0,"Unestimated","Estimated"))))))</x:f>
      </x:c>
    </x:row>
    <x:row r="1464">
      <x:c r="A1464" s="12"/>
      <x:c r="B1464" s="12"/>
      <x:c r="C1464" s="12"/>
      <x:c r="D1464" s="12"/>
      <x:c r="E1464" s="14"/>
      <x:c r="F1464" s="13" t="str">
        <x:f>IF($A1464="","",IF($D1464&lt;&gt;'Team Setup'!$B$4,"Other sprint",IF($C1464="","Unassigned",IF(OR(ISNUMBER(SEARCH(",",$C1464)),ISNUMBER(SEARCH(";",$C1464))),"Multiple assignees",IF(COUNTIF('Team Setup'!$B$10:$B$34,$C1464)=1,"Matched","Unmatched")))))</x:f>
      </x:c>
      <x:c r="G1464" s="13" t="str">
        <x:f>IF($A1464="","",IF($D1464&lt;&gt;'Team Setup'!$B$4,"Other sprint",IF($E1464="","Unestimated",IF(NOT(ISNUMBER($E1464)),"Check estimate in hours",IF($E1464&lt;0,"Check estimate in hours",IF($E1464=0,"Unestimated","Estimated"))))))</x:f>
      </x:c>
    </x:row>
    <x:row r="1465">
      <x:c r="A1465" s="12"/>
      <x:c r="B1465" s="12"/>
      <x:c r="C1465" s="12"/>
      <x:c r="D1465" s="12"/>
      <x:c r="E1465" s="14"/>
      <x:c r="F1465" s="13" t="str">
        <x:f>IF($A1465="","",IF($D1465&lt;&gt;'Team Setup'!$B$4,"Other sprint",IF($C1465="","Unassigned",IF(OR(ISNUMBER(SEARCH(",",$C1465)),ISNUMBER(SEARCH(";",$C1465))),"Multiple assignees",IF(COUNTIF('Team Setup'!$B$10:$B$34,$C1465)=1,"Matched","Unmatched")))))</x:f>
      </x:c>
      <x:c r="G1465" s="13" t="str">
        <x:f>IF($A1465="","",IF($D1465&lt;&gt;'Team Setup'!$B$4,"Other sprint",IF($E1465="","Unestimated",IF(NOT(ISNUMBER($E1465)),"Check estimate in hours",IF($E1465&lt;0,"Check estimate in hours",IF($E1465=0,"Unestimated","Estimated"))))))</x:f>
      </x:c>
    </x:row>
    <x:row r="1466">
      <x:c r="A1466" s="12"/>
      <x:c r="B1466" s="12"/>
      <x:c r="C1466" s="12"/>
      <x:c r="D1466" s="12"/>
      <x:c r="E1466" s="14"/>
      <x:c r="F1466" s="13" t="str">
        <x:f>IF($A1466="","",IF($D1466&lt;&gt;'Team Setup'!$B$4,"Other sprint",IF($C1466="","Unassigned",IF(OR(ISNUMBER(SEARCH(",",$C1466)),ISNUMBER(SEARCH(";",$C1466))),"Multiple assignees",IF(COUNTIF('Team Setup'!$B$10:$B$34,$C1466)=1,"Matched","Unmatched")))))</x:f>
      </x:c>
      <x:c r="G1466" s="13" t="str">
        <x:f>IF($A1466="","",IF($D1466&lt;&gt;'Team Setup'!$B$4,"Other sprint",IF($E1466="","Unestimated",IF(NOT(ISNUMBER($E1466)),"Check estimate in hours",IF($E1466&lt;0,"Check estimate in hours",IF($E1466=0,"Unestimated","Estimated"))))))</x:f>
      </x:c>
    </x:row>
    <x:row r="1467">
      <x:c r="A1467" s="12"/>
      <x:c r="B1467" s="12"/>
      <x:c r="C1467" s="12"/>
      <x:c r="D1467" s="12"/>
      <x:c r="E1467" s="14"/>
      <x:c r="F1467" s="13" t="str">
        <x:f>IF($A1467="","",IF($D1467&lt;&gt;'Team Setup'!$B$4,"Other sprint",IF($C1467="","Unassigned",IF(OR(ISNUMBER(SEARCH(",",$C1467)),ISNUMBER(SEARCH(";",$C1467))),"Multiple assignees",IF(COUNTIF('Team Setup'!$B$10:$B$34,$C1467)=1,"Matched","Unmatched")))))</x:f>
      </x:c>
      <x:c r="G1467" s="13" t="str">
        <x:f>IF($A1467="","",IF($D1467&lt;&gt;'Team Setup'!$B$4,"Other sprint",IF($E1467="","Unestimated",IF(NOT(ISNUMBER($E1467)),"Check estimate in hours",IF($E1467&lt;0,"Check estimate in hours",IF($E1467=0,"Unestimated","Estimated"))))))</x:f>
      </x:c>
    </x:row>
    <x:row r="1468">
      <x:c r="A1468" s="12"/>
      <x:c r="B1468" s="12"/>
      <x:c r="C1468" s="12"/>
      <x:c r="D1468" s="12"/>
      <x:c r="E1468" s="14"/>
      <x:c r="F1468" s="13" t="str">
        <x:f>IF($A1468="","",IF($D1468&lt;&gt;'Team Setup'!$B$4,"Other sprint",IF($C1468="","Unassigned",IF(OR(ISNUMBER(SEARCH(",",$C1468)),ISNUMBER(SEARCH(";",$C1468))),"Multiple assignees",IF(COUNTIF('Team Setup'!$B$10:$B$34,$C1468)=1,"Matched","Unmatched")))))</x:f>
      </x:c>
      <x:c r="G1468" s="13" t="str">
        <x:f>IF($A1468="","",IF($D1468&lt;&gt;'Team Setup'!$B$4,"Other sprint",IF($E1468="","Unestimated",IF(NOT(ISNUMBER($E1468)),"Check estimate in hours",IF($E1468&lt;0,"Check estimate in hours",IF($E1468=0,"Unestimated","Estimated"))))))</x:f>
      </x:c>
    </x:row>
    <x:row r="1469">
      <x:c r="A1469" s="12"/>
      <x:c r="B1469" s="12"/>
      <x:c r="C1469" s="12"/>
      <x:c r="D1469" s="12"/>
      <x:c r="E1469" s="14"/>
      <x:c r="F1469" s="13" t="str">
        <x:f>IF($A1469="","",IF($D1469&lt;&gt;'Team Setup'!$B$4,"Other sprint",IF($C1469="","Unassigned",IF(OR(ISNUMBER(SEARCH(",",$C1469)),ISNUMBER(SEARCH(";",$C1469))),"Multiple assignees",IF(COUNTIF('Team Setup'!$B$10:$B$34,$C1469)=1,"Matched","Unmatched")))))</x:f>
      </x:c>
      <x:c r="G1469" s="13" t="str">
        <x:f>IF($A1469="","",IF($D1469&lt;&gt;'Team Setup'!$B$4,"Other sprint",IF($E1469="","Unestimated",IF(NOT(ISNUMBER($E1469)),"Check estimate in hours",IF($E1469&lt;0,"Check estimate in hours",IF($E1469=0,"Unestimated","Estimated"))))))</x:f>
      </x:c>
    </x:row>
    <x:row r="1470">
      <x:c r="A1470" s="12"/>
      <x:c r="B1470" s="12"/>
      <x:c r="C1470" s="12"/>
      <x:c r="D1470" s="12"/>
      <x:c r="E1470" s="14"/>
      <x:c r="F1470" s="13" t="str">
        <x:f>IF($A1470="","",IF($D1470&lt;&gt;'Team Setup'!$B$4,"Other sprint",IF($C1470="","Unassigned",IF(OR(ISNUMBER(SEARCH(",",$C1470)),ISNUMBER(SEARCH(";",$C1470))),"Multiple assignees",IF(COUNTIF('Team Setup'!$B$10:$B$34,$C1470)=1,"Matched","Unmatched")))))</x:f>
      </x:c>
      <x:c r="G1470" s="13" t="str">
        <x:f>IF($A1470="","",IF($D1470&lt;&gt;'Team Setup'!$B$4,"Other sprint",IF($E1470="","Unestimated",IF(NOT(ISNUMBER($E1470)),"Check estimate in hours",IF($E1470&lt;0,"Check estimate in hours",IF($E1470=0,"Unestimated","Estimated"))))))</x:f>
      </x:c>
    </x:row>
    <x:row r="1471">
      <x:c r="A1471" s="12"/>
      <x:c r="B1471" s="12"/>
      <x:c r="C1471" s="12"/>
      <x:c r="D1471" s="12"/>
      <x:c r="E1471" s="14"/>
      <x:c r="F1471" s="13" t="str">
        <x:f>IF($A1471="","",IF($D1471&lt;&gt;'Team Setup'!$B$4,"Other sprint",IF($C1471="","Unassigned",IF(OR(ISNUMBER(SEARCH(",",$C1471)),ISNUMBER(SEARCH(";",$C1471))),"Multiple assignees",IF(COUNTIF('Team Setup'!$B$10:$B$34,$C1471)=1,"Matched","Unmatched")))))</x:f>
      </x:c>
      <x:c r="G1471" s="13" t="str">
        <x:f>IF($A1471="","",IF($D1471&lt;&gt;'Team Setup'!$B$4,"Other sprint",IF($E1471="","Unestimated",IF(NOT(ISNUMBER($E1471)),"Check estimate in hours",IF($E1471&lt;0,"Check estimate in hours",IF($E1471=0,"Unestimated","Estimated"))))))</x:f>
      </x:c>
    </x:row>
    <x:row r="1472">
      <x:c r="A1472" s="12"/>
      <x:c r="B1472" s="12"/>
      <x:c r="C1472" s="12"/>
      <x:c r="D1472" s="12"/>
      <x:c r="E1472" s="14"/>
      <x:c r="F1472" s="13" t="str">
        <x:f>IF($A1472="","",IF($D1472&lt;&gt;'Team Setup'!$B$4,"Other sprint",IF($C1472="","Unassigned",IF(OR(ISNUMBER(SEARCH(",",$C1472)),ISNUMBER(SEARCH(";",$C1472))),"Multiple assignees",IF(COUNTIF('Team Setup'!$B$10:$B$34,$C1472)=1,"Matched","Unmatched")))))</x:f>
      </x:c>
      <x:c r="G1472" s="13" t="str">
        <x:f>IF($A1472="","",IF($D1472&lt;&gt;'Team Setup'!$B$4,"Other sprint",IF($E1472="","Unestimated",IF(NOT(ISNUMBER($E1472)),"Check estimate in hours",IF($E1472&lt;0,"Check estimate in hours",IF($E1472=0,"Unestimated","Estimated"))))))</x:f>
      </x:c>
    </x:row>
    <x:row r="1473">
      <x:c r="A1473" s="12"/>
      <x:c r="B1473" s="12"/>
      <x:c r="C1473" s="12"/>
      <x:c r="D1473" s="12"/>
      <x:c r="E1473" s="14"/>
      <x:c r="F1473" s="13" t="str">
        <x:f>IF($A1473="","",IF($D1473&lt;&gt;'Team Setup'!$B$4,"Other sprint",IF($C1473="","Unassigned",IF(OR(ISNUMBER(SEARCH(",",$C1473)),ISNUMBER(SEARCH(";",$C1473))),"Multiple assignees",IF(COUNTIF('Team Setup'!$B$10:$B$34,$C1473)=1,"Matched","Unmatched")))))</x:f>
      </x:c>
      <x:c r="G1473" s="13" t="str">
        <x:f>IF($A1473="","",IF($D1473&lt;&gt;'Team Setup'!$B$4,"Other sprint",IF($E1473="","Unestimated",IF(NOT(ISNUMBER($E1473)),"Check estimate in hours",IF($E1473&lt;0,"Check estimate in hours",IF($E1473=0,"Unestimated","Estimated"))))))</x:f>
      </x:c>
    </x:row>
    <x:row r="1474">
      <x:c r="A1474" s="12"/>
      <x:c r="B1474" s="12"/>
      <x:c r="C1474" s="12"/>
      <x:c r="D1474" s="12"/>
      <x:c r="E1474" s="14"/>
      <x:c r="F1474" s="13" t="str">
        <x:f>IF($A1474="","",IF($D1474&lt;&gt;'Team Setup'!$B$4,"Other sprint",IF($C1474="","Unassigned",IF(OR(ISNUMBER(SEARCH(",",$C1474)),ISNUMBER(SEARCH(";",$C1474))),"Multiple assignees",IF(COUNTIF('Team Setup'!$B$10:$B$34,$C1474)=1,"Matched","Unmatched")))))</x:f>
      </x:c>
      <x:c r="G1474" s="13" t="str">
        <x:f>IF($A1474="","",IF($D1474&lt;&gt;'Team Setup'!$B$4,"Other sprint",IF($E1474="","Unestimated",IF(NOT(ISNUMBER($E1474)),"Check estimate in hours",IF($E1474&lt;0,"Check estimate in hours",IF($E1474=0,"Unestimated","Estimated"))))))</x:f>
      </x:c>
    </x:row>
    <x:row r="1475">
      <x:c r="A1475" s="12"/>
      <x:c r="B1475" s="12"/>
      <x:c r="C1475" s="12"/>
      <x:c r="D1475" s="12"/>
      <x:c r="E1475" s="14"/>
      <x:c r="F1475" s="13" t="str">
        <x:f>IF($A1475="","",IF($D1475&lt;&gt;'Team Setup'!$B$4,"Other sprint",IF($C1475="","Unassigned",IF(OR(ISNUMBER(SEARCH(",",$C1475)),ISNUMBER(SEARCH(";",$C1475))),"Multiple assignees",IF(COUNTIF('Team Setup'!$B$10:$B$34,$C1475)=1,"Matched","Unmatched")))))</x:f>
      </x:c>
      <x:c r="G1475" s="13" t="str">
        <x:f>IF($A1475="","",IF($D1475&lt;&gt;'Team Setup'!$B$4,"Other sprint",IF($E1475="","Unestimated",IF(NOT(ISNUMBER($E1475)),"Check estimate in hours",IF($E1475&lt;0,"Check estimate in hours",IF($E1475=0,"Unestimated","Estimated"))))))</x:f>
      </x:c>
    </x:row>
    <x:row r="1476">
      <x:c r="A1476" s="12"/>
      <x:c r="B1476" s="12"/>
      <x:c r="C1476" s="12"/>
      <x:c r="D1476" s="12"/>
      <x:c r="E1476" s="14"/>
      <x:c r="F1476" s="13" t="str">
        <x:f>IF($A1476="","",IF($D1476&lt;&gt;'Team Setup'!$B$4,"Other sprint",IF($C1476="","Unassigned",IF(OR(ISNUMBER(SEARCH(",",$C1476)),ISNUMBER(SEARCH(";",$C1476))),"Multiple assignees",IF(COUNTIF('Team Setup'!$B$10:$B$34,$C1476)=1,"Matched","Unmatched")))))</x:f>
      </x:c>
      <x:c r="G1476" s="13" t="str">
        <x:f>IF($A1476="","",IF($D1476&lt;&gt;'Team Setup'!$B$4,"Other sprint",IF($E1476="","Unestimated",IF(NOT(ISNUMBER($E1476)),"Check estimate in hours",IF($E1476&lt;0,"Check estimate in hours",IF($E1476=0,"Unestimated","Estimated"))))))</x:f>
      </x:c>
    </x:row>
    <x:row r="1477">
      <x:c r="A1477" s="12"/>
      <x:c r="B1477" s="12"/>
      <x:c r="C1477" s="12"/>
      <x:c r="D1477" s="12"/>
      <x:c r="E1477" s="14"/>
      <x:c r="F1477" s="13" t="str">
        <x:f>IF($A1477="","",IF($D1477&lt;&gt;'Team Setup'!$B$4,"Other sprint",IF($C1477="","Unassigned",IF(OR(ISNUMBER(SEARCH(",",$C1477)),ISNUMBER(SEARCH(";",$C1477))),"Multiple assignees",IF(COUNTIF('Team Setup'!$B$10:$B$34,$C1477)=1,"Matched","Unmatched")))))</x:f>
      </x:c>
      <x:c r="G1477" s="13" t="str">
        <x:f>IF($A1477="","",IF($D1477&lt;&gt;'Team Setup'!$B$4,"Other sprint",IF($E1477="","Unestimated",IF(NOT(ISNUMBER($E1477)),"Check estimate in hours",IF($E1477&lt;0,"Check estimate in hours",IF($E1477=0,"Unestimated","Estimated"))))))</x:f>
      </x:c>
    </x:row>
    <x:row r="1478">
      <x:c r="A1478" s="12"/>
      <x:c r="B1478" s="12"/>
      <x:c r="C1478" s="12"/>
      <x:c r="D1478" s="12"/>
      <x:c r="E1478" s="14"/>
      <x:c r="F1478" s="13" t="str">
        <x:f>IF($A1478="","",IF($D1478&lt;&gt;'Team Setup'!$B$4,"Other sprint",IF($C1478="","Unassigned",IF(OR(ISNUMBER(SEARCH(",",$C1478)),ISNUMBER(SEARCH(";",$C1478))),"Multiple assignees",IF(COUNTIF('Team Setup'!$B$10:$B$34,$C1478)=1,"Matched","Unmatched")))))</x:f>
      </x:c>
      <x:c r="G1478" s="13" t="str">
        <x:f>IF($A1478="","",IF($D1478&lt;&gt;'Team Setup'!$B$4,"Other sprint",IF($E1478="","Unestimated",IF(NOT(ISNUMBER($E1478)),"Check estimate in hours",IF($E1478&lt;0,"Check estimate in hours",IF($E1478=0,"Unestimated","Estimated"))))))</x:f>
      </x:c>
    </x:row>
    <x:row r="1479">
      <x:c r="A1479" s="12"/>
      <x:c r="B1479" s="12"/>
      <x:c r="C1479" s="12"/>
      <x:c r="D1479" s="12"/>
      <x:c r="E1479" s="14"/>
      <x:c r="F1479" s="13" t="str">
        <x:f>IF($A1479="","",IF($D1479&lt;&gt;'Team Setup'!$B$4,"Other sprint",IF($C1479="","Unassigned",IF(OR(ISNUMBER(SEARCH(",",$C1479)),ISNUMBER(SEARCH(";",$C1479))),"Multiple assignees",IF(COUNTIF('Team Setup'!$B$10:$B$34,$C1479)=1,"Matched","Unmatched")))))</x:f>
      </x:c>
      <x:c r="G1479" s="13" t="str">
        <x:f>IF($A1479="","",IF($D1479&lt;&gt;'Team Setup'!$B$4,"Other sprint",IF($E1479="","Unestimated",IF(NOT(ISNUMBER($E1479)),"Check estimate in hours",IF($E1479&lt;0,"Check estimate in hours",IF($E1479=0,"Unestimated","Estimated"))))))</x:f>
      </x:c>
    </x:row>
    <x:row r="1480">
      <x:c r="A1480" s="12"/>
      <x:c r="B1480" s="12"/>
      <x:c r="C1480" s="12"/>
      <x:c r="D1480" s="12"/>
      <x:c r="E1480" s="14"/>
      <x:c r="F1480" s="13" t="str">
        <x:f>IF($A1480="","",IF($D1480&lt;&gt;'Team Setup'!$B$4,"Other sprint",IF($C1480="","Unassigned",IF(OR(ISNUMBER(SEARCH(",",$C1480)),ISNUMBER(SEARCH(";",$C1480))),"Multiple assignees",IF(COUNTIF('Team Setup'!$B$10:$B$34,$C1480)=1,"Matched","Unmatched")))))</x:f>
      </x:c>
      <x:c r="G1480" s="13" t="str">
        <x:f>IF($A1480="","",IF($D1480&lt;&gt;'Team Setup'!$B$4,"Other sprint",IF($E1480="","Unestimated",IF(NOT(ISNUMBER($E1480)),"Check estimate in hours",IF($E1480&lt;0,"Check estimate in hours",IF($E1480=0,"Unestimated","Estimated"))))))</x:f>
      </x:c>
    </x:row>
    <x:row r="1481">
      <x:c r="A1481" s="12"/>
      <x:c r="B1481" s="12"/>
      <x:c r="C1481" s="12"/>
      <x:c r="D1481" s="12"/>
      <x:c r="E1481" s="14"/>
      <x:c r="F1481" s="13" t="str">
        <x:f>IF($A1481="","",IF($D1481&lt;&gt;'Team Setup'!$B$4,"Other sprint",IF($C1481="","Unassigned",IF(OR(ISNUMBER(SEARCH(",",$C1481)),ISNUMBER(SEARCH(";",$C1481))),"Multiple assignees",IF(COUNTIF('Team Setup'!$B$10:$B$34,$C1481)=1,"Matched","Unmatched")))))</x:f>
      </x:c>
      <x:c r="G1481" s="13" t="str">
        <x:f>IF($A1481="","",IF($D1481&lt;&gt;'Team Setup'!$B$4,"Other sprint",IF($E1481="","Unestimated",IF(NOT(ISNUMBER($E1481)),"Check estimate in hours",IF($E1481&lt;0,"Check estimate in hours",IF($E1481=0,"Unestimated","Estimated"))))))</x:f>
      </x:c>
    </x:row>
    <x:row r="1482">
      <x:c r="A1482" s="12"/>
      <x:c r="B1482" s="12"/>
      <x:c r="C1482" s="12"/>
      <x:c r="D1482" s="12"/>
      <x:c r="E1482" s="14"/>
      <x:c r="F1482" s="13" t="str">
        <x:f>IF($A1482="","",IF($D1482&lt;&gt;'Team Setup'!$B$4,"Other sprint",IF($C1482="","Unassigned",IF(OR(ISNUMBER(SEARCH(",",$C1482)),ISNUMBER(SEARCH(";",$C1482))),"Multiple assignees",IF(COUNTIF('Team Setup'!$B$10:$B$34,$C1482)=1,"Matched","Unmatched")))))</x:f>
      </x:c>
      <x:c r="G1482" s="13" t="str">
        <x:f>IF($A1482="","",IF($D1482&lt;&gt;'Team Setup'!$B$4,"Other sprint",IF($E1482="","Unestimated",IF(NOT(ISNUMBER($E1482)),"Check estimate in hours",IF($E1482&lt;0,"Check estimate in hours",IF($E1482=0,"Unestimated","Estimated"))))))</x:f>
      </x:c>
    </x:row>
    <x:row r="1483">
      <x:c r="A1483" s="12"/>
      <x:c r="B1483" s="12"/>
      <x:c r="C1483" s="12"/>
      <x:c r="D1483" s="12"/>
      <x:c r="E1483" s="14"/>
      <x:c r="F1483" s="13" t="str">
        <x:f>IF($A1483="","",IF($D1483&lt;&gt;'Team Setup'!$B$4,"Other sprint",IF($C1483="","Unassigned",IF(OR(ISNUMBER(SEARCH(",",$C1483)),ISNUMBER(SEARCH(";",$C1483))),"Multiple assignees",IF(COUNTIF('Team Setup'!$B$10:$B$34,$C1483)=1,"Matched","Unmatched")))))</x:f>
      </x:c>
      <x:c r="G1483" s="13" t="str">
        <x:f>IF($A1483="","",IF($D1483&lt;&gt;'Team Setup'!$B$4,"Other sprint",IF($E1483="","Unestimated",IF(NOT(ISNUMBER($E1483)),"Check estimate in hours",IF($E1483&lt;0,"Check estimate in hours",IF($E1483=0,"Unestimated","Estimated"))))))</x:f>
      </x:c>
    </x:row>
    <x:row r="1484">
      <x:c r="A1484" s="12"/>
      <x:c r="B1484" s="12"/>
      <x:c r="C1484" s="12"/>
      <x:c r="D1484" s="12"/>
      <x:c r="E1484" s="14"/>
      <x:c r="F1484" s="13" t="str">
        <x:f>IF($A1484="","",IF($D1484&lt;&gt;'Team Setup'!$B$4,"Other sprint",IF($C1484="","Unassigned",IF(OR(ISNUMBER(SEARCH(",",$C1484)),ISNUMBER(SEARCH(";",$C1484))),"Multiple assignees",IF(COUNTIF('Team Setup'!$B$10:$B$34,$C1484)=1,"Matched","Unmatched")))))</x:f>
      </x:c>
      <x:c r="G1484" s="13" t="str">
        <x:f>IF($A1484="","",IF($D1484&lt;&gt;'Team Setup'!$B$4,"Other sprint",IF($E1484="","Unestimated",IF(NOT(ISNUMBER($E1484)),"Check estimate in hours",IF($E1484&lt;0,"Check estimate in hours",IF($E1484=0,"Unestimated","Estimated"))))))</x:f>
      </x:c>
    </x:row>
    <x:row r="1485">
      <x:c r="A1485" s="12"/>
      <x:c r="B1485" s="12"/>
      <x:c r="C1485" s="12"/>
      <x:c r="D1485" s="12"/>
      <x:c r="E1485" s="14"/>
      <x:c r="F1485" s="13" t="str">
        <x:f>IF($A1485="","",IF($D1485&lt;&gt;'Team Setup'!$B$4,"Other sprint",IF($C1485="","Unassigned",IF(OR(ISNUMBER(SEARCH(",",$C1485)),ISNUMBER(SEARCH(";",$C1485))),"Multiple assignees",IF(COUNTIF('Team Setup'!$B$10:$B$34,$C1485)=1,"Matched","Unmatched")))))</x:f>
      </x:c>
      <x:c r="G1485" s="13" t="str">
        <x:f>IF($A1485="","",IF($D1485&lt;&gt;'Team Setup'!$B$4,"Other sprint",IF($E1485="","Unestimated",IF(NOT(ISNUMBER($E1485)),"Check estimate in hours",IF($E1485&lt;0,"Check estimate in hours",IF($E1485=0,"Unestimated","Estimated"))))))</x:f>
      </x:c>
    </x:row>
    <x:row r="1486">
      <x:c r="A1486" s="12"/>
      <x:c r="B1486" s="12"/>
      <x:c r="C1486" s="12"/>
      <x:c r="D1486" s="12"/>
      <x:c r="E1486" s="14"/>
      <x:c r="F1486" s="13" t="str">
        <x:f>IF($A1486="","",IF($D1486&lt;&gt;'Team Setup'!$B$4,"Other sprint",IF($C1486="","Unassigned",IF(OR(ISNUMBER(SEARCH(",",$C1486)),ISNUMBER(SEARCH(";",$C1486))),"Multiple assignees",IF(COUNTIF('Team Setup'!$B$10:$B$34,$C1486)=1,"Matched","Unmatched")))))</x:f>
      </x:c>
      <x:c r="G1486" s="13" t="str">
        <x:f>IF($A1486="","",IF($D1486&lt;&gt;'Team Setup'!$B$4,"Other sprint",IF($E1486="","Unestimated",IF(NOT(ISNUMBER($E1486)),"Check estimate in hours",IF($E1486&lt;0,"Check estimate in hours",IF($E1486=0,"Unestimated","Estimated"))))))</x:f>
      </x:c>
    </x:row>
    <x:row r="1487">
      <x:c r="A1487" s="12"/>
      <x:c r="B1487" s="12"/>
      <x:c r="C1487" s="12"/>
      <x:c r="D1487" s="12"/>
      <x:c r="E1487" s="14"/>
      <x:c r="F1487" s="13" t="str">
        <x:f>IF($A1487="","",IF($D1487&lt;&gt;'Team Setup'!$B$4,"Other sprint",IF($C1487="","Unassigned",IF(OR(ISNUMBER(SEARCH(",",$C1487)),ISNUMBER(SEARCH(";",$C1487))),"Multiple assignees",IF(COUNTIF('Team Setup'!$B$10:$B$34,$C1487)=1,"Matched","Unmatched")))))</x:f>
      </x:c>
      <x:c r="G1487" s="13" t="str">
        <x:f>IF($A1487="","",IF($D1487&lt;&gt;'Team Setup'!$B$4,"Other sprint",IF($E1487="","Unestimated",IF(NOT(ISNUMBER($E1487)),"Check estimate in hours",IF($E1487&lt;0,"Check estimate in hours",IF($E1487=0,"Unestimated","Estimated"))))))</x:f>
      </x:c>
    </x:row>
    <x:row r="1488">
      <x:c r="A1488" s="12"/>
      <x:c r="B1488" s="12"/>
      <x:c r="C1488" s="12"/>
      <x:c r="D1488" s="12"/>
      <x:c r="E1488" s="14"/>
      <x:c r="F1488" s="13" t="str">
        <x:f>IF($A1488="","",IF($D1488&lt;&gt;'Team Setup'!$B$4,"Other sprint",IF($C1488="","Unassigned",IF(OR(ISNUMBER(SEARCH(",",$C1488)),ISNUMBER(SEARCH(";",$C1488))),"Multiple assignees",IF(COUNTIF('Team Setup'!$B$10:$B$34,$C1488)=1,"Matched","Unmatched")))))</x:f>
      </x:c>
      <x:c r="G1488" s="13" t="str">
        <x:f>IF($A1488="","",IF($D1488&lt;&gt;'Team Setup'!$B$4,"Other sprint",IF($E1488="","Unestimated",IF(NOT(ISNUMBER($E1488)),"Check estimate in hours",IF($E1488&lt;0,"Check estimate in hours",IF($E1488=0,"Unestimated","Estimated"))))))</x:f>
      </x:c>
    </x:row>
    <x:row r="1489">
      <x:c r="A1489" s="12"/>
      <x:c r="B1489" s="12"/>
      <x:c r="C1489" s="12"/>
      <x:c r="D1489" s="12"/>
      <x:c r="E1489" s="14"/>
      <x:c r="F1489" s="13" t="str">
        <x:f>IF($A1489="","",IF($D1489&lt;&gt;'Team Setup'!$B$4,"Other sprint",IF($C1489="","Unassigned",IF(OR(ISNUMBER(SEARCH(",",$C1489)),ISNUMBER(SEARCH(";",$C1489))),"Multiple assignees",IF(COUNTIF('Team Setup'!$B$10:$B$34,$C1489)=1,"Matched","Unmatched")))))</x:f>
      </x:c>
      <x:c r="G1489" s="13" t="str">
        <x:f>IF($A1489="","",IF($D1489&lt;&gt;'Team Setup'!$B$4,"Other sprint",IF($E1489="","Unestimated",IF(NOT(ISNUMBER($E1489)),"Check estimate in hours",IF($E1489&lt;0,"Check estimate in hours",IF($E1489=0,"Unestimated","Estimated"))))))</x:f>
      </x:c>
    </x:row>
    <x:row r="1490">
      <x:c r="A1490" s="12"/>
      <x:c r="B1490" s="12"/>
      <x:c r="C1490" s="12"/>
      <x:c r="D1490" s="12"/>
      <x:c r="E1490" s="14"/>
      <x:c r="F1490" s="13" t="str">
        <x:f>IF($A1490="","",IF($D1490&lt;&gt;'Team Setup'!$B$4,"Other sprint",IF($C1490="","Unassigned",IF(OR(ISNUMBER(SEARCH(",",$C1490)),ISNUMBER(SEARCH(";",$C1490))),"Multiple assignees",IF(COUNTIF('Team Setup'!$B$10:$B$34,$C1490)=1,"Matched","Unmatched")))))</x:f>
      </x:c>
      <x:c r="G1490" s="13" t="str">
        <x:f>IF($A1490="","",IF($D1490&lt;&gt;'Team Setup'!$B$4,"Other sprint",IF($E1490="","Unestimated",IF(NOT(ISNUMBER($E1490)),"Check estimate in hours",IF($E1490&lt;0,"Check estimate in hours",IF($E1490=0,"Unestimated","Estimated"))))))</x:f>
      </x:c>
    </x:row>
    <x:row r="1491">
      <x:c r="A1491" s="12"/>
      <x:c r="B1491" s="12"/>
      <x:c r="C1491" s="12"/>
      <x:c r="D1491" s="12"/>
      <x:c r="E1491" s="14"/>
      <x:c r="F1491" s="13" t="str">
        <x:f>IF($A1491="","",IF($D1491&lt;&gt;'Team Setup'!$B$4,"Other sprint",IF($C1491="","Unassigned",IF(OR(ISNUMBER(SEARCH(",",$C1491)),ISNUMBER(SEARCH(";",$C1491))),"Multiple assignees",IF(COUNTIF('Team Setup'!$B$10:$B$34,$C1491)=1,"Matched","Unmatched")))))</x:f>
      </x:c>
      <x:c r="G1491" s="13" t="str">
        <x:f>IF($A1491="","",IF($D1491&lt;&gt;'Team Setup'!$B$4,"Other sprint",IF($E1491="","Unestimated",IF(NOT(ISNUMBER($E1491)),"Check estimate in hours",IF($E1491&lt;0,"Check estimate in hours",IF($E1491=0,"Unestimated","Estimated"))))))</x:f>
      </x:c>
    </x:row>
    <x:row r="1492">
      <x:c r="A1492" s="12"/>
      <x:c r="B1492" s="12"/>
      <x:c r="C1492" s="12"/>
      <x:c r="D1492" s="12"/>
      <x:c r="E1492" s="14"/>
      <x:c r="F1492" s="13" t="str">
        <x:f>IF($A1492="","",IF($D1492&lt;&gt;'Team Setup'!$B$4,"Other sprint",IF($C1492="","Unassigned",IF(OR(ISNUMBER(SEARCH(",",$C1492)),ISNUMBER(SEARCH(";",$C1492))),"Multiple assignees",IF(COUNTIF('Team Setup'!$B$10:$B$34,$C1492)=1,"Matched","Unmatched")))))</x:f>
      </x:c>
      <x:c r="G1492" s="13" t="str">
        <x:f>IF($A1492="","",IF($D1492&lt;&gt;'Team Setup'!$B$4,"Other sprint",IF($E1492="","Unestimated",IF(NOT(ISNUMBER($E1492)),"Check estimate in hours",IF($E1492&lt;0,"Check estimate in hours",IF($E1492=0,"Unestimated","Estimated"))))))</x:f>
      </x:c>
    </x:row>
    <x:row r="1493">
      <x:c r="A1493" s="12"/>
      <x:c r="B1493" s="12"/>
      <x:c r="C1493" s="12"/>
      <x:c r="D1493" s="12"/>
      <x:c r="E1493" s="14"/>
      <x:c r="F1493" s="13" t="str">
        <x:f>IF($A1493="","",IF($D1493&lt;&gt;'Team Setup'!$B$4,"Other sprint",IF($C1493="","Unassigned",IF(OR(ISNUMBER(SEARCH(",",$C1493)),ISNUMBER(SEARCH(";",$C1493))),"Multiple assignees",IF(COUNTIF('Team Setup'!$B$10:$B$34,$C1493)=1,"Matched","Unmatched")))))</x:f>
      </x:c>
      <x:c r="G1493" s="13" t="str">
        <x:f>IF($A1493="","",IF($D1493&lt;&gt;'Team Setup'!$B$4,"Other sprint",IF($E1493="","Unestimated",IF(NOT(ISNUMBER($E1493)),"Check estimate in hours",IF($E1493&lt;0,"Check estimate in hours",IF($E1493=0,"Unestimated","Estimated"))))))</x:f>
      </x:c>
    </x:row>
    <x:row r="1494">
      <x:c r="A1494" s="12"/>
      <x:c r="B1494" s="12"/>
      <x:c r="C1494" s="12"/>
      <x:c r="D1494" s="12"/>
      <x:c r="E1494" s="14"/>
      <x:c r="F1494" s="13" t="str">
        <x:f>IF($A1494="","",IF($D1494&lt;&gt;'Team Setup'!$B$4,"Other sprint",IF($C1494="","Unassigned",IF(OR(ISNUMBER(SEARCH(",",$C1494)),ISNUMBER(SEARCH(";",$C1494))),"Multiple assignees",IF(COUNTIF('Team Setup'!$B$10:$B$34,$C1494)=1,"Matched","Unmatched")))))</x:f>
      </x:c>
      <x:c r="G1494" s="13" t="str">
        <x:f>IF($A1494="","",IF($D1494&lt;&gt;'Team Setup'!$B$4,"Other sprint",IF($E1494="","Unestimated",IF(NOT(ISNUMBER($E1494)),"Check estimate in hours",IF($E1494&lt;0,"Check estimate in hours",IF($E1494=0,"Unestimated","Estimated"))))))</x:f>
      </x:c>
    </x:row>
    <x:row r="1495">
      <x:c r="A1495" s="12"/>
      <x:c r="B1495" s="12"/>
      <x:c r="C1495" s="12"/>
      <x:c r="D1495" s="12"/>
      <x:c r="E1495" s="14"/>
      <x:c r="F1495" s="13" t="str">
        <x:f>IF($A1495="","",IF($D1495&lt;&gt;'Team Setup'!$B$4,"Other sprint",IF($C1495="","Unassigned",IF(OR(ISNUMBER(SEARCH(",",$C1495)),ISNUMBER(SEARCH(";",$C1495))),"Multiple assignees",IF(COUNTIF('Team Setup'!$B$10:$B$34,$C1495)=1,"Matched","Unmatched")))))</x:f>
      </x:c>
      <x:c r="G1495" s="13" t="str">
        <x:f>IF($A1495="","",IF($D1495&lt;&gt;'Team Setup'!$B$4,"Other sprint",IF($E1495="","Unestimated",IF(NOT(ISNUMBER($E1495)),"Check estimate in hours",IF($E1495&lt;0,"Check estimate in hours",IF($E1495=0,"Unestimated","Estimated"))))))</x:f>
      </x:c>
    </x:row>
    <x:row r="1496">
      <x:c r="A1496" s="12"/>
      <x:c r="B1496" s="12"/>
      <x:c r="C1496" s="12"/>
      <x:c r="D1496" s="12"/>
      <x:c r="E1496" s="14"/>
      <x:c r="F1496" s="13" t="str">
        <x:f>IF($A1496="","",IF($D1496&lt;&gt;'Team Setup'!$B$4,"Other sprint",IF($C1496="","Unassigned",IF(OR(ISNUMBER(SEARCH(",",$C1496)),ISNUMBER(SEARCH(";",$C1496))),"Multiple assignees",IF(COUNTIF('Team Setup'!$B$10:$B$34,$C1496)=1,"Matched","Unmatched")))))</x:f>
      </x:c>
      <x:c r="G1496" s="13" t="str">
        <x:f>IF($A1496="","",IF($D1496&lt;&gt;'Team Setup'!$B$4,"Other sprint",IF($E1496="","Unestimated",IF(NOT(ISNUMBER($E1496)),"Check estimate in hours",IF($E1496&lt;0,"Check estimate in hours",IF($E1496=0,"Unestimated","Estimated"))))))</x:f>
      </x:c>
    </x:row>
    <x:row r="1497">
      <x:c r="A1497" s="12"/>
      <x:c r="B1497" s="12"/>
      <x:c r="C1497" s="12"/>
      <x:c r="D1497" s="12"/>
      <x:c r="E1497" s="14"/>
      <x:c r="F1497" s="13" t="str">
        <x:f>IF($A1497="","",IF($D1497&lt;&gt;'Team Setup'!$B$4,"Other sprint",IF($C1497="","Unassigned",IF(OR(ISNUMBER(SEARCH(",",$C1497)),ISNUMBER(SEARCH(";",$C1497))),"Multiple assignees",IF(COUNTIF('Team Setup'!$B$10:$B$34,$C1497)=1,"Matched","Unmatched")))))</x:f>
      </x:c>
      <x:c r="G1497" s="13" t="str">
        <x:f>IF($A1497="","",IF($D1497&lt;&gt;'Team Setup'!$B$4,"Other sprint",IF($E1497="","Unestimated",IF(NOT(ISNUMBER($E1497)),"Check estimate in hours",IF($E1497&lt;0,"Check estimate in hours",IF($E1497=0,"Unestimated","Estimated"))))))</x:f>
      </x:c>
    </x:row>
    <x:row r="1498">
      <x:c r="A1498" s="12"/>
      <x:c r="B1498" s="12"/>
      <x:c r="C1498" s="12"/>
      <x:c r="D1498" s="12"/>
      <x:c r="E1498" s="14"/>
      <x:c r="F1498" s="13" t="str">
        <x:f>IF($A1498="","",IF($D1498&lt;&gt;'Team Setup'!$B$4,"Other sprint",IF($C1498="","Unassigned",IF(OR(ISNUMBER(SEARCH(",",$C1498)),ISNUMBER(SEARCH(";",$C1498))),"Multiple assignees",IF(COUNTIF('Team Setup'!$B$10:$B$34,$C1498)=1,"Matched","Unmatched")))))</x:f>
      </x:c>
      <x:c r="G1498" s="13" t="str">
        <x:f>IF($A1498="","",IF($D1498&lt;&gt;'Team Setup'!$B$4,"Other sprint",IF($E1498="","Unestimated",IF(NOT(ISNUMBER($E1498)),"Check estimate in hours",IF($E1498&lt;0,"Check estimate in hours",IF($E1498=0,"Unestimated","Estimated"))))))</x:f>
      </x:c>
    </x:row>
    <x:row r="1499">
      <x:c r="A1499" s="12"/>
      <x:c r="B1499" s="12"/>
      <x:c r="C1499" s="12"/>
      <x:c r="D1499" s="12"/>
      <x:c r="E1499" s="14"/>
      <x:c r="F1499" s="13" t="str">
        <x:f>IF($A1499="","",IF($D1499&lt;&gt;'Team Setup'!$B$4,"Other sprint",IF($C1499="","Unassigned",IF(OR(ISNUMBER(SEARCH(",",$C1499)),ISNUMBER(SEARCH(";",$C1499))),"Multiple assignees",IF(COUNTIF('Team Setup'!$B$10:$B$34,$C1499)=1,"Matched","Unmatched")))))</x:f>
      </x:c>
      <x:c r="G1499" s="13" t="str">
        <x:f>IF($A1499="","",IF($D1499&lt;&gt;'Team Setup'!$B$4,"Other sprint",IF($E1499="","Unestimated",IF(NOT(ISNUMBER($E1499)),"Check estimate in hours",IF($E1499&lt;0,"Check estimate in hours",IF($E1499=0,"Unestimated","Estimated"))))))</x:f>
      </x:c>
    </x:row>
    <x:row r="1500">
      <x:c r="A1500" s="12"/>
      <x:c r="B1500" s="12"/>
      <x:c r="C1500" s="12"/>
      <x:c r="D1500" s="12"/>
      <x:c r="E1500" s="14"/>
      <x:c r="F1500" s="13" t="str">
        <x:f>IF($A1500="","",IF($D1500&lt;&gt;'Team Setup'!$B$4,"Other sprint",IF($C1500="","Unassigned",IF(OR(ISNUMBER(SEARCH(",",$C1500)),ISNUMBER(SEARCH(";",$C1500))),"Multiple assignees",IF(COUNTIF('Team Setup'!$B$10:$B$34,$C1500)=1,"Matched","Unmatched")))))</x:f>
      </x:c>
      <x:c r="G1500" s="13" t="str">
        <x:f>IF($A1500="","",IF($D1500&lt;&gt;'Team Setup'!$B$4,"Other sprint",IF($E1500="","Unestimated",IF(NOT(ISNUMBER($E1500)),"Check estimate in hours",IF($E1500&lt;0,"Check estimate in hours",IF($E1500=0,"Unestimated","Estimated"))))))</x:f>
      </x:c>
    </x:row>
    <x:row r="1501">
      <x:c r="A1501" s="12"/>
      <x:c r="B1501" s="12"/>
      <x:c r="C1501" s="12"/>
      <x:c r="D1501" s="12"/>
      <x:c r="E1501" s="14"/>
      <x:c r="F1501" s="13" t="str">
        <x:f>IF($A1501="","",IF($D1501&lt;&gt;'Team Setup'!$B$4,"Other sprint",IF($C1501="","Unassigned",IF(OR(ISNUMBER(SEARCH(",",$C1501)),ISNUMBER(SEARCH(";",$C1501))),"Multiple assignees",IF(COUNTIF('Team Setup'!$B$10:$B$34,$C1501)=1,"Matched","Unmatched")))))</x:f>
      </x:c>
      <x:c r="G1501" s="13" t="str">
        <x:f>IF($A1501="","",IF($D1501&lt;&gt;'Team Setup'!$B$4,"Other sprint",IF($E1501="","Unestimated",IF(NOT(ISNUMBER($E1501)),"Check estimate in hours",IF($E1501&lt;0,"Check estimate in hours",IF($E1501=0,"Unestimated","Estimated"))))))</x:f>
      </x:c>
    </x:row>
    <x:row r="1502">
      <x:c r="A1502" s="12"/>
      <x:c r="B1502" s="12"/>
      <x:c r="C1502" s="12"/>
      <x:c r="D1502" s="12"/>
      <x:c r="E1502" s="14"/>
      <x:c r="F1502" s="13" t="str">
        <x:f>IF($A1502="","",IF($D1502&lt;&gt;'Team Setup'!$B$4,"Other sprint",IF($C1502="","Unassigned",IF(OR(ISNUMBER(SEARCH(",",$C1502)),ISNUMBER(SEARCH(";",$C1502))),"Multiple assignees",IF(COUNTIF('Team Setup'!$B$10:$B$34,$C1502)=1,"Matched","Unmatched")))))</x:f>
      </x:c>
      <x:c r="G1502" s="13" t="str">
        <x:f>IF($A1502="","",IF($D1502&lt;&gt;'Team Setup'!$B$4,"Other sprint",IF($E1502="","Unestimated",IF(NOT(ISNUMBER($E1502)),"Check estimate in hours",IF($E1502&lt;0,"Check estimate in hours",IF($E1502=0,"Unestimated","Estimated"))))))</x:f>
      </x:c>
    </x:row>
    <x:row r="1503">
      <x:c r="A1503" s="12"/>
      <x:c r="B1503" s="12"/>
      <x:c r="C1503" s="12"/>
      <x:c r="D1503" s="12"/>
      <x:c r="E1503" s="14"/>
      <x:c r="F1503" s="13" t="str">
        <x:f>IF($A1503="","",IF($D1503&lt;&gt;'Team Setup'!$B$4,"Other sprint",IF($C1503="","Unassigned",IF(OR(ISNUMBER(SEARCH(",",$C1503)),ISNUMBER(SEARCH(";",$C1503))),"Multiple assignees",IF(COUNTIF('Team Setup'!$B$10:$B$34,$C1503)=1,"Matched","Unmatched")))))</x:f>
      </x:c>
      <x:c r="G1503" s="13" t="str">
        <x:f>IF($A1503="","",IF($D1503&lt;&gt;'Team Setup'!$B$4,"Other sprint",IF($E1503="","Unestimated",IF(NOT(ISNUMBER($E1503)),"Check estimate in hours",IF($E1503&lt;0,"Check estimate in hours",IF($E1503=0,"Unestimated","Estimated"))))))</x:f>
      </x:c>
    </x:row>
    <x:row r="1504">
      <x:c r="A1504" s="12"/>
      <x:c r="B1504" s="12"/>
      <x:c r="C1504" s="12"/>
      <x:c r="D1504" s="12"/>
      <x:c r="E1504" s="14"/>
      <x:c r="F1504" s="13" t="str">
        <x:f>IF($A1504="","",IF($D1504&lt;&gt;'Team Setup'!$B$4,"Other sprint",IF($C1504="","Unassigned",IF(OR(ISNUMBER(SEARCH(",",$C1504)),ISNUMBER(SEARCH(";",$C1504))),"Multiple assignees",IF(COUNTIF('Team Setup'!$B$10:$B$34,$C1504)=1,"Matched","Unmatched")))))</x:f>
      </x:c>
      <x:c r="G1504" s="13" t="str">
        <x:f>IF($A1504="","",IF($D1504&lt;&gt;'Team Setup'!$B$4,"Other sprint",IF($E1504="","Unestimated",IF(NOT(ISNUMBER($E1504)),"Check estimate in hours",IF($E1504&lt;0,"Check estimate in hours",IF($E1504=0,"Unestimated","Estimated"))))))</x:f>
      </x:c>
    </x:row>
    <x:row r="1505">
      <x:c r="A1505" s="12"/>
      <x:c r="B1505" s="12"/>
      <x:c r="C1505" s="12"/>
      <x:c r="D1505" s="12"/>
      <x:c r="E1505" s="14"/>
      <x:c r="F1505" s="13" t="str">
        <x:f>IF($A1505="","",IF($D1505&lt;&gt;'Team Setup'!$B$4,"Other sprint",IF($C1505="","Unassigned",IF(OR(ISNUMBER(SEARCH(",",$C1505)),ISNUMBER(SEARCH(";",$C1505))),"Multiple assignees",IF(COUNTIF('Team Setup'!$B$10:$B$34,$C1505)=1,"Matched","Unmatched")))))</x:f>
      </x:c>
      <x:c r="G1505" s="13" t="str">
        <x:f>IF($A1505="","",IF($D1505&lt;&gt;'Team Setup'!$B$4,"Other sprint",IF($E1505="","Unestimated",IF(NOT(ISNUMBER($E1505)),"Check estimate in hours",IF($E1505&lt;0,"Check estimate in hours",IF($E1505=0,"Unestimated","Estimated"))))))</x:f>
      </x:c>
    </x:row>
    <x:row r="1506">
      <x:c r="A1506" s="12"/>
      <x:c r="B1506" s="12"/>
      <x:c r="C1506" s="12"/>
      <x:c r="D1506" s="12"/>
      <x:c r="E1506" s="14"/>
      <x:c r="F1506" s="13" t="str">
        <x:f>IF($A1506="","",IF($D1506&lt;&gt;'Team Setup'!$B$4,"Other sprint",IF($C1506="","Unassigned",IF(OR(ISNUMBER(SEARCH(",",$C1506)),ISNUMBER(SEARCH(";",$C1506))),"Multiple assignees",IF(COUNTIF('Team Setup'!$B$10:$B$34,$C1506)=1,"Matched","Unmatched")))))</x:f>
      </x:c>
      <x:c r="G1506" s="13" t="str">
        <x:f>IF($A1506="","",IF($D1506&lt;&gt;'Team Setup'!$B$4,"Other sprint",IF($E1506="","Unestimated",IF(NOT(ISNUMBER($E1506)),"Check estimate in hours",IF($E1506&lt;0,"Check estimate in hours",IF($E1506=0,"Unestimated","Estimated"))))))</x:f>
      </x:c>
    </x:row>
    <x:row r="1507">
      <x:c r="A1507" s="12"/>
      <x:c r="B1507" s="12"/>
      <x:c r="C1507" s="12"/>
      <x:c r="D1507" s="12"/>
      <x:c r="E1507" s="14"/>
      <x:c r="F1507" s="13" t="str">
        <x:f>IF($A1507="","",IF($D1507&lt;&gt;'Team Setup'!$B$4,"Other sprint",IF($C1507="","Unassigned",IF(OR(ISNUMBER(SEARCH(",",$C1507)),ISNUMBER(SEARCH(";",$C1507))),"Multiple assignees",IF(COUNTIF('Team Setup'!$B$10:$B$34,$C1507)=1,"Matched","Unmatched")))))</x:f>
      </x:c>
      <x:c r="G1507" s="13" t="str">
        <x:f>IF($A1507="","",IF($D1507&lt;&gt;'Team Setup'!$B$4,"Other sprint",IF($E1507="","Unestimated",IF(NOT(ISNUMBER($E1507)),"Check estimate in hours",IF($E1507&lt;0,"Check estimate in hours",IF($E1507=0,"Unestimated","Estimated"))))))</x:f>
      </x:c>
    </x:row>
    <x:row r="1508">
      <x:c r="A1508" s="12"/>
      <x:c r="B1508" s="12"/>
      <x:c r="C1508" s="12"/>
      <x:c r="D1508" s="12"/>
      <x:c r="E1508" s="14"/>
      <x:c r="F1508" s="13" t="str">
        <x:f>IF($A1508="","",IF($D1508&lt;&gt;'Team Setup'!$B$4,"Other sprint",IF($C1508="","Unassigned",IF(OR(ISNUMBER(SEARCH(",",$C1508)),ISNUMBER(SEARCH(";",$C1508))),"Multiple assignees",IF(COUNTIF('Team Setup'!$B$10:$B$34,$C1508)=1,"Matched","Unmatched")))))</x:f>
      </x:c>
      <x:c r="G1508" s="13" t="str">
        <x:f>IF($A1508="","",IF($D1508&lt;&gt;'Team Setup'!$B$4,"Other sprint",IF($E1508="","Unestimated",IF(NOT(ISNUMBER($E1508)),"Check estimate in hours",IF($E1508&lt;0,"Check estimate in hours",IF($E1508=0,"Unestimated","Estimated"))))))</x:f>
      </x:c>
    </x:row>
    <x:row r="1509">
      <x:c r="A1509" s="12"/>
      <x:c r="B1509" s="12"/>
      <x:c r="C1509" s="12"/>
      <x:c r="D1509" s="12"/>
      <x:c r="E1509" s="14"/>
      <x:c r="F1509" s="13" t="str">
        <x:f>IF($A1509="","",IF($D1509&lt;&gt;'Team Setup'!$B$4,"Other sprint",IF($C1509="","Unassigned",IF(OR(ISNUMBER(SEARCH(",",$C1509)),ISNUMBER(SEARCH(";",$C1509))),"Multiple assignees",IF(COUNTIF('Team Setup'!$B$10:$B$34,$C1509)=1,"Matched","Unmatched")))))</x:f>
      </x:c>
      <x:c r="G1509" s="13" t="str">
        <x:f>IF($A1509="","",IF($D1509&lt;&gt;'Team Setup'!$B$4,"Other sprint",IF($E1509="","Unestimated",IF(NOT(ISNUMBER($E1509)),"Check estimate in hours",IF($E1509&lt;0,"Check estimate in hours",IF($E1509=0,"Unestimated","Estimated"))))))</x:f>
      </x:c>
    </x:row>
    <x:row r="1510">
      <x:c r="A1510" s="12"/>
      <x:c r="B1510" s="12"/>
      <x:c r="C1510" s="12"/>
      <x:c r="D1510" s="12"/>
      <x:c r="E1510" s="14"/>
      <x:c r="F1510" s="13" t="str">
        <x:f>IF($A1510="","",IF($D1510&lt;&gt;'Team Setup'!$B$4,"Other sprint",IF($C1510="","Unassigned",IF(OR(ISNUMBER(SEARCH(",",$C1510)),ISNUMBER(SEARCH(";",$C1510))),"Multiple assignees",IF(COUNTIF('Team Setup'!$B$10:$B$34,$C1510)=1,"Matched","Unmatched")))))</x:f>
      </x:c>
      <x:c r="G1510" s="13" t="str">
        <x:f>IF($A1510="","",IF($D1510&lt;&gt;'Team Setup'!$B$4,"Other sprint",IF($E1510="","Unestimated",IF(NOT(ISNUMBER($E1510)),"Check estimate in hours",IF($E1510&lt;0,"Check estimate in hours",IF($E1510=0,"Unestimated","Estimated"))))))</x:f>
      </x:c>
    </x:row>
    <x:row r="1511">
      <x:c r="A1511" s="12"/>
      <x:c r="B1511" s="12"/>
      <x:c r="C1511" s="12"/>
      <x:c r="D1511" s="12"/>
      <x:c r="E1511" s="14"/>
      <x:c r="F1511" s="13" t="str">
        <x:f>IF($A1511="","",IF($D1511&lt;&gt;'Team Setup'!$B$4,"Other sprint",IF($C1511="","Unassigned",IF(OR(ISNUMBER(SEARCH(",",$C1511)),ISNUMBER(SEARCH(";",$C1511))),"Multiple assignees",IF(COUNTIF('Team Setup'!$B$10:$B$34,$C1511)=1,"Matched","Unmatched")))))</x:f>
      </x:c>
      <x:c r="G1511" s="13" t="str">
        <x:f>IF($A1511="","",IF($D1511&lt;&gt;'Team Setup'!$B$4,"Other sprint",IF($E1511="","Unestimated",IF(NOT(ISNUMBER($E1511)),"Check estimate in hours",IF($E1511&lt;0,"Check estimate in hours",IF($E1511=0,"Unestimated","Estimated"))))))</x:f>
      </x:c>
    </x:row>
    <x:row r="1512">
      <x:c r="A1512" s="12"/>
      <x:c r="B1512" s="12"/>
      <x:c r="C1512" s="12"/>
      <x:c r="D1512" s="12"/>
      <x:c r="E1512" s="14"/>
      <x:c r="F1512" s="13" t="str">
        <x:f>IF($A1512="","",IF($D1512&lt;&gt;'Team Setup'!$B$4,"Other sprint",IF($C1512="","Unassigned",IF(OR(ISNUMBER(SEARCH(",",$C1512)),ISNUMBER(SEARCH(";",$C1512))),"Multiple assignees",IF(COUNTIF('Team Setup'!$B$10:$B$34,$C1512)=1,"Matched","Unmatched")))))</x:f>
      </x:c>
      <x:c r="G1512" s="13" t="str">
        <x:f>IF($A1512="","",IF($D1512&lt;&gt;'Team Setup'!$B$4,"Other sprint",IF($E1512="","Unestimated",IF(NOT(ISNUMBER($E1512)),"Check estimate in hours",IF($E1512&lt;0,"Check estimate in hours",IF($E1512=0,"Unestimated","Estimated"))))))</x:f>
      </x:c>
    </x:row>
    <x:row r="1513">
      <x:c r="A1513" s="12"/>
      <x:c r="B1513" s="12"/>
      <x:c r="C1513" s="12"/>
      <x:c r="D1513" s="12"/>
      <x:c r="E1513" s="14"/>
      <x:c r="F1513" s="13" t="str">
        <x:f>IF($A1513="","",IF($D1513&lt;&gt;'Team Setup'!$B$4,"Other sprint",IF($C1513="","Unassigned",IF(OR(ISNUMBER(SEARCH(",",$C1513)),ISNUMBER(SEARCH(";",$C1513))),"Multiple assignees",IF(COUNTIF('Team Setup'!$B$10:$B$34,$C1513)=1,"Matched","Unmatched")))))</x:f>
      </x:c>
      <x:c r="G1513" s="13" t="str">
        <x:f>IF($A1513="","",IF($D1513&lt;&gt;'Team Setup'!$B$4,"Other sprint",IF($E1513="","Unestimated",IF(NOT(ISNUMBER($E1513)),"Check estimate in hours",IF($E1513&lt;0,"Check estimate in hours",IF($E1513=0,"Unestimated","Estimated"))))))</x:f>
      </x:c>
    </x:row>
    <x:row r="1514">
      <x:c r="A1514" s="12"/>
      <x:c r="B1514" s="12"/>
      <x:c r="C1514" s="12"/>
      <x:c r="D1514" s="12"/>
      <x:c r="E1514" s="14"/>
      <x:c r="F1514" s="13" t="str">
        <x:f>IF($A1514="","",IF($D1514&lt;&gt;'Team Setup'!$B$4,"Other sprint",IF($C1514="","Unassigned",IF(OR(ISNUMBER(SEARCH(",",$C1514)),ISNUMBER(SEARCH(";",$C1514))),"Multiple assignees",IF(COUNTIF('Team Setup'!$B$10:$B$34,$C1514)=1,"Matched","Unmatched")))))</x:f>
      </x:c>
      <x:c r="G1514" s="13" t="str">
        <x:f>IF($A1514="","",IF($D1514&lt;&gt;'Team Setup'!$B$4,"Other sprint",IF($E1514="","Unestimated",IF(NOT(ISNUMBER($E1514)),"Check estimate in hours",IF($E1514&lt;0,"Check estimate in hours",IF($E1514=0,"Unestimated","Estimated"))))))</x:f>
      </x:c>
    </x:row>
    <x:row r="1515">
      <x:c r="A1515" s="12"/>
      <x:c r="B1515" s="12"/>
      <x:c r="C1515" s="12"/>
      <x:c r="D1515" s="12"/>
      <x:c r="E1515" s="14"/>
      <x:c r="F1515" s="13" t="str">
        <x:f>IF($A1515="","",IF($D1515&lt;&gt;'Team Setup'!$B$4,"Other sprint",IF($C1515="","Unassigned",IF(OR(ISNUMBER(SEARCH(",",$C1515)),ISNUMBER(SEARCH(";",$C1515))),"Multiple assignees",IF(COUNTIF('Team Setup'!$B$10:$B$34,$C1515)=1,"Matched","Unmatched")))))</x:f>
      </x:c>
      <x:c r="G1515" s="13" t="str">
        <x:f>IF($A1515="","",IF($D1515&lt;&gt;'Team Setup'!$B$4,"Other sprint",IF($E1515="","Unestimated",IF(NOT(ISNUMBER($E1515)),"Check estimate in hours",IF($E1515&lt;0,"Check estimate in hours",IF($E1515=0,"Unestimated","Estimated"))))))</x:f>
      </x:c>
    </x:row>
    <x:row r="1516">
      <x:c r="A1516" s="12"/>
      <x:c r="B1516" s="12"/>
      <x:c r="C1516" s="12"/>
      <x:c r="D1516" s="12"/>
      <x:c r="E1516" s="14"/>
      <x:c r="F1516" s="13" t="str">
        <x:f>IF($A1516="","",IF($D1516&lt;&gt;'Team Setup'!$B$4,"Other sprint",IF($C1516="","Unassigned",IF(OR(ISNUMBER(SEARCH(",",$C1516)),ISNUMBER(SEARCH(";",$C1516))),"Multiple assignees",IF(COUNTIF('Team Setup'!$B$10:$B$34,$C1516)=1,"Matched","Unmatched")))))</x:f>
      </x:c>
      <x:c r="G1516" s="13" t="str">
        <x:f>IF($A1516="","",IF($D1516&lt;&gt;'Team Setup'!$B$4,"Other sprint",IF($E1516="","Unestimated",IF(NOT(ISNUMBER($E1516)),"Check estimate in hours",IF($E1516&lt;0,"Check estimate in hours",IF($E1516=0,"Unestimated","Estimated"))))))</x:f>
      </x:c>
    </x:row>
    <x:row r="1517">
      <x:c r="A1517" s="12"/>
      <x:c r="B1517" s="12"/>
      <x:c r="C1517" s="12"/>
      <x:c r="D1517" s="12"/>
      <x:c r="E1517" s="14"/>
      <x:c r="F1517" s="13" t="str">
        <x:f>IF($A1517="","",IF($D1517&lt;&gt;'Team Setup'!$B$4,"Other sprint",IF($C1517="","Unassigned",IF(OR(ISNUMBER(SEARCH(",",$C1517)),ISNUMBER(SEARCH(";",$C1517))),"Multiple assignees",IF(COUNTIF('Team Setup'!$B$10:$B$34,$C1517)=1,"Matched","Unmatched")))))</x:f>
      </x:c>
      <x:c r="G1517" s="13" t="str">
        <x:f>IF($A1517="","",IF($D1517&lt;&gt;'Team Setup'!$B$4,"Other sprint",IF($E1517="","Unestimated",IF(NOT(ISNUMBER($E1517)),"Check estimate in hours",IF($E1517&lt;0,"Check estimate in hours",IF($E1517=0,"Unestimated","Estimated"))))))</x:f>
      </x:c>
    </x:row>
    <x:row r="1518">
      <x:c r="A1518" s="12"/>
      <x:c r="B1518" s="12"/>
      <x:c r="C1518" s="12"/>
      <x:c r="D1518" s="12"/>
      <x:c r="E1518" s="14"/>
      <x:c r="F1518" s="13" t="str">
        <x:f>IF($A1518="","",IF($D1518&lt;&gt;'Team Setup'!$B$4,"Other sprint",IF($C1518="","Unassigned",IF(OR(ISNUMBER(SEARCH(",",$C1518)),ISNUMBER(SEARCH(";",$C1518))),"Multiple assignees",IF(COUNTIF('Team Setup'!$B$10:$B$34,$C1518)=1,"Matched","Unmatched")))))</x:f>
      </x:c>
      <x:c r="G1518" s="13" t="str">
        <x:f>IF($A1518="","",IF($D1518&lt;&gt;'Team Setup'!$B$4,"Other sprint",IF($E1518="","Unestimated",IF(NOT(ISNUMBER($E1518)),"Check estimate in hours",IF($E1518&lt;0,"Check estimate in hours",IF($E1518=0,"Unestimated","Estimated"))))))</x:f>
      </x:c>
    </x:row>
    <x:row r="1519">
      <x:c r="A1519" s="12"/>
      <x:c r="B1519" s="12"/>
      <x:c r="C1519" s="12"/>
      <x:c r="D1519" s="12"/>
      <x:c r="E1519" s="14"/>
      <x:c r="F1519" s="13" t="str">
        <x:f>IF($A1519="","",IF($D1519&lt;&gt;'Team Setup'!$B$4,"Other sprint",IF($C1519="","Unassigned",IF(OR(ISNUMBER(SEARCH(",",$C1519)),ISNUMBER(SEARCH(";",$C1519))),"Multiple assignees",IF(COUNTIF('Team Setup'!$B$10:$B$34,$C1519)=1,"Matched","Unmatched")))))</x:f>
      </x:c>
      <x:c r="G1519" s="13" t="str">
        <x:f>IF($A1519="","",IF($D1519&lt;&gt;'Team Setup'!$B$4,"Other sprint",IF($E1519="","Unestimated",IF(NOT(ISNUMBER($E1519)),"Check estimate in hours",IF($E1519&lt;0,"Check estimate in hours",IF($E1519=0,"Unestimated","Estimated"))))))</x:f>
      </x:c>
    </x:row>
    <x:row r="1520">
      <x:c r="A1520" s="12"/>
      <x:c r="B1520" s="12"/>
      <x:c r="C1520" s="12"/>
      <x:c r="D1520" s="12"/>
      <x:c r="E1520" s="14"/>
      <x:c r="F1520" s="13" t="str">
        <x:f>IF($A1520="","",IF($D1520&lt;&gt;'Team Setup'!$B$4,"Other sprint",IF($C1520="","Unassigned",IF(OR(ISNUMBER(SEARCH(",",$C1520)),ISNUMBER(SEARCH(";",$C1520))),"Multiple assignees",IF(COUNTIF('Team Setup'!$B$10:$B$34,$C1520)=1,"Matched","Unmatched")))))</x:f>
      </x:c>
      <x:c r="G1520" s="13" t="str">
        <x:f>IF($A1520="","",IF($D1520&lt;&gt;'Team Setup'!$B$4,"Other sprint",IF($E1520="","Unestimated",IF(NOT(ISNUMBER($E1520)),"Check estimate in hours",IF($E1520&lt;0,"Check estimate in hours",IF($E1520=0,"Unestimated","Estimated"))))))</x:f>
      </x:c>
    </x:row>
    <x:row r="1521">
      <x:c r="A1521" s="12"/>
      <x:c r="B1521" s="12"/>
      <x:c r="C1521" s="12"/>
      <x:c r="D1521" s="12"/>
      <x:c r="E1521" s="14"/>
      <x:c r="F1521" s="13" t="str">
        <x:f>IF($A1521="","",IF($D1521&lt;&gt;'Team Setup'!$B$4,"Other sprint",IF($C1521="","Unassigned",IF(OR(ISNUMBER(SEARCH(",",$C1521)),ISNUMBER(SEARCH(";",$C1521))),"Multiple assignees",IF(COUNTIF('Team Setup'!$B$10:$B$34,$C1521)=1,"Matched","Unmatched")))))</x:f>
      </x:c>
      <x:c r="G1521" s="13" t="str">
        <x:f>IF($A1521="","",IF($D1521&lt;&gt;'Team Setup'!$B$4,"Other sprint",IF($E1521="","Unestimated",IF(NOT(ISNUMBER($E1521)),"Check estimate in hours",IF($E1521&lt;0,"Check estimate in hours",IF($E1521=0,"Unestimated","Estimated"))))))</x:f>
      </x:c>
    </x:row>
    <x:row r="1522">
      <x:c r="A1522" s="12"/>
      <x:c r="B1522" s="12"/>
      <x:c r="C1522" s="12"/>
      <x:c r="D1522" s="12"/>
      <x:c r="E1522" s="14"/>
      <x:c r="F1522" s="13" t="str">
        <x:f>IF($A1522="","",IF($D1522&lt;&gt;'Team Setup'!$B$4,"Other sprint",IF($C1522="","Unassigned",IF(OR(ISNUMBER(SEARCH(",",$C1522)),ISNUMBER(SEARCH(";",$C1522))),"Multiple assignees",IF(COUNTIF('Team Setup'!$B$10:$B$34,$C1522)=1,"Matched","Unmatched")))))</x:f>
      </x:c>
      <x:c r="G1522" s="13" t="str">
        <x:f>IF($A1522="","",IF($D1522&lt;&gt;'Team Setup'!$B$4,"Other sprint",IF($E1522="","Unestimated",IF(NOT(ISNUMBER($E1522)),"Check estimate in hours",IF($E1522&lt;0,"Check estimate in hours",IF($E1522=0,"Unestimated","Estimated"))))))</x:f>
      </x:c>
    </x:row>
    <x:row r="1523">
      <x:c r="A1523" s="12"/>
      <x:c r="B1523" s="12"/>
      <x:c r="C1523" s="12"/>
      <x:c r="D1523" s="12"/>
      <x:c r="E1523" s="14"/>
      <x:c r="F1523" s="13" t="str">
        <x:f>IF($A1523="","",IF($D1523&lt;&gt;'Team Setup'!$B$4,"Other sprint",IF($C1523="","Unassigned",IF(OR(ISNUMBER(SEARCH(",",$C1523)),ISNUMBER(SEARCH(";",$C1523))),"Multiple assignees",IF(COUNTIF('Team Setup'!$B$10:$B$34,$C1523)=1,"Matched","Unmatched")))))</x:f>
      </x:c>
      <x:c r="G1523" s="13" t="str">
        <x:f>IF($A1523="","",IF($D1523&lt;&gt;'Team Setup'!$B$4,"Other sprint",IF($E1523="","Unestimated",IF(NOT(ISNUMBER($E1523)),"Check estimate in hours",IF($E1523&lt;0,"Check estimate in hours",IF($E1523=0,"Unestimated","Estimated"))))))</x:f>
      </x:c>
    </x:row>
    <x:row r="1524">
      <x:c r="A1524" s="12"/>
      <x:c r="B1524" s="12"/>
      <x:c r="C1524" s="12"/>
      <x:c r="D1524" s="12"/>
      <x:c r="E1524" s="14"/>
      <x:c r="F1524" s="13" t="str">
        <x:f>IF($A1524="","",IF($D1524&lt;&gt;'Team Setup'!$B$4,"Other sprint",IF($C1524="","Unassigned",IF(OR(ISNUMBER(SEARCH(",",$C1524)),ISNUMBER(SEARCH(";",$C1524))),"Multiple assignees",IF(COUNTIF('Team Setup'!$B$10:$B$34,$C1524)=1,"Matched","Unmatched")))))</x:f>
      </x:c>
      <x:c r="G1524" s="13" t="str">
        <x:f>IF($A1524="","",IF($D1524&lt;&gt;'Team Setup'!$B$4,"Other sprint",IF($E1524="","Unestimated",IF(NOT(ISNUMBER($E1524)),"Check estimate in hours",IF($E1524&lt;0,"Check estimate in hours",IF($E1524=0,"Unestimated","Estimated"))))))</x:f>
      </x:c>
    </x:row>
    <x:row r="1525">
      <x:c r="A1525" s="12"/>
      <x:c r="B1525" s="12"/>
      <x:c r="C1525" s="12"/>
      <x:c r="D1525" s="12"/>
      <x:c r="E1525" s="14"/>
      <x:c r="F1525" s="13" t="str">
        <x:f>IF($A1525="","",IF($D1525&lt;&gt;'Team Setup'!$B$4,"Other sprint",IF($C1525="","Unassigned",IF(OR(ISNUMBER(SEARCH(",",$C1525)),ISNUMBER(SEARCH(";",$C1525))),"Multiple assignees",IF(COUNTIF('Team Setup'!$B$10:$B$34,$C1525)=1,"Matched","Unmatched")))))</x:f>
      </x:c>
      <x:c r="G1525" s="13" t="str">
        <x:f>IF($A1525="","",IF($D1525&lt;&gt;'Team Setup'!$B$4,"Other sprint",IF($E1525="","Unestimated",IF(NOT(ISNUMBER($E1525)),"Check estimate in hours",IF($E1525&lt;0,"Check estimate in hours",IF($E1525=0,"Unestimated","Estimated"))))))</x:f>
      </x:c>
    </x:row>
    <x:row r="1526">
      <x:c r="A1526" s="12"/>
      <x:c r="B1526" s="12"/>
      <x:c r="C1526" s="12"/>
      <x:c r="D1526" s="12"/>
      <x:c r="E1526" s="14"/>
      <x:c r="F1526" s="13" t="str">
        <x:f>IF($A1526="","",IF($D1526&lt;&gt;'Team Setup'!$B$4,"Other sprint",IF($C1526="","Unassigned",IF(OR(ISNUMBER(SEARCH(",",$C1526)),ISNUMBER(SEARCH(";",$C1526))),"Multiple assignees",IF(COUNTIF('Team Setup'!$B$10:$B$34,$C1526)=1,"Matched","Unmatched")))))</x:f>
      </x:c>
      <x:c r="G1526" s="13" t="str">
        <x:f>IF($A1526="","",IF($D1526&lt;&gt;'Team Setup'!$B$4,"Other sprint",IF($E1526="","Unestimated",IF(NOT(ISNUMBER($E1526)),"Check estimate in hours",IF($E1526&lt;0,"Check estimate in hours",IF($E1526=0,"Unestimated","Estimated"))))))</x:f>
      </x:c>
    </x:row>
    <x:row r="1527">
      <x:c r="A1527" s="12"/>
      <x:c r="B1527" s="12"/>
      <x:c r="C1527" s="12"/>
      <x:c r="D1527" s="12"/>
      <x:c r="E1527" s="14"/>
      <x:c r="F1527" s="13" t="str">
        <x:f>IF($A1527="","",IF($D1527&lt;&gt;'Team Setup'!$B$4,"Other sprint",IF($C1527="","Unassigned",IF(OR(ISNUMBER(SEARCH(",",$C1527)),ISNUMBER(SEARCH(";",$C1527))),"Multiple assignees",IF(COUNTIF('Team Setup'!$B$10:$B$34,$C1527)=1,"Matched","Unmatched")))))</x:f>
      </x:c>
      <x:c r="G1527" s="13" t="str">
        <x:f>IF($A1527="","",IF($D1527&lt;&gt;'Team Setup'!$B$4,"Other sprint",IF($E1527="","Unestimated",IF(NOT(ISNUMBER($E1527)),"Check estimate in hours",IF($E1527&lt;0,"Check estimate in hours",IF($E1527=0,"Unestimated","Estimated"))))))</x:f>
      </x:c>
    </x:row>
    <x:row r="1528">
      <x:c r="A1528" s="12"/>
      <x:c r="B1528" s="12"/>
      <x:c r="C1528" s="12"/>
      <x:c r="D1528" s="12"/>
      <x:c r="E1528" s="14"/>
      <x:c r="F1528" s="13" t="str">
        <x:f>IF($A1528="","",IF($D1528&lt;&gt;'Team Setup'!$B$4,"Other sprint",IF($C1528="","Unassigned",IF(OR(ISNUMBER(SEARCH(",",$C1528)),ISNUMBER(SEARCH(";",$C1528))),"Multiple assignees",IF(COUNTIF('Team Setup'!$B$10:$B$34,$C1528)=1,"Matched","Unmatched")))))</x:f>
      </x:c>
      <x:c r="G1528" s="13" t="str">
        <x:f>IF($A1528="","",IF($D1528&lt;&gt;'Team Setup'!$B$4,"Other sprint",IF($E1528="","Unestimated",IF(NOT(ISNUMBER($E1528)),"Check estimate in hours",IF($E1528&lt;0,"Check estimate in hours",IF($E1528=0,"Unestimated","Estimated"))))))</x:f>
      </x:c>
    </x:row>
    <x:row r="1529">
      <x:c r="A1529" s="12"/>
      <x:c r="B1529" s="12"/>
      <x:c r="C1529" s="12"/>
      <x:c r="D1529" s="12"/>
      <x:c r="E1529" s="14"/>
      <x:c r="F1529" s="13" t="str">
        <x:f>IF($A1529="","",IF($D1529&lt;&gt;'Team Setup'!$B$4,"Other sprint",IF($C1529="","Unassigned",IF(OR(ISNUMBER(SEARCH(",",$C1529)),ISNUMBER(SEARCH(";",$C1529))),"Multiple assignees",IF(COUNTIF('Team Setup'!$B$10:$B$34,$C1529)=1,"Matched","Unmatched")))))</x:f>
      </x:c>
      <x:c r="G1529" s="13" t="str">
        <x:f>IF($A1529="","",IF($D1529&lt;&gt;'Team Setup'!$B$4,"Other sprint",IF($E1529="","Unestimated",IF(NOT(ISNUMBER($E1529)),"Check estimate in hours",IF($E1529&lt;0,"Check estimate in hours",IF($E1529=0,"Unestimated","Estimated"))))))</x:f>
      </x:c>
    </x:row>
    <x:row r="1530">
      <x:c r="A1530" s="12"/>
      <x:c r="B1530" s="12"/>
      <x:c r="C1530" s="12"/>
      <x:c r="D1530" s="12"/>
      <x:c r="E1530" s="14"/>
      <x:c r="F1530" s="13" t="str">
        <x:f>IF($A1530="","",IF($D1530&lt;&gt;'Team Setup'!$B$4,"Other sprint",IF($C1530="","Unassigned",IF(OR(ISNUMBER(SEARCH(",",$C1530)),ISNUMBER(SEARCH(";",$C1530))),"Multiple assignees",IF(COUNTIF('Team Setup'!$B$10:$B$34,$C1530)=1,"Matched","Unmatched")))))</x:f>
      </x:c>
      <x:c r="G1530" s="13" t="str">
        <x:f>IF($A1530="","",IF($D1530&lt;&gt;'Team Setup'!$B$4,"Other sprint",IF($E1530="","Unestimated",IF(NOT(ISNUMBER($E1530)),"Check estimate in hours",IF($E1530&lt;0,"Check estimate in hours",IF($E1530=0,"Unestimated","Estimated"))))))</x:f>
      </x:c>
    </x:row>
    <x:row r="1531">
      <x:c r="A1531" s="12"/>
      <x:c r="B1531" s="12"/>
      <x:c r="C1531" s="12"/>
      <x:c r="D1531" s="12"/>
      <x:c r="E1531" s="14"/>
      <x:c r="F1531" s="13" t="str">
        <x:f>IF($A1531="","",IF($D1531&lt;&gt;'Team Setup'!$B$4,"Other sprint",IF($C1531="","Unassigned",IF(OR(ISNUMBER(SEARCH(",",$C1531)),ISNUMBER(SEARCH(";",$C1531))),"Multiple assignees",IF(COUNTIF('Team Setup'!$B$10:$B$34,$C1531)=1,"Matched","Unmatched")))))</x:f>
      </x:c>
      <x:c r="G1531" s="13" t="str">
        <x:f>IF($A1531="","",IF($D1531&lt;&gt;'Team Setup'!$B$4,"Other sprint",IF($E1531="","Unestimated",IF(NOT(ISNUMBER($E1531)),"Check estimate in hours",IF($E1531&lt;0,"Check estimate in hours",IF($E1531=0,"Unestimated","Estimated"))))))</x:f>
      </x:c>
    </x:row>
    <x:row r="1532">
      <x:c r="A1532" s="12"/>
      <x:c r="B1532" s="12"/>
      <x:c r="C1532" s="12"/>
      <x:c r="D1532" s="12"/>
      <x:c r="E1532" s="14"/>
      <x:c r="F1532" s="13" t="str">
        <x:f>IF($A1532="","",IF($D1532&lt;&gt;'Team Setup'!$B$4,"Other sprint",IF($C1532="","Unassigned",IF(OR(ISNUMBER(SEARCH(",",$C1532)),ISNUMBER(SEARCH(";",$C1532))),"Multiple assignees",IF(COUNTIF('Team Setup'!$B$10:$B$34,$C1532)=1,"Matched","Unmatched")))))</x:f>
      </x:c>
      <x:c r="G1532" s="13" t="str">
        <x:f>IF($A1532="","",IF($D1532&lt;&gt;'Team Setup'!$B$4,"Other sprint",IF($E1532="","Unestimated",IF(NOT(ISNUMBER($E1532)),"Check estimate in hours",IF($E1532&lt;0,"Check estimate in hours",IF($E1532=0,"Unestimated","Estimated"))))))</x:f>
      </x:c>
    </x:row>
    <x:row r="1533">
      <x:c r="A1533" s="12"/>
      <x:c r="B1533" s="12"/>
      <x:c r="C1533" s="12"/>
      <x:c r="D1533" s="12"/>
      <x:c r="E1533" s="14"/>
      <x:c r="F1533" s="13" t="str">
        <x:f>IF($A1533="","",IF($D1533&lt;&gt;'Team Setup'!$B$4,"Other sprint",IF($C1533="","Unassigned",IF(OR(ISNUMBER(SEARCH(",",$C1533)),ISNUMBER(SEARCH(";",$C1533))),"Multiple assignees",IF(COUNTIF('Team Setup'!$B$10:$B$34,$C1533)=1,"Matched","Unmatched")))))</x:f>
      </x:c>
      <x:c r="G1533" s="13" t="str">
        <x:f>IF($A1533="","",IF($D1533&lt;&gt;'Team Setup'!$B$4,"Other sprint",IF($E1533="","Unestimated",IF(NOT(ISNUMBER($E1533)),"Check estimate in hours",IF($E1533&lt;0,"Check estimate in hours",IF($E1533=0,"Unestimated","Estimated"))))))</x:f>
      </x:c>
    </x:row>
    <x:row r="1534">
      <x:c r="A1534" s="12"/>
      <x:c r="B1534" s="12"/>
      <x:c r="C1534" s="12"/>
      <x:c r="D1534" s="12"/>
      <x:c r="E1534" s="14"/>
      <x:c r="F1534" s="13" t="str">
        <x:f>IF($A1534="","",IF($D1534&lt;&gt;'Team Setup'!$B$4,"Other sprint",IF($C1534="","Unassigned",IF(OR(ISNUMBER(SEARCH(",",$C1534)),ISNUMBER(SEARCH(";",$C1534))),"Multiple assignees",IF(COUNTIF('Team Setup'!$B$10:$B$34,$C1534)=1,"Matched","Unmatched")))))</x:f>
      </x:c>
      <x:c r="G1534" s="13" t="str">
        <x:f>IF($A1534="","",IF($D1534&lt;&gt;'Team Setup'!$B$4,"Other sprint",IF($E1534="","Unestimated",IF(NOT(ISNUMBER($E1534)),"Check estimate in hours",IF($E1534&lt;0,"Check estimate in hours",IF($E1534=0,"Unestimated","Estimated"))))))</x:f>
      </x:c>
    </x:row>
    <x:row r="1535">
      <x:c r="A1535" s="12"/>
      <x:c r="B1535" s="12"/>
      <x:c r="C1535" s="12"/>
      <x:c r="D1535" s="12"/>
      <x:c r="E1535" s="14"/>
      <x:c r="F1535" s="13" t="str">
        <x:f>IF($A1535="","",IF($D1535&lt;&gt;'Team Setup'!$B$4,"Other sprint",IF($C1535="","Unassigned",IF(OR(ISNUMBER(SEARCH(",",$C1535)),ISNUMBER(SEARCH(";",$C1535))),"Multiple assignees",IF(COUNTIF('Team Setup'!$B$10:$B$34,$C1535)=1,"Matched","Unmatched")))))</x:f>
      </x:c>
      <x:c r="G1535" s="13" t="str">
        <x:f>IF($A1535="","",IF($D1535&lt;&gt;'Team Setup'!$B$4,"Other sprint",IF($E1535="","Unestimated",IF(NOT(ISNUMBER($E1535)),"Check estimate in hours",IF($E1535&lt;0,"Check estimate in hours",IF($E1535=0,"Unestimated","Estimated"))))))</x:f>
      </x:c>
    </x:row>
    <x:row r="1536">
      <x:c r="A1536" s="12"/>
      <x:c r="B1536" s="12"/>
      <x:c r="C1536" s="12"/>
      <x:c r="D1536" s="12"/>
      <x:c r="E1536" s="14"/>
      <x:c r="F1536" s="13" t="str">
        <x:f>IF($A1536="","",IF($D1536&lt;&gt;'Team Setup'!$B$4,"Other sprint",IF($C1536="","Unassigned",IF(OR(ISNUMBER(SEARCH(",",$C1536)),ISNUMBER(SEARCH(";",$C1536))),"Multiple assignees",IF(COUNTIF('Team Setup'!$B$10:$B$34,$C1536)=1,"Matched","Unmatched")))))</x:f>
      </x:c>
      <x:c r="G1536" s="13" t="str">
        <x:f>IF($A1536="","",IF($D1536&lt;&gt;'Team Setup'!$B$4,"Other sprint",IF($E1536="","Unestimated",IF(NOT(ISNUMBER($E1536)),"Check estimate in hours",IF($E1536&lt;0,"Check estimate in hours",IF($E1536=0,"Unestimated","Estimated"))))))</x:f>
      </x:c>
    </x:row>
    <x:row r="1537">
      <x:c r="A1537" s="12"/>
      <x:c r="B1537" s="12"/>
      <x:c r="C1537" s="12"/>
      <x:c r="D1537" s="12"/>
      <x:c r="E1537" s="14"/>
      <x:c r="F1537" s="13" t="str">
        <x:f>IF($A1537="","",IF($D1537&lt;&gt;'Team Setup'!$B$4,"Other sprint",IF($C1537="","Unassigned",IF(OR(ISNUMBER(SEARCH(",",$C1537)),ISNUMBER(SEARCH(";",$C1537))),"Multiple assignees",IF(COUNTIF('Team Setup'!$B$10:$B$34,$C1537)=1,"Matched","Unmatched")))))</x:f>
      </x:c>
      <x:c r="G1537" s="13" t="str">
        <x:f>IF($A1537="","",IF($D1537&lt;&gt;'Team Setup'!$B$4,"Other sprint",IF($E1537="","Unestimated",IF(NOT(ISNUMBER($E1537)),"Check estimate in hours",IF($E1537&lt;0,"Check estimate in hours",IF($E1537=0,"Unestimated","Estimated"))))))</x:f>
      </x:c>
    </x:row>
    <x:row r="1538">
      <x:c r="A1538" s="12"/>
      <x:c r="B1538" s="12"/>
      <x:c r="C1538" s="12"/>
      <x:c r="D1538" s="12"/>
      <x:c r="E1538" s="14"/>
      <x:c r="F1538" s="13" t="str">
        <x:f>IF($A1538="","",IF($D1538&lt;&gt;'Team Setup'!$B$4,"Other sprint",IF($C1538="","Unassigned",IF(OR(ISNUMBER(SEARCH(",",$C1538)),ISNUMBER(SEARCH(";",$C1538))),"Multiple assignees",IF(COUNTIF('Team Setup'!$B$10:$B$34,$C1538)=1,"Matched","Unmatched")))))</x:f>
      </x:c>
      <x:c r="G1538" s="13" t="str">
        <x:f>IF($A1538="","",IF($D1538&lt;&gt;'Team Setup'!$B$4,"Other sprint",IF($E1538="","Unestimated",IF(NOT(ISNUMBER($E1538)),"Check estimate in hours",IF($E1538&lt;0,"Check estimate in hours",IF($E1538=0,"Unestimated","Estimated"))))))</x:f>
      </x:c>
    </x:row>
    <x:row r="1539">
      <x:c r="A1539" s="12"/>
      <x:c r="B1539" s="12"/>
      <x:c r="C1539" s="12"/>
      <x:c r="D1539" s="12"/>
      <x:c r="E1539" s="14"/>
      <x:c r="F1539" s="13" t="str">
        <x:f>IF($A1539="","",IF($D1539&lt;&gt;'Team Setup'!$B$4,"Other sprint",IF($C1539="","Unassigned",IF(OR(ISNUMBER(SEARCH(",",$C1539)),ISNUMBER(SEARCH(";",$C1539))),"Multiple assignees",IF(COUNTIF('Team Setup'!$B$10:$B$34,$C1539)=1,"Matched","Unmatched")))))</x:f>
      </x:c>
      <x:c r="G1539" s="13" t="str">
        <x:f>IF($A1539="","",IF($D1539&lt;&gt;'Team Setup'!$B$4,"Other sprint",IF($E1539="","Unestimated",IF(NOT(ISNUMBER($E1539)),"Check estimate in hours",IF($E1539&lt;0,"Check estimate in hours",IF($E1539=0,"Unestimated","Estimated"))))))</x:f>
      </x:c>
    </x:row>
    <x:row r="1540">
      <x:c r="A1540" s="12"/>
      <x:c r="B1540" s="12"/>
      <x:c r="C1540" s="12"/>
      <x:c r="D1540" s="12"/>
      <x:c r="E1540" s="14"/>
      <x:c r="F1540" s="13" t="str">
        <x:f>IF($A1540="","",IF($D1540&lt;&gt;'Team Setup'!$B$4,"Other sprint",IF($C1540="","Unassigned",IF(OR(ISNUMBER(SEARCH(",",$C1540)),ISNUMBER(SEARCH(";",$C1540))),"Multiple assignees",IF(COUNTIF('Team Setup'!$B$10:$B$34,$C1540)=1,"Matched","Unmatched")))))</x:f>
      </x:c>
      <x:c r="G1540" s="13" t="str">
        <x:f>IF($A1540="","",IF($D1540&lt;&gt;'Team Setup'!$B$4,"Other sprint",IF($E1540="","Unestimated",IF(NOT(ISNUMBER($E1540)),"Check estimate in hours",IF($E1540&lt;0,"Check estimate in hours",IF($E1540=0,"Unestimated","Estimated"))))))</x:f>
      </x:c>
    </x:row>
    <x:row r="1541">
      <x:c r="A1541" s="12"/>
      <x:c r="B1541" s="12"/>
      <x:c r="C1541" s="12"/>
      <x:c r="D1541" s="12"/>
      <x:c r="E1541" s="14"/>
      <x:c r="F1541" s="13" t="str">
        <x:f>IF($A1541="","",IF($D1541&lt;&gt;'Team Setup'!$B$4,"Other sprint",IF($C1541="","Unassigned",IF(OR(ISNUMBER(SEARCH(",",$C1541)),ISNUMBER(SEARCH(";",$C1541))),"Multiple assignees",IF(COUNTIF('Team Setup'!$B$10:$B$34,$C1541)=1,"Matched","Unmatched")))))</x:f>
      </x:c>
      <x:c r="G1541" s="13" t="str">
        <x:f>IF($A1541="","",IF($D1541&lt;&gt;'Team Setup'!$B$4,"Other sprint",IF($E1541="","Unestimated",IF(NOT(ISNUMBER($E1541)),"Check estimate in hours",IF($E1541&lt;0,"Check estimate in hours",IF($E1541=0,"Unestimated","Estimated"))))))</x:f>
      </x:c>
    </x:row>
    <x:row r="1542">
      <x:c r="A1542" s="12"/>
      <x:c r="B1542" s="12"/>
      <x:c r="C1542" s="12"/>
      <x:c r="D1542" s="12"/>
      <x:c r="E1542" s="14"/>
      <x:c r="F1542" s="13" t="str">
        <x:f>IF($A1542="","",IF($D1542&lt;&gt;'Team Setup'!$B$4,"Other sprint",IF($C1542="","Unassigned",IF(OR(ISNUMBER(SEARCH(",",$C1542)),ISNUMBER(SEARCH(";",$C1542))),"Multiple assignees",IF(COUNTIF('Team Setup'!$B$10:$B$34,$C1542)=1,"Matched","Unmatched")))))</x:f>
      </x:c>
      <x:c r="G1542" s="13" t="str">
        <x:f>IF($A1542="","",IF($D1542&lt;&gt;'Team Setup'!$B$4,"Other sprint",IF($E1542="","Unestimated",IF(NOT(ISNUMBER($E1542)),"Check estimate in hours",IF($E1542&lt;0,"Check estimate in hours",IF($E1542=0,"Unestimated","Estimated"))))))</x:f>
      </x:c>
    </x:row>
    <x:row r="1543">
      <x:c r="A1543" s="12"/>
      <x:c r="B1543" s="12"/>
      <x:c r="C1543" s="12"/>
      <x:c r="D1543" s="12"/>
      <x:c r="E1543" s="14"/>
      <x:c r="F1543" s="13" t="str">
        <x:f>IF($A1543="","",IF($D1543&lt;&gt;'Team Setup'!$B$4,"Other sprint",IF($C1543="","Unassigned",IF(OR(ISNUMBER(SEARCH(",",$C1543)),ISNUMBER(SEARCH(";",$C1543))),"Multiple assignees",IF(COUNTIF('Team Setup'!$B$10:$B$34,$C1543)=1,"Matched","Unmatched")))))</x:f>
      </x:c>
      <x:c r="G1543" s="13" t="str">
        <x:f>IF($A1543="","",IF($D1543&lt;&gt;'Team Setup'!$B$4,"Other sprint",IF($E1543="","Unestimated",IF(NOT(ISNUMBER($E1543)),"Check estimate in hours",IF($E1543&lt;0,"Check estimate in hours",IF($E1543=0,"Unestimated","Estimated"))))))</x:f>
      </x:c>
    </x:row>
    <x:row r="1544">
      <x:c r="A1544" s="12"/>
      <x:c r="B1544" s="12"/>
      <x:c r="C1544" s="12"/>
      <x:c r="D1544" s="12"/>
      <x:c r="E1544" s="14"/>
      <x:c r="F1544" s="13" t="str">
        <x:f>IF($A1544="","",IF($D1544&lt;&gt;'Team Setup'!$B$4,"Other sprint",IF($C1544="","Unassigned",IF(OR(ISNUMBER(SEARCH(",",$C1544)),ISNUMBER(SEARCH(";",$C1544))),"Multiple assignees",IF(COUNTIF('Team Setup'!$B$10:$B$34,$C1544)=1,"Matched","Unmatched")))))</x:f>
      </x:c>
      <x:c r="G1544" s="13" t="str">
        <x:f>IF($A1544="","",IF($D1544&lt;&gt;'Team Setup'!$B$4,"Other sprint",IF($E1544="","Unestimated",IF(NOT(ISNUMBER($E1544)),"Check estimate in hours",IF($E1544&lt;0,"Check estimate in hours",IF($E1544=0,"Unestimated","Estimated"))))))</x:f>
      </x:c>
    </x:row>
    <x:row r="1545">
      <x:c r="A1545" s="12"/>
      <x:c r="B1545" s="12"/>
      <x:c r="C1545" s="12"/>
      <x:c r="D1545" s="12"/>
      <x:c r="E1545" s="14"/>
      <x:c r="F1545" s="13" t="str">
        <x:f>IF($A1545="","",IF($D1545&lt;&gt;'Team Setup'!$B$4,"Other sprint",IF($C1545="","Unassigned",IF(OR(ISNUMBER(SEARCH(",",$C1545)),ISNUMBER(SEARCH(";",$C1545))),"Multiple assignees",IF(COUNTIF('Team Setup'!$B$10:$B$34,$C1545)=1,"Matched","Unmatched")))))</x:f>
      </x:c>
      <x:c r="G1545" s="13" t="str">
        <x:f>IF($A1545="","",IF($D1545&lt;&gt;'Team Setup'!$B$4,"Other sprint",IF($E1545="","Unestimated",IF(NOT(ISNUMBER($E1545)),"Check estimate in hours",IF($E1545&lt;0,"Check estimate in hours",IF($E1545=0,"Unestimated","Estimated"))))))</x:f>
      </x:c>
    </x:row>
    <x:row r="1546">
      <x:c r="A1546" s="12"/>
      <x:c r="B1546" s="12"/>
      <x:c r="C1546" s="12"/>
      <x:c r="D1546" s="12"/>
      <x:c r="E1546" s="14"/>
      <x:c r="F1546" s="13" t="str">
        <x:f>IF($A1546="","",IF($D1546&lt;&gt;'Team Setup'!$B$4,"Other sprint",IF($C1546="","Unassigned",IF(OR(ISNUMBER(SEARCH(",",$C1546)),ISNUMBER(SEARCH(";",$C1546))),"Multiple assignees",IF(COUNTIF('Team Setup'!$B$10:$B$34,$C1546)=1,"Matched","Unmatched")))))</x:f>
      </x:c>
      <x:c r="G1546" s="13" t="str">
        <x:f>IF($A1546="","",IF($D1546&lt;&gt;'Team Setup'!$B$4,"Other sprint",IF($E1546="","Unestimated",IF(NOT(ISNUMBER($E1546)),"Check estimate in hours",IF($E1546&lt;0,"Check estimate in hours",IF($E1546=0,"Unestimated","Estimated"))))))</x:f>
      </x:c>
    </x:row>
    <x:row r="1547">
      <x:c r="A1547" s="12"/>
      <x:c r="B1547" s="12"/>
      <x:c r="C1547" s="12"/>
      <x:c r="D1547" s="12"/>
      <x:c r="E1547" s="14"/>
      <x:c r="F1547" s="13" t="str">
        <x:f>IF($A1547="","",IF($D1547&lt;&gt;'Team Setup'!$B$4,"Other sprint",IF($C1547="","Unassigned",IF(OR(ISNUMBER(SEARCH(",",$C1547)),ISNUMBER(SEARCH(";",$C1547))),"Multiple assignees",IF(COUNTIF('Team Setup'!$B$10:$B$34,$C1547)=1,"Matched","Unmatched")))))</x:f>
      </x:c>
      <x:c r="G1547" s="13" t="str">
        <x:f>IF($A1547="","",IF($D1547&lt;&gt;'Team Setup'!$B$4,"Other sprint",IF($E1547="","Unestimated",IF(NOT(ISNUMBER($E1547)),"Check estimate in hours",IF($E1547&lt;0,"Check estimate in hours",IF($E1547=0,"Unestimated","Estimated"))))))</x:f>
      </x:c>
    </x:row>
    <x:row r="1548">
      <x:c r="A1548" s="12"/>
      <x:c r="B1548" s="12"/>
      <x:c r="C1548" s="12"/>
      <x:c r="D1548" s="12"/>
      <x:c r="E1548" s="14"/>
      <x:c r="F1548" s="13" t="str">
        <x:f>IF($A1548="","",IF($D1548&lt;&gt;'Team Setup'!$B$4,"Other sprint",IF($C1548="","Unassigned",IF(OR(ISNUMBER(SEARCH(",",$C1548)),ISNUMBER(SEARCH(";",$C1548))),"Multiple assignees",IF(COUNTIF('Team Setup'!$B$10:$B$34,$C1548)=1,"Matched","Unmatched")))))</x:f>
      </x:c>
      <x:c r="G1548" s="13" t="str">
        <x:f>IF($A1548="","",IF($D1548&lt;&gt;'Team Setup'!$B$4,"Other sprint",IF($E1548="","Unestimated",IF(NOT(ISNUMBER($E1548)),"Check estimate in hours",IF($E1548&lt;0,"Check estimate in hours",IF($E1548=0,"Unestimated","Estimated"))))))</x:f>
      </x:c>
    </x:row>
    <x:row r="1549">
      <x:c r="A1549" s="12"/>
      <x:c r="B1549" s="12"/>
      <x:c r="C1549" s="12"/>
      <x:c r="D1549" s="12"/>
      <x:c r="E1549" s="14"/>
      <x:c r="F1549" s="13" t="str">
        <x:f>IF($A1549="","",IF($D1549&lt;&gt;'Team Setup'!$B$4,"Other sprint",IF($C1549="","Unassigned",IF(OR(ISNUMBER(SEARCH(",",$C1549)),ISNUMBER(SEARCH(";",$C1549))),"Multiple assignees",IF(COUNTIF('Team Setup'!$B$10:$B$34,$C1549)=1,"Matched","Unmatched")))))</x:f>
      </x:c>
      <x:c r="G1549" s="13" t="str">
        <x:f>IF($A1549="","",IF($D1549&lt;&gt;'Team Setup'!$B$4,"Other sprint",IF($E1549="","Unestimated",IF(NOT(ISNUMBER($E1549)),"Check estimate in hours",IF($E1549&lt;0,"Check estimate in hours",IF($E1549=0,"Unestimated","Estimated"))))))</x:f>
      </x:c>
    </x:row>
    <x:row r="1550">
      <x:c r="A1550" s="12"/>
      <x:c r="B1550" s="12"/>
      <x:c r="C1550" s="12"/>
      <x:c r="D1550" s="12"/>
      <x:c r="E1550" s="14"/>
      <x:c r="F1550" s="13" t="str">
        <x:f>IF($A1550="","",IF($D1550&lt;&gt;'Team Setup'!$B$4,"Other sprint",IF($C1550="","Unassigned",IF(OR(ISNUMBER(SEARCH(",",$C1550)),ISNUMBER(SEARCH(";",$C1550))),"Multiple assignees",IF(COUNTIF('Team Setup'!$B$10:$B$34,$C1550)=1,"Matched","Unmatched")))))</x:f>
      </x:c>
      <x:c r="G1550" s="13" t="str">
        <x:f>IF($A1550="","",IF($D1550&lt;&gt;'Team Setup'!$B$4,"Other sprint",IF($E1550="","Unestimated",IF(NOT(ISNUMBER($E1550)),"Check estimate in hours",IF($E1550&lt;0,"Check estimate in hours",IF($E1550=0,"Unestimated","Estimated"))))))</x:f>
      </x:c>
    </x:row>
    <x:row r="1551">
      <x:c r="A1551" s="12"/>
      <x:c r="B1551" s="12"/>
      <x:c r="C1551" s="12"/>
      <x:c r="D1551" s="12"/>
      <x:c r="E1551" s="14"/>
      <x:c r="F1551" s="13" t="str">
        <x:f>IF($A1551="","",IF($D1551&lt;&gt;'Team Setup'!$B$4,"Other sprint",IF($C1551="","Unassigned",IF(OR(ISNUMBER(SEARCH(",",$C1551)),ISNUMBER(SEARCH(";",$C1551))),"Multiple assignees",IF(COUNTIF('Team Setup'!$B$10:$B$34,$C1551)=1,"Matched","Unmatched")))))</x:f>
      </x:c>
      <x:c r="G1551" s="13" t="str">
        <x:f>IF($A1551="","",IF($D1551&lt;&gt;'Team Setup'!$B$4,"Other sprint",IF($E1551="","Unestimated",IF(NOT(ISNUMBER($E1551)),"Check estimate in hours",IF($E1551&lt;0,"Check estimate in hours",IF($E1551=0,"Unestimated","Estimated"))))))</x:f>
      </x:c>
    </x:row>
    <x:row r="1552">
      <x:c r="A1552" s="12"/>
      <x:c r="B1552" s="12"/>
      <x:c r="C1552" s="12"/>
      <x:c r="D1552" s="12"/>
      <x:c r="E1552" s="14"/>
      <x:c r="F1552" s="13" t="str">
        <x:f>IF($A1552="","",IF($D1552&lt;&gt;'Team Setup'!$B$4,"Other sprint",IF($C1552="","Unassigned",IF(OR(ISNUMBER(SEARCH(",",$C1552)),ISNUMBER(SEARCH(";",$C1552))),"Multiple assignees",IF(COUNTIF('Team Setup'!$B$10:$B$34,$C1552)=1,"Matched","Unmatched")))))</x:f>
      </x:c>
      <x:c r="G1552" s="13" t="str">
        <x:f>IF($A1552="","",IF($D1552&lt;&gt;'Team Setup'!$B$4,"Other sprint",IF($E1552="","Unestimated",IF(NOT(ISNUMBER($E1552)),"Check estimate in hours",IF($E1552&lt;0,"Check estimate in hours",IF($E1552=0,"Unestimated","Estimated"))))))</x:f>
      </x:c>
    </x:row>
    <x:row r="1553">
      <x:c r="A1553" s="12"/>
      <x:c r="B1553" s="12"/>
      <x:c r="C1553" s="12"/>
      <x:c r="D1553" s="12"/>
      <x:c r="E1553" s="14"/>
      <x:c r="F1553" s="13" t="str">
        <x:f>IF($A1553="","",IF($D1553&lt;&gt;'Team Setup'!$B$4,"Other sprint",IF($C1553="","Unassigned",IF(OR(ISNUMBER(SEARCH(",",$C1553)),ISNUMBER(SEARCH(";",$C1553))),"Multiple assignees",IF(COUNTIF('Team Setup'!$B$10:$B$34,$C1553)=1,"Matched","Unmatched")))))</x:f>
      </x:c>
      <x:c r="G1553" s="13" t="str">
        <x:f>IF($A1553="","",IF($D1553&lt;&gt;'Team Setup'!$B$4,"Other sprint",IF($E1553="","Unestimated",IF(NOT(ISNUMBER($E1553)),"Check estimate in hours",IF($E1553&lt;0,"Check estimate in hours",IF($E1553=0,"Unestimated","Estimated"))))))</x:f>
      </x:c>
    </x:row>
    <x:row r="1554">
      <x:c r="A1554" s="12"/>
      <x:c r="B1554" s="12"/>
      <x:c r="C1554" s="12"/>
      <x:c r="D1554" s="12"/>
      <x:c r="E1554" s="14"/>
      <x:c r="F1554" s="13" t="str">
        <x:f>IF($A1554="","",IF($D1554&lt;&gt;'Team Setup'!$B$4,"Other sprint",IF($C1554="","Unassigned",IF(OR(ISNUMBER(SEARCH(",",$C1554)),ISNUMBER(SEARCH(";",$C1554))),"Multiple assignees",IF(COUNTIF('Team Setup'!$B$10:$B$34,$C1554)=1,"Matched","Unmatched")))))</x:f>
      </x:c>
      <x:c r="G1554" s="13" t="str">
        <x:f>IF($A1554="","",IF($D1554&lt;&gt;'Team Setup'!$B$4,"Other sprint",IF($E1554="","Unestimated",IF(NOT(ISNUMBER($E1554)),"Check estimate in hours",IF($E1554&lt;0,"Check estimate in hours",IF($E1554=0,"Unestimated","Estimated"))))))</x:f>
      </x:c>
    </x:row>
    <x:row r="1555">
      <x:c r="A1555" s="12"/>
      <x:c r="B1555" s="12"/>
      <x:c r="C1555" s="12"/>
      <x:c r="D1555" s="12"/>
      <x:c r="E1555" s="14"/>
      <x:c r="F1555" s="13" t="str">
        <x:f>IF($A1555="","",IF($D1555&lt;&gt;'Team Setup'!$B$4,"Other sprint",IF($C1555="","Unassigned",IF(OR(ISNUMBER(SEARCH(",",$C1555)),ISNUMBER(SEARCH(";",$C1555))),"Multiple assignees",IF(COUNTIF('Team Setup'!$B$10:$B$34,$C1555)=1,"Matched","Unmatched")))))</x:f>
      </x:c>
      <x:c r="G1555" s="13" t="str">
        <x:f>IF($A1555="","",IF($D1555&lt;&gt;'Team Setup'!$B$4,"Other sprint",IF($E1555="","Unestimated",IF(NOT(ISNUMBER($E1555)),"Check estimate in hours",IF($E1555&lt;0,"Check estimate in hours",IF($E1555=0,"Unestimated","Estimated"))))))</x:f>
      </x:c>
    </x:row>
    <x:row r="1556">
      <x:c r="A1556" s="12"/>
      <x:c r="B1556" s="12"/>
      <x:c r="C1556" s="12"/>
      <x:c r="D1556" s="12"/>
      <x:c r="E1556" s="14"/>
      <x:c r="F1556" s="13" t="str">
        <x:f>IF($A1556="","",IF($D1556&lt;&gt;'Team Setup'!$B$4,"Other sprint",IF($C1556="","Unassigned",IF(OR(ISNUMBER(SEARCH(",",$C1556)),ISNUMBER(SEARCH(";",$C1556))),"Multiple assignees",IF(COUNTIF('Team Setup'!$B$10:$B$34,$C1556)=1,"Matched","Unmatched")))))</x:f>
      </x:c>
      <x:c r="G1556" s="13" t="str">
        <x:f>IF($A1556="","",IF($D1556&lt;&gt;'Team Setup'!$B$4,"Other sprint",IF($E1556="","Unestimated",IF(NOT(ISNUMBER($E1556)),"Check estimate in hours",IF($E1556&lt;0,"Check estimate in hours",IF($E1556=0,"Unestimated","Estimated"))))))</x:f>
      </x:c>
    </x:row>
    <x:row r="1557">
      <x:c r="A1557" s="12"/>
      <x:c r="B1557" s="12"/>
      <x:c r="C1557" s="12"/>
      <x:c r="D1557" s="12"/>
      <x:c r="E1557" s="14"/>
      <x:c r="F1557" s="13" t="str">
        <x:f>IF($A1557="","",IF($D1557&lt;&gt;'Team Setup'!$B$4,"Other sprint",IF($C1557="","Unassigned",IF(OR(ISNUMBER(SEARCH(",",$C1557)),ISNUMBER(SEARCH(";",$C1557))),"Multiple assignees",IF(COUNTIF('Team Setup'!$B$10:$B$34,$C1557)=1,"Matched","Unmatched")))))</x:f>
      </x:c>
      <x:c r="G1557" s="13" t="str">
        <x:f>IF($A1557="","",IF($D1557&lt;&gt;'Team Setup'!$B$4,"Other sprint",IF($E1557="","Unestimated",IF(NOT(ISNUMBER($E1557)),"Check estimate in hours",IF($E1557&lt;0,"Check estimate in hours",IF($E1557=0,"Unestimated","Estimated"))))))</x:f>
      </x:c>
    </x:row>
    <x:row r="1558">
      <x:c r="A1558" s="12"/>
      <x:c r="B1558" s="12"/>
      <x:c r="C1558" s="12"/>
      <x:c r="D1558" s="12"/>
      <x:c r="E1558" s="14"/>
      <x:c r="F1558" s="13" t="str">
        <x:f>IF($A1558="","",IF($D1558&lt;&gt;'Team Setup'!$B$4,"Other sprint",IF($C1558="","Unassigned",IF(OR(ISNUMBER(SEARCH(",",$C1558)),ISNUMBER(SEARCH(";",$C1558))),"Multiple assignees",IF(COUNTIF('Team Setup'!$B$10:$B$34,$C1558)=1,"Matched","Unmatched")))))</x:f>
      </x:c>
      <x:c r="G1558" s="13" t="str">
        <x:f>IF($A1558="","",IF($D1558&lt;&gt;'Team Setup'!$B$4,"Other sprint",IF($E1558="","Unestimated",IF(NOT(ISNUMBER($E1558)),"Check estimate in hours",IF($E1558&lt;0,"Check estimate in hours",IF($E1558=0,"Unestimated","Estimated"))))))</x:f>
      </x:c>
    </x:row>
    <x:row r="1559">
      <x:c r="A1559" s="12"/>
      <x:c r="B1559" s="12"/>
      <x:c r="C1559" s="12"/>
      <x:c r="D1559" s="12"/>
      <x:c r="E1559" s="14"/>
      <x:c r="F1559" s="13" t="str">
        <x:f>IF($A1559="","",IF($D1559&lt;&gt;'Team Setup'!$B$4,"Other sprint",IF($C1559="","Unassigned",IF(OR(ISNUMBER(SEARCH(",",$C1559)),ISNUMBER(SEARCH(";",$C1559))),"Multiple assignees",IF(COUNTIF('Team Setup'!$B$10:$B$34,$C1559)=1,"Matched","Unmatched")))))</x:f>
      </x:c>
      <x:c r="G1559" s="13" t="str">
        <x:f>IF($A1559="","",IF($D1559&lt;&gt;'Team Setup'!$B$4,"Other sprint",IF($E1559="","Unestimated",IF(NOT(ISNUMBER($E1559)),"Check estimate in hours",IF($E1559&lt;0,"Check estimate in hours",IF($E1559=0,"Unestimated","Estimated"))))))</x:f>
      </x:c>
    </x:row>
    <x:row r="1560">
      <x:c r="A1560" s="12"/>
      <x:c r="B1560" s="12"/>
      <x:c r="C1560" s="12"/>
      <x:c r="D1560" s="12"/>
      <x:c r="E1560" s="14"/>
      <x:c r="F1560" s="13" t="str">
        <x:f>IF($A1560="","",IF($D1560&lt;&gt;'Team Setup'!$B$4,"Other sprint",IF($C1560="","Unassigned",IF(OR(ISNUMBER(SEARCH(",",$C1560)),ISNUMBER(SEARCH(";",$C1560))),"Multiple assignees",IF(COUNTIF('Team Setup'!$B$10:$B$34,$C1560)=1,"Matched","Unmatched")))))</x:f>
      </x:c>
      <x:c r="G1560" s="13" t="str">
        <x:f>IF($A1560="","",IF($D1560&lt;&gt;'Team Setup'!$B$4,"Other sprint",IF($E1560="","Unestimated",IF(NOT(ISNUMBER($E1560)),"Check estimate in hours",IF($E1560&lt;0,"Check estimate in hours",IF($E1560=0,"Unestimated","Estimated"))))))</x:f>
      </x:c>
    </x:row>
    <x:row r="1561">
      <x:c r="A1561" s="12"/>
      <x:c r="B1561" s="12"/>
      <x:c r="C1561" s="12"/>
      <x:c r="D1561" s="12"/>
      <x:c r="E1561" s="14"/>
      <x:c r="F1561" s="13" t="str">
        <x:f>IF($A1561="","",IF($D1561&lt;&gt;'Team Setup'!$B$4,"Other sprint",IF($C1561="","Unassigned",IF(OR(ISNUMBER(SEARCH(",",$C1561)),ISNUMBER(SEARCH(";",$C1561))),"Multiple assignees",IF(COUNTIF('Team Setup'!$B$10:$B$34,$C1561)=1,"Matched","Unmatched")))))</x:f>
      </x:c>
      <x:c r="G1561" s="13" t="str">
        <x:f>IF($A1561="","",IF($D1561&lt;&gt;'Team Setup'!$B$4,"Other sprint",IF($E1561="","Unestimated",IF(NOT(ISNUMBER($E1561)),"Check estimate in hours",IF($E1561&lt;0,"Check estimate in hours",IF($E1561=0,"Unestimated","Estimated"))))))</x:f>
      </x:c>
    </x:row>
    <x:row r="1562">
      <x:c r="A1562" s="12"/>
      <x:c r="B1562" s="12"/>
      <x:c r="C1562" s="12"/>
      <x:c r="D1562" s="12"/>
      <x:c r="E1562" s="14"/>
      <x:c r="F1562" s="13" t="str">
        <x:f>IF($A1562="","",IF($D1562&lt;&gt;'Team Setup'!$B$4,"Other sprint",IF($C1562="","Unassigned",IF(OR(ISNUMBER(SEARCH(",",$C1562)),ISNUMBER(SEARCH(";",$C1562))),"Multiple assignees",IF(COUNTIF('Team Setup'!$B$10:$B$34,$C1562)=1,"Matched","Unmatched")))))</x:f>
      </x:c>
      <x:c r="G1562" s="13" t="str">
        <x:f>IF($A1562="","",IF($D1562&lt;&gt;'Team Setup'!$B$4,"Other sprint",IF($E1562="","Unestimated",IF(NOT(ISNUMBER($E1562)),"Check estimate in hours",IF($E1562&lt;0,"Check estimate in hours",IF($E1562=0,"Unestimated","Estimated"))))))</x:f>
      </x:c>
    </x:row>
    <x:row r="1563">
      <x:c r="A1563" s="12"/>
      <x:c r="B1563" s="12"/>
      <x:c r="C1563" s="12"/>
      <x:c r="D1563" s="12"/>
      <x:c r="E1563" s="14"/>
      <x:c r="F1563" s="13" t="str">
        <x:f>IF($A1563="","",IF($D1563&lt;&gt;'Team Setup'!$B$4,"Other sprint",IF($C1563="","Unassigned",IF(OR(ISNUMBER(SEARCH(",",$C1563)),ISNUMBER(SEARCH(";",$C1563))),"Multiple assignees",IF(COUNTIF('Team Setup'!$B$10:$B$34,$C1563)=1,"Matched","Unmatched")))))</x:f>
      </x:c>
      <x:c r="G1563" s="13" t="str">
        <x:f>IF($A1563="","",IF($D1563&lt;&gt;'Team Setup'!$B$4,"Other sprint",IF($E1563="","Unestimated",IF(NOT(ISNUMBER($E1563)),"Check estimate in hours",IF($E1563&lt;0,"Check estimate in hours",IF($E1563=0,"Unestimated","Estimated"))))))</x:f>
      </x:c>
    </x:row>
    <x:row r="1564">
      <x:c r="A1564" s="12"/>
      <x:c r="B1564" s="12"/>
      <x:c r="C1564" s="12"/>
      <x:c r="D1564" s="12"/>
      <x:c r="E1564" s="14"/>
      <x:c r="F1564" s="13" t="str">
        <x:f>IF($A1564="","",IF($D1564&lt;&gt;'Team Setup'!$B$4,"Other sprint",IF($C1564="","Unassigned",IF(OR(ISNUMBER(SEARCH(",",$C1564)),ISNUMBER(SEARCH(";",$C1564))),"Multiple assignees",IF(COUNTIF('Team Setup'!$B$10:$B$34,$C1564)=1,"Matched","Unmatched")))))</x:f>
      </x:c>
      <x:c r="G1564" s="13" t="str">
        <x:f>IF($A1564="","",IF($D1564&lt;&gt;'Team Setup'!$B$4,"Other sprint",IF($E1564="","Unestimated",IF(NOT(ISNUMBER($E1564)),"Check estimate in hours",IF($E1564&lt;0,"Check estimate in hours",IF($E1564=0,"Unestimated","Estimated"))))))</x:f>
      </x:c>
    </x:row>
    <x:row r="1565">
      <x:c r="A1565" s="12"/>
      <x:c r="B1565" s="12"/>
      <x:c r="C1565" s="12"/>
      <x:c r="D1565" s="12"/>
      <x:c r="E1565" s="14"/>
      <x:c r="F1565" s="13" t="str">
        <x:f>IF($A1565="","",IF($D1565&lt;&gt;'Team Setup'!$B$4,"Other sprint",IF($C1565="","Unassigned",IF(OR(ISNUMBER(SEARCH(",",$C1565)),ISNUMBER(SEARCH(";",$C1565))),"Multiple assignees",IF(COUNTIF('Team Setup'!$B$10:$B$34,$C1565)=1,"Matched","Unmatched")))))</x:f>
      </x:c>
      <x:c r="G1565" s="13" t="str">
        <x:f>IF($A1565="","",IF($D1565&lt;&gt;'Team Setup'!$B$4,"Other sprint",IF($E1565="","Unestimated",IF(NOT(ISNUMBER($E1565)),"Check estimate in hours",IF($E1565&lt;0,"Check estimate in hours",IF($E1565=0,"Unestimated","Estimated"))))))</x:f>
      </x:c>
    </x:row>
    <x:row r="1566">
      <x:c r="A1566" s="12"/>
      <x:c r="B1566" s="12"/>
      <x:c r="C1566" s="12"/>
      <x:c r="D1566" s="12"/>
      <x:c r="E1566" s="14"/>
      <x:c r="F1566" s="13" t="str">
        <x:f>IF($A1566="","",IF($D1566&lt;&gt;'Team Setup'!$B$4,"Other sprint",IF($C1566="","Unassigned",IF(OR(ISNUMBER(SEARCH(",",$C1566)),ISNUMBER(SEARCH(";",$C1566))),"Multiple assignees",IF(COUNTIF('Team Setup'!$B$10:$B$34,$C1566)=1,"Matched","Unmatched")))))</x:f>
      </x:c>
      <x:c r="G1566" s="13" t="str">
        <x:f>IF($A1566="","",IF($D1566&lt;&gt;'Team Setup'!$B$4,"Other sprint",IF($E1566="","Unestimated",IF(NOT(ISNUMBER($E1566)),"Check estimate in hours",IF($E1566&lt;0,"Check estimate in hours",IF($E1566=0,"Unestimated","Estimated"))))))</x:f>
      </x:c>
    </x:row>
    <x:row r="1567">
      <x:c r="A1567" s="12"/>
      <x:c r="B1567" s="12"/>
      <x:c r="C1567" s="12"/>
      <x:c r="D1567" s="12"/>
      <x:c r="E1567" s="14"/>
      <x:c r="F1567" s="13" t="str">
        <x:f>IF($A1567="","",IF($D1567&lt;&gt;'Team Setup'!$B$4,"Other sprint",IF($C1567="","Unassigned",IF(OR(ISNUMBER(SEARCH(",",$C1567)),ISNUMBER(SEARCH(";",$C1567))),"Multiple assignees",IF(COUNTIF('Team Setup'!$B$10:$B$34,$C1567)=1,"Matched","Unmatched")))))</x:f>
      </x:c>
      <x:c r="G1567" s="13" t="str">
        <x:f>IF($A1567="","",IF($D1567&lt;&gt;'Team Setup'!$B$4,"Other sprint",IF($E1567="","Unestimated",IF(NOT(ISNUMBER($E1567)),"Check estimate in hours",IF($E1567&lt;0,"Check estimate in hours",IF($E1567=0,"Unestimated","Estimated"))))))</x:f>
      </x:c>
    </x:row>
    <x:row r="1568">
      <x:c r="A1568" s="12"/>
      <x:c r="B1568" s="12"/>
      <x:c r="C1568" s="12"/>
      <x:c r="D1568" s="12"/>
      <x:c r="E1568" s="14"/>
      <x:c r="F1568" s="13" t="str">
        <x:f>IF($A1568="","",IF($D1568&lt;&gt;'Team Setup'!$B$4,"Other sprint",IF($C1568="","Unassigned",IF(OR(ISNUMBER(SEARCH(",",$C1568)),ISNUMBER(SEARCH(";",$C1568))),"Multiple assignees",IF(COUNTIF('Team Setup'!$B$10:$B$34,$C1568)=1,"Matched","Unmatched")))))</x:f>
      </x:c>
      <x:c r="G1568" s="13" t="str">
        <x:f>IF($A1568="","",IF($D1568&lt;&gt;'Team Setup'!$B$4,"Other sprint",IF($E1568="","Unestimated",IF(NOT(ISNUMBER($E1568)),"Check estimate in hours",IF($E1568&lt;0,"Check estimate in hours",IF($E1568=0,"Unestimated","Estimated"))))))</x:f>
      </x:c>
    </x:row>
    <x:row r="1569">
      <x:c r="A1569" s="12"/>
      <x:c r="B1569" s="12"/>
      <x:c r="C1569" s="12"/>
      <x:c r="D1569" s="12"/>
      <x:c r="E1569" s="14"/>
      <x:c r="F1569" s="13" t="str">
        <x:f>IF($A1569="","",IF($D1569&lt;&gt;'Team Setup'!$B$4,"Other sprint",IF($C1569="","Unassigned",IF(OR(ISNUMBER(SEARCH(",",$C1569)),ISNUMBER(SEARCH(";",$C1569))),"Multiple assignees",IF(COUNTIF('Team Setup'!$B$10:$B$34,$C1569)=1,"Matched","Unmatched")))))</x:f>
      </x:c>
      <x:c r="G1569" s="13" t="str">
        <x:f>IF($A1569="","",IF($D1569&lt;&gt;'Team Setup'!$B$4,"Other sprint",IF($E1569="","Unestimated",IF(NOT(ISNUMBER($E1569)),"Check estimate in hours",IF($E1569&lt;0,"Check estimate in hours",IF($E1569=0,"Unestimated","Estimated"))))))</x:f>
      </x:c>
    </x:row>
    <x:row r="1570">
      <x:c r="A1570" s="12"/>
      <x:c r="B1570" s="12"/>
      <x:c r="C1570" s="12"/>
      <x:c r="D1570" s="12"/>
      <x:c r="E1570" s="14"/>
      <x:c r="F1570" s="13" t="str">
        <x:f>IF($A1570="","",IF($D1570&lt;&gt;'Team Setup'!$B$4,"Other sprint",IF($C1570="","Unassigned",IF(OR(ISNUMBER(SEARCH(",",$C1570)),ISNUMBER(SEARCH(";",$C1570))),"Multiple assignees",IF(COUNTIF('Team Setup'!$B$10:$B$34,$C1570)=1,"Matched","Unmatched")))))</x:f>
      </x:c>
      <x:c r="G1570" s="13" t="str">
        <x:f>IF($A1570="","",IF($D1570&lt;&gt;'Team Setup'!$B$4,"Other sprint",IF($E1570="","Unestimated",IF(NOT(ISNUMBER($E1570)),"Check estimate in hours",IF($E1570&lt;0,"Check estimate in hours",IF($E1570=0,"Unestimated","Estimated"))))))</x:f>
      </x:c>
    </x:row>
    <x:row r="1571">
      <x:c r="A1571" s="12"/>
      <x:c r="B1571" s="12"/>
      <x:c r="C1571" s="12"/>
      <x:c r="D1571" s="12"/>
      <x:c r="E1571" s="14"/>
      <x:c r="F1571" s="13" t="str">
        <x:f>IF($A1571="","",IF($D1571&lt;&gt;'Team Setup'!$B$4,"Other sprint",IF($C1571="","Unassigned",IF(OR(ISNUMBER(SEARCH(",",$C1571)),ISNUMBER(SEARCH(";",$C1571))),"Multiple assignees",IF(COUNTIF('Team Setup'!$B$10:$B$34,$C1571)=1,"Matched","Unmatched")))))</x:f>
      </x:c>
      <x:c r="G1571" s="13" t="str">
        <x:f>IF($A1571="","",IF($D1571&lt;&gt;'Team Setup'!$B$4,"Other sprint",IF($E1571="","Unestimated",IF(NOT(ISNUMBER($E1571)),"Check estimate in hours",IF($E1571&lt;0,"Check estimate in hours",IF($E1571=0,"Unestimated","Estimated"))))))</x:f>
      </x:c>
    </x:row>
    <x:row r="1572">
      <x:c r="A1572" s="12"/>
      <x:c r="B1572" s="12"/>
      <x:c r="C1572" s="12"/>
      <x:c r="D1572" s="12"/>
      <x:c r="E1572" s="14"/>
      <x:c r="F1572" s="13" t="str">
        <x:f>IF($A1572="","",IF($D1572&lt;&gt;'Team Setup'!$B$4,"Other sprint",IF($C1572="","Unassigned",IF(OR(ISNUMBER(SEARCH(",",$C1572)),ISNUMBER(SEARCH(";",$C1572))),"Multiple assignees",IF(COUNTIF('Team Setup'!$B$10:$B$34,$C1572)=1,"Matched","Unmatched")))))</x:f>
      </x:c>
      <x:c r="G1572" s="13" t="str">
        <x:f>IF($A1572="","",IF($D1572&lt;&gt;'Team Setup'!$B$4,"Other sprint",IF($E1572="","Unestimated",IF(NOT(ISNUMBER($E1572)),"Check estimate in hours",IF($E1572&lt;0,"Check estimate in hours",IF($E1572=0,"Unestimated","Estimated"))))))</x:f>
      </x:c>
    </x:row>
    <x:row r="1573">
      <x:c r="A1573" s="12"/>
      <x:c r="B1573" s="12"/>
      <x:c r="C1573" s="12"/>
      <x:c r="D1573" s="12"/>
      <x:c r="E1573" s="14"/>
      <x:c r="F1573" s="13" t="str">
        <x:f>IF($A1573="","",IF($D1573&lt;&gt;'Team Setup'!$B$4,"Other sprint",IF($C1573="","Unassigned",IF(OR(ISNUMBER(SEARCH(",",$C1573)),ISNUMBER(SEARCH(";",$C1573))),"Multiple assignees",IF(COUNTIF('Team Setup'!$B$10:$B$34,$C1573)=1,"Matched","Unmatched")))))</x:f>
      </x:c>
      <x:c r="G1573" s="13" t="str">
        <x:f>IF($A1573="","",IF($D1573&lt;&gt;'Team Setup'!$B$4,"Other sprint",IF($E1573="","Unestimated",IF(NOT(ISNUMBER($E1573)),"Check estimate in hours",IF($E1573&lt;0,"Check estimate in hours",IF($E1573=0,"Unestimated","Estimated"))))))</x:f>
      </x:c>
    </x:row>
    <x:row r="1574">
      <x:c r="A1574" s="12"/>
      <x:c r="B1574" s="12"/>
      <x:c r="C1574" s="12"/>
      <x:c r="D1574" s="12"/>
      <x:c r="E1574" s="14"/>
      <x:c r="F1574" s="13" t="str">
        <x:f>IF($A1574="","",IF($D1574&lt;&gt;'Team Setup'!$B$4,"Other sprint",IF($C1574="","Unassigned",IF(OR(ISNUMBER(SEARCH(",",$C1574)),ISNUMBER(SEARCH(";",$C1574))),"Multiple assignees",IF(COUNTIF('Team Setup'!$B$10:$B$34,$C1574)=1,"Matched","Unmatched")))))</x:f>
      </x:c>
      <x:c r="G1574" s="13" t="str">
        <x:f>IF($A1574="","",IF($D1574&lt;&gt;'Team Setup'!$B$4,"Other sprint",IF($E1574="","Unestimated",IF(NOT(ISNUMBER($E1574)),"Check estimate in hours",IF($E1574&lt;0,"Check estimate in hours",IF($E1574=0,"Unestimated","Estimated"))))))</x:f>
      </x:c>
    </x:row>
    <x:row r="1575">
      <x:c r="A1575" s="12"/>
      <x:c r="B1575" s="12"/>
      <x:c r="C1575" s="12"/>
      <x:c r="D1575" s="12"/>
      <x:c r="E1575" s="14"/>
      <x:c r="F1575" s="13" t="str">
        <x:f>IF($A1575="","",IF($D1575&lt;&gt;'Team Setup'!$B$4,"Other sprint",IF($C1575="","Unassigned",IF(OR(ISNUMBER(SEARCH(",",$C1575)),ISNUMBER(SEARCH(";",$C1575))),"Multiple assignees",IF(COUNTIF('Team Setup'!$B$10:$B$34,$C1575)=1,"Matched","Unmatched")))))</x:f>
      </x:c>
      <x:c r="G1575" s="13" t="str">
        <x:f>IF($A1575="","",IF($D1575&lt;&gt;'Team Setup'!$B$4,"Other sprint",IF($E1575="","Unestimated",IF(NOT(ISNUMBER($E1575)),"Check estimate in hours",IF($E1575&lt;0,"Check estimate in hours",IF($E1575=0,"Unestimated","Estimated"))))))</x:f>
      </x:c>
    </x:row>
    <x:row r="1576">
      <x:c r="A1576" s="12"/>
      <x:c r="B1576" s="12"/>
      <x:c r="C1576" s="12"/>
      <x:c r="D1576" s="12"/>
      <x:c r="E1576" s="14"/>
      <x:c r="F1576" s="13" t="str">
        <x:f>IF($A1576="","",IF($D1576&lt;&gt;'Team Setup'!$B$4,"Other sprint",IF($C1576="","Unassigned",IF(OR(ISNUMBER(SEARCH(",",$C1576)),ISNUMBER(SEARCH(";",$C1576))),"Multiple assignees",IF(COUNTIF('Team Setup'!$B$10:$B$34,$C1576)=1,"Matched","Unmatched")))))</x:f>
      </x:c>
      <x:c r="G1576" s="13" t="str">
        <x:f>IF($A1576="","",IF($D1576&lt;&gt;'Team Setup'!$B$4,"Other sprint",IF($E1576="","Unestimated",IF(NOT(ISNUMBER($E1576)),"Check estimate in hours",IF($E1576&lt;0,"Check estimate in hours",IF($E1576=0,"Unestimated","Estimated"))))))</x:f>
      </x:c>
    </x:row>
    <x:row r="1577">
      <x:c r="A1577" s="12"/>
      <x:c r="B1577" s="12"/>
      <x:c r="C1577" s="12"/>
      <x:c r="D1577" s="12"/>
      <x:c r="E1577" s="14"/>
      <x:c r="F1577" s="13" t="str">
        <x:f>IF($A1577="","",IF($D1577&lt;&gt;'Team Setup'!$B$4,"Other sprint",IF($C1577="","Unassigned",IF(OR(ISNUMBER(SEARCH(",",$C1577)),ISNUMBER(SEARCH(";",$C1577))),"Multiple assignees",IF(COUNTIF('Team Setup'!$B$10:$B$34,$C1577)=1,"Matched","Unmatched")))))</x:f>
      </x:c>
      <x:c r="G1577" s="13" t="str">
        <x:f>IF($A1577="","",IF($D1577&lt;&gt;'Team Setup'!$B$4,"Other sprint",IF($E1577="","Unestimated",IF(NOT(ISNUMBER($E1577)),"Check estimate in hours",IF($E1577&lt;0,"Check estimate in hours",IF($E1577=0,"Unestimated","Estimated"))))))</x:f>
      </x:c>
    </x:row>
    <x:row r="1578">
      <x:c r="A1578" s="12"/>
      <x:c r="B1578" s="12"/>
      <x:c r="C1578" s="12"/>
      <x:c r="D1578" s="12"/>
      <x:c r="E1578" s="14"/>
      <x:c r="F1578" s="13" t="str">
        <x:f>IF($A1578="","",IF($D1578&lt;&gt;'Team Setup'!$B$4,"Other sprint",IF($C1578="","Unassigned",IF(OR(ISNUMBER(SEARCH(",",$C1578)),ISNUMBER(SEARCH(";",$C1578))),"Multiple assignees",IF(COUNTIF('Team Setup'!$B$10:$B$34,$C1578)=1,"Matched","Unmatched")))))</x:f>
      </x:c>
      <x:c r="G1578" s="13" t="str">
        <x:f>IF($A1578="","",IF($D1578&lt;&gt;'Team Setup'!$B$4,"Other sprint",IF($E1578="","Unestimated",IF(NOT(ISNUMBER($E1578)),"Check estimate in hours",IF($E1578&lt;0,"Check estimate in hours",IF($E1578=0,"Unestimated","Estimated"))))))</x:f>
      </x:c>
    </x:row>
    <x:row r="1579">
      <x:c r="A1579" s="12"/>
      <x:c r="B1579" s="12"/>
      <x:c r="C1579" s="12"/>
      <x:c r="D1579" s="12"/>
      <x:c r="E1579" s="14"/>
      <x:c r="F1579" s="13" t="str">
        <x:f>IF($A1579="","",IF($D1579&lt;&gt;'Team Setup'!$B$4,"Other sprint",IF($C1579="","Unassigned",IF(OR(ISNUMBER(SEARCH(",",$C1579)),ISNUMBER(SEARCH(";",$C1579))),"Multiple assignees",IF(COUNTIF('Team Setup'!$B$10:$B$34,$C1579)=1,"Matched","Unmatched")))))</x:f>
      </x:c>
      <x:c r="G1579" s="13" t="str">
        <x:f>IF($A1579="","",IF($D1579&lt;&gt;'Team Setup'!$B$4,"Other sprint",IF($E1579="","Unestimated",IF(NOT(ISNUMBER($E1579)),"Check estimate in hours",IF($E1579&lt;0,"Check estimate in hours",IF($E1579=0,"Unestimated","Estimated"))))))</x:f>
      </x:c>
    </x:row>
    <x:row r="1580">
      <x:c r="A1580" s="12"/>
      <x:c r="B1580" s="12"/>
      <x:c r="C1580" s="12"/>
      <x:c r="D1580" s="12"/>
      <x:c r="E1580" s="14"/>
      <x:c r="F1580" s="13" t="str">
        <x:f>IF($A1580="","",IF($D1580&lt;&gt;'Team Setup'!$B$4,"Other sprint",IF($C1580="","Unassigned",IF(OR(ISNUMBER(SEARCH(",",$C1580)),ISNUMBER(SEARCH(";",$C1580))),"Multiple assignees",IF(COUNTIF('Team Setup'!$B$10:$B$34,$C1580)=1,"Matched","Unmatched")))))</x:f>
      </x:c>
      <x:c r="G1580" s="13" t="str">
        <x:f>IF($A1580="","",IF($D1580&lt;&gt;'Team Setup'!$B$4,"Other sprint",IF($E1580="","Unestimated",IF(NOT(ISNUMBER($E1580)),"Check estimate in hours",IF($E1580&lt;0,"Check estimate in hours",IF($E1580=0,"Unestimated","Estimated"))))))</x:f>
      </x:c>
    </x:row>
    <x:row r="1581">
      <x:c r="A1581" s="12"/>
      <x:c r="B1581" s="12"/>
      <x:c r="C1581" s="12"/>
      <x:c r="D1581" s="12"/>
      <x:c r="E1581" s="14"/>
      <x:c r="F1581" s="13" t="str">
        <x:f>IF($A1581="","",IF($D1581&lt;&gt;'Team Setup'!$B$4,"Other sprint",IF($C1581="","Unassigned",IF(OR(ISNUMBER(SEARCH(",",$C1581)),ISNUMBER(SEARCH(";",$C1581))),"Multiple assignees",IF(COUNTIF('Team Setup'!$B$10:$B$34,$C1581)=1,"Matched","Unmatched")))))</x:f>
      </x:c>
      <x:c r="G1581" s="13" t="str">
        <x:f>IF($A1581="","",IF($D1581&lt;&gt;'Team Setup'!$B$4,"Other sprint",IF($E1581="","Unestimated",IF(NOT(ISNUMBER($E1581)),"Check estimate in hours",IF($E1581&lt;0,"Check estimate in hours",IF($E1581=0,"Unestimated","Estimated"))))))</x:f>
      </x:c>
    </x:row>
    <x:row r="1582">
      <x:c r="A1582" s="12"/>
      <x:c r="B1582" s="12"/>
      <x:c r="C1582" s="12"/>
      <x:c r="D1582" s="12"/>
      <x:c r="E1582" s="14"/>
      <x:c r="F1582" s="13" t="str">
        <x:f>IF($A1582="","",IF($D1582&lt;&gt;'Team Setup'!$B$4,"Other sprint",IF($C1582="","Unassigned",IF(OR(ISNUMBER(SEARCH(",",$C1582)),ISNUMBER(SEARCH(";",$C1582))),"Multiple assignees",IF(COUNTIF('Team Setup'!$B$10:$B$34,$C1582)=1,"Matched","Unmatched")))))</x:f>
      </x:c>
      <x:c r="G1582" s="13" t="str">
        <x:f>IF($A1582="","",IF($D1582&lt;&gt;'Team Setup'!$B$4,"Other sprint",IF($E1582="","Unestimated",IF(NOT(ISNUMBER($E1582)),"Check estimate in hours",IF($E1582&lt;0,"Check estimate in hours",IF($E1582=0,"Unestimated","Estimated"))))))</x:f>
      </x:c>
    </x:row>
    <x:row r="1583">
      <x:c r="A1583" s="12"/>
      <x:c r="B1583" s="12"/>
      <x:c r="C1583" s="12"/>
      <x:c r="D1583" s="12"/>
      <x:c r="E1583" s="14"/>
      <x:c r="F1583" s="13" t="str">
        <x:f>IF($A1583="","",IF($D1583&lt;&gt;'Team Setup'!$B$4,"Other sprint",IF($C1583="","Unassigned",IF(OR(ISNUMBER(SEARCH(",",$C1583)),ISNUMBER(SEARCH(";",$C1583))),"Multiple assignees",IF(COUNTIF('Team Setup'!$B$10:$B$34,$C1583)=1,"Matched","Unmatched")))))</x:f>
      </x:c>
      <x:c r="G1583" s="13" t="str">
        <x:f>IF($A1583="","",IF($D1583&lt;&gt;'Team Setup'!$B$4,"Other sprint",IF($E1583="","Unestimated",IF(NOT(ISNUMBER($E1583)),"Check estimate in hours",IF($E1583&lt;0,"Check estimate in hours",IF($E1583=0,"Unestimated","Estimated"))))))</x:f>
      </x:c>
    </x:row>
    <x:row r="1584">
      <x:c r="A1584" s="12"/>
      <x:c r="B1584" s="12"/>
      <x:c r="C1584" s="12"/>
      <x:c r="D1584" s="12"/>
      <x:c r="E1584" s="14"/>
      <x:c r="F1584" s="13" t="str">
        <x:f>IF($A1584="","",IF($D1584&lt;&gt;'Team Setup'!$B$4,"Other sprint",IF($C1584="","Unassigned",IF(OR(ISNUMBER(SEARCH(",",$C1584)),ISNUMBER(SEARCH(";",$C1584))),"Multiple assignees",IF(COUNTIF('Team Setup'!$B$10:$B$34,$C1584)=1,"Matched","Unmatched")))))</x:f>
      </x:c>
      <x:c r="G1584" s="13" t="str">
        <x:f>IF($A1584="","",IF($D1584&lt;&gt;'Team Setup'!$B$4,"Other sprint",IF($E1584="","Unestimated",IF(NOT(ISNUMBER($E1584)),"Check estimate in hours",IF($E1584&lt;0,"Check estimate in hours",IF($E1584=0,"Unestimated","Estimated"))))))</x:f>
      </x:c>
    </x:row>
    <x:row r="1585">
      <x:c r="A1585" s="12"/>
      <x:c r="B1585" s="12"/>
      <x:c r="C1585" s="12"/>
      <x:c r="D1585" s="12"/>
      <x:c r="E1585" s="14"/>
      <x:c r="F1585" s="13" t="str">
        <x:f>IF($A1585="","",IF($D1585&lt;&gt;'Team Setup'!$B$4,"Other sprint",IF($C1585="","Unassigned",IF(OR(ISNUMBER(SEARCH(",",$C1585)),ISNUMBER(SEARCH(";",$C1585))),"Multiple assignees",IF(COUNTIF('Team Setup'!$B$10:$B$34,$C1585)=1,"Matched","Unmatched")))))</x:f>
      </x:c>
      <x:c r="G1585" s="13" t="str">
        <x:f>IF($A1585="","",IF($D1585&lt;&gt;'Team Setup'!$B$4,"Other sprint",IF($E1585="","Unestimated",IF(NOT(ISNUMBER($E1585)),"Check estimate in hours",IF($E1585&lt;0,"Check estimate in hours",IF($E1585=0,"Unestimated","Estimated"))))))</x:f>
      </x:c>
    </x:row>
    <x:row r="1586">
      <x:c r="A1586" s="12"/>
      <x:c r="B1586" s="12"/>
      <x:c r="C1586" s="12"/>
      <x:c r="D1586" s="12"/>
      <x:c r="E1586" s="14"/>
      <x:c r="F1586" s="13" t="str">
        <x:f>IF($A1586="","",IF($D1586&lt;&gt;'Team Setup'!$B$4,"Other sprint",IF($C1586="","Unassigned",IF(OR(ISNUMBER(SEARCH(",",$C1586)),ISNUMBER(SEARCH(";",$C1586))),"Multiple assignees",IF(COUNTIF('Team Setup'!$B$10:$B$34,$C1586)=1,"Matched","Unmatched")))))</x:f>
      </x:c>
      <x:c r="G1586" s="13" t="str">
        <x:f>IF($A1586="","",IF($D1586&lt;&gt;'Team Setup'!$B$4,"Other sprint",IF($E1586="","Unestimated",IF(NOT(ISNUMBER($E1586)),"Check estimate in hours",IF($E1586&lt;0,"Check estimate in hours",IF($E1586=0,"Unestimated","Estimated"))))))</x:f>
      </x:c>
    </x:row>
    <x:row r="1587">
      <x:c r="A1587" s="12"/>
      <x:c r="B1587" s="12"/>
      <x:c r="C1587" s="12"/>
      <x:c r="D1587" s="12"/>
      <x:c r="E1587" s="14"/>
      <x:c r="F1587" s="13" t="str">
        <x:f>IF($A1587="","",IF($D1587&lt;&gt;'Team Setup'!$B$4,"Other sprint",IF($C1587="","Unassigned",IF(OR(ISNUMBER(SEARCH(",",$C1587)),ISNUMBER(SEARCH(";",$C1587))),"Multiple assignees",IF(COUNTIF('Team Setup'!$B$10:$B$34,$C1587)=1,"Matched","Unmatched")))))</x:f>
      </x:c>
      <x:c r="G1587" s="13" t="str">
        <x:f>IF($A1587="","",IF($D1587&lt;&gt;'Team Setup'!$B$4,"Other sprint",IF($E1587="","Unestimated",IF(NOT(ISNUMBER($E1587)),"Check estimate in hours",IF($E1587&lt;0,"Check estimate in hours",IF($E1587=0,"Unestimated","Estimated"))))))</x:f>
      </x:c>
    </x:row>
    <x:row r="1588">
      <x:c r="A1588" s="12"/>
      <x:c r="B1588" s="12"/>
      <x:c r="C1588" s="12"/>
      <x:c r="D1588" s="12"/>
      <x:c r="E1588" s="14"/>
      <x:c r="F1588" s="13" t="str">
        <x:f>IF($A1588="","",IF($D1588&lt;&gt;'Team Setup'!$B$4,"Other sprint",IF($C1588="","Unassigned",IF(OR(ISNUMBER(SEARCH(",",$C1588)),ISNUMBER(SEARCH(";",$C1588))),"Multiple assignees",IF(COUNTIF('Team Setup'!$B$10:$B$34,$C1588)=1,"Matched","Unmatched")))))</x:f>
      </x:c>
      <x:c r="G1588" s="13" t="str">
        <x:f>IF($A1588="","",IF($D1588&lt;&gt;'Team Setup'!$B$4,"Other sprint",IF($E1588="","Unestimated",IF(NOT(ISNUMBER($E1588)),"Check estimate in hours",IF($E1588&lt;0,"Check estimate in hours",IF($E1588=0,"Unestimated","Estimated"))))))</x:f>
      </x:c>
    </x:row>
    <x:row r="1589">
      <x:c r="A1589" s="12"/>
      <x:c r="B1589" s="12"/>
      <x:c r="C1589" s="12"/>
      <x:c r="D1589" s="12"/>
      <x:c r="E1589" s="14"/>
      <x:c r="F1589" s="13" t="str">
        <x:f>IF($A1589="","",IF($D1589&lt;&gt;'Team Setup'!$B$4,"Other sprint",IF($C1589="","Unassigned",IF(OR(ISNUMBER(SEARCH(",",$C1589)),ISNUMBER(SEARCH(";",$C1589))),"Multiple assignees",IF(COUNTIF('Team Setup'!$B$10:$B$34,$C1589)=1,"Matched","Unmatched")))))</x:f>
      </x:c>
      <x:c r="G1589" s="13" t="str">
        <x:f>IF($A1589="","",IF($D1589&lt;&gt;'Team Setup'!$B$4,"Other sprint",IF($E1589="","Unestimated",IF(NOT(ISNUMBER($E1589)),"Check estimate in hours",IF($E1589&lt;0,"Check estimate in hours",IF($E1589=0,"Unestimated","Estimated"))))))</x:f>
      </x:c>
    </x:row>
    <x:row r="1590">
      <x:c r="A1590" s="12"/>
      <x:c r="B1590" s="12"/>
      <x:c r="C1590" s="12"/>
      <x:c r="D1590" s="12"/>
      <x:c r="E1590" s="14"/>
      <x:c r="F1590" s="13" t="str">
        <x:f>IF($A1590="","",IF($D1590&lt;&gt;'Team Setup'!$B$4,"Other sprint",IF($C1590="","Unassigned",IF(OR(ISNUMBER(SEARCH(",",$C1590)),ISNUMBER(SEARCH(";",$C1590))),"Multiple assignees",IF(COUNTIF('Team Setup'!$B$10:$B$34,$C1590)=1,"Matched","Unmatched")))))</x:f>
      </x:c>
      <x:c r="G1590" s="13" t="str">
        <x:f>IF($A1590="","",IF($D1590&lt;&gt;'Team Setup'!$B$4,"Other sprint",IF($E1590="","Unestimated",IF(NOT(ISNUMBER($E1590)),"Check estimate in hours",IF($E1590&lt;0,"Check estimate in hours",IF($E1590=0,"Unestimated","Estimated"))))))</x:f>
      </x:c>
    </x:row>
    <x:row r="1591">
      <x:c r="A1591" s="12"/>
      <x:c r="B1591" s="12"/>
      <x:c r="C1591" s="12"/>
      <x:c r="D1591" s="12"/>
      <x:c r="E1591" s="14"/>
      <x:c r="F1591" s="13" t="str">
        <x:f>IF($A1591="","",IF($D1591&lt;&gt;'Team Setup'!$B$4,"Other sprint",IF($C1591="","Unassigned",IF(OR(ISNUMBER(SEARCH(",",$C1591)),ISNUMBER(SEARCH(";",$C1591))),"Multiple assignees",IF(COUNTIF('Team Setup'!$B$10:$B$34,$C1591)=1,"Matched","Unmatched")))))</x:f>
      </x:c>
      <x:c r="G1591" s="13" t="str">
        <x:f>IF($A1591="","",IF($D1591&lt;&gt;'Team Setup'!$B$4,"Other sprint",IF($E1591="","Unestimated",IF(NOT(ISNUMBER($E1591)),"Check estimate in hours",IF($E1591&lt;0,"Check estimate in hours",IF($E1591=0,"Unestimated","Estimated"))))))</x:f>
      </x:c>
    </x:row>
    <x:row r="1592">
      <x:c r="A1592" s="12"/>
      <x:c r="B1592" s="12"/>
      <x:c r="C1592" s="12"/>
      <x:c r="D1592" s="12"/>
      <x:c r="E1592" s="14"/>
      <x:c r="F1592" s="13" t="str">
        <x:f>IF($A1592="","",IF($D1592&lt;&gt;'Team Setup'!$B$4,"Other sprint",IF($C1592="","Unassigned",IF(OR(ISNUMBER(SEARCH(",",$C1592)),ISNUMBER(SEARCH(";",$C1592))),"Multiple assignees",IF(COUNTIF('Team Setup'!$B$10:$B$34,$C1592)=1,"Matched","Unmatched")))))</x:f>
      </x:c>
      <x:c r="G1592" s="13" t="str">
        <x:f>IF($A1592="","",IF($D1592&lt;&gt;'Team Setup'!$B$4,"Other sprint",IF($E1592="","Unestimated",IF(NOT(ISNUMBER($E1592)),"Check estimate in hours",IF($E1592&lt;0,"Check estimate in hours",IF($E1592=0,"Unestimated","Estimated"))))))</x:f>
      </x:c>
    </x:row>
    <x:row r="1593">
      <x:c r="A1593" s="12"/>
      <x:c r="B1593" s="12"/>
      <x:c r="C1593" s="12"/>
      <x:c r="D1593" s="12"/>
      <x:c r="E1593" s="14"/>
      <x:c r="F1593" s="13" t="str">
        <x:f>IF($A1593="","",IF($D1593&lt;&gt;'Team Setup'!$B$4,"Other sprint",IF($C1593="","Unassigned",IF(OR(ISNUMBER(SEARCH(",",$C1593)),ISNUMBER(SEARCH(";",$C1593))),"Multiple assignees",IF(COUNTIF('Team Setup'!$B$10:$B$34,$C1593)=1,"Matched","Unmatched")))))</x:f>
      </x:c>
      <x:c r="G1593" s="13" t="str">
        <x:f>IF($A1593="","",IF($D1593&lt;&gt;'Team Setup'!$B$4,"Other sprint",IF($E1593="","Unestimated",IF(NOT(ISNUMBER($E1593)),"Check estimate in hours",IF($E1593&lt;0,"Check estimate in hours",IF($E1593=0,"Unestimated","Estimated"))))))</x:f>
      </x:c>
    </x:row>
    <x:row r="1594">
      <x:c r="A1594" s="12"/>
      <x:c r="B1594" s="12"/>
      <x:c r="C1594" s="12"/>
      <x:c r="D1594" s="12"/>
      <x:c r="E1594" s="14"/>
      <x:c r="F1594" s="13" t="str">
        <x:f>IF($A1594="","",IF($D1594&lt;&gt;'Team Setup'!$B$4,"Other sprint",IF($C1594="","Unassigned",IF(OR(ISNUMBER(SEARCH(",",$C1594)),ISNUMBER(SEARCH(";",$C1594))),"Multiple assignees",IF(COUNTIF('Team Setup'!$B$10:$B$34,$C1594)=1,"Matched","Unmatched")))))</x:f>
      </x:c>
      <x:c r="G1594" s="13" t="str">
        <x:f>IF($A1594="","",IF($D1594&lt;&gt;'Team Setup'!$B$4,"Other sprint",IF($E1594="","Unestimated",IF(NOT(ISNUMBER($E1594)),"Check estimate in hours",IF($E1594&lt;0,"Check estimate in hours",IF($E1594=0,"Unestimated","Estimated"))))))</x:f>
      </x:c>
    </x:row>
    <x:row r="1595">
      <x:c r="A1595" s="12"/>
      <x:c r="B1595" s="12"/>
      <x:c r="C1595" s="12"/>
      <x:c r="D1595" s="12"/>
      <x:c r="E1595" s="14"/>
      <x:c r="F1595" s="13" t="str">
        <x:f>IF($A1595="","",IF($D1595&lt;&gt;'Team Setup'!$B$4,"Other sprint",IF($C1595="","Unassigned",IF(OR(ISNUMBER(SEARCH(",",$C1595)),ISNUMBER(SEARCH(";",$C1595))),"Multiple assignees",IF(COUNTIF('Team Setup'!$B$10:$B$34,$C1595)=1,"Matched","Unmatched")))))</x:f>
      </x:c>
      <x:c r="G1595" s="13" t="str">
        <x:f>IF($A1595="","",IF($D1595&lt;&gt;'Team Setup'!$B$4,"Other sprint",IF($E1595="","Unestimated",IF(NOT(ISNUMBER($E1595)),"Check estimate in hours",IF($E1595&lt;0,"Check estimate in hours",IF($E1595=0,"Unestimated","Estimated"))))))</x:f>
      </x:c>
    </x:row>
    <x:row r="1596">
      <x:c r="A1596" s="12"/>
      <x:c r="B1596" s="12"/>
      <x:c r="C1596" s="12"/>
      <x:c r="D1596" s="12"/>
      <x:c r="E1596" s="14"/>
      <x:c r="F1596" s="13" t="str">
        <x:f>IF($A1596="","",IF($D1596&lt;&gt;'Team Setup'!$B$4,"Other sprint",IF($C1596="","Unassigned",IF(OR(ISNUMBER(SEARCH(",",$C1596)),ISNUMBER(SEARCH(";",$C1596))),"Multiple assignees",IF(COUNTIF('Team Setup'!$B$10:$B$34,$C1596)=1,"Matched","Unmatched")))))</x:f>
      </x:c>
      <x:c r="G1596" s="13" t="str">
        <x:f>IF($A1596="","",IF($D1596&lt;&gt;'Team Setup'!$B$4,"Other sprint",IF($E1596="","Unestimated",IF(NOT(ISNUMBER($E1596)),"Check estimate in hours",IF($E1596&lt;0,"Check estimate in hours",IF($E1596=0,"Unestimated","Estimated"))))))</x:f>
      </x:c>
    </x:row>
    <x:row r="1597">
      <x:c r="A1597" s="12"/>
      <x:c r="B1597" s="12"/>
      <x:c r="C1597" s="12"/>
      <x:c r="D1597" s="12"/>
      <x:c r="E1597" s="14"/>
      <x:c r="F1597" s="13" t="str">
        <x:f>IF($A1597="","",IF($D1597&lt;&gt;'Team Setup'!$B$4,"Other sprint",IF($C1597="","Unassigned",IF(OR(ISNUMBER(SEARCH(",",$C1597)),ISNUMBER(SEARCH(";",$C1597))),"Multiple assignees",IF(COUNTIF('Team Setup'!$B$10:$B$34,$C1597)=1,"Matched","Unmatched")))))</x:f>
      </x:c>
      <x:c r="G1597" s="13" t="str">
        <x:f>IF($A1597="","",IF($D1597&lt;&gt;'Team Setup'!$B$4,"Other sprint",IF($E1597="","Unestimated",IF(NOT(ISNUMBER($E1597)),"Check estimate in hours",IF($E1597&lt;0,"Check estimate in hours",IF($E1597=0,"Unestimated","Estimated"))))))</x:f>
      </x:c>
    </x:row>
    <x:row r="1598">
      <x:c r="A1598" s="12"/>
      <x:c r="B1598" s="12"/>
      <x:c r="C1598" s="12"/>
      <x:c r="D1598" s="12"/>
      <x:c r="E1598" s="14"/>
      <x:c r="F1598" s="13" t="str">
        <x:f>IF($A1598="","",IF($D1598&lt;&gt;'Team Setup'!$B$4,"Other sprint",IF($C1598="","Unassigned",IF(OR(ISNUMBER(SEARCH(",",$C1598)),ISNUMBER(SEARCH(";",$C1598))),"Multiple assignees",IF(COUNTIF('Team Setup'!$B$10:$B$34,$C1598)=1,"Matched","Unmatched")))))</x:f>
      </x:c>
      <x:c r="G1598" s="13" t="str">
        <x:f>IF($A1598="","",IF($D1598&lt;&gt;'Team Setup'!$B$4,"Other sprint",IF($E1598="","Unestimated",IF(NOT(ISNUMBER($E1598)),"Check estimate in hours",IF($E1598&lt;0,"Check estimate in hours",IF($E1598=0,"Unestimated","Estimated"))))))</x:f>
      </x:c>
    </x:row>
    <x:row r="1599">
      <x:c r="A1599" s="12"/>
      <x:c r="B1599" s="12"/>
      <x:c r="C1599" s="12"/>
      <x:c r="D1599" s="12"/>
      <x:c r="E1599" s="14"/>
      <x:c r="F1599" s="13" t="str">
        <x:f>IF($A1599="","",IF($D1599&lt;&gt;'Team Setup'!$B$4,"Other sprint",IF($C1599="","Unassigned",IF(OR(ISNUMBER(SEARCH(",",$C1599)),ISNUMBER(SEARCH(";",$C1599))),"Multiple assignees",IF(COUNTIF('Team Setup'!$B$10:$B$34,$C1599)=1,"Matched","Unmatched")))))</x:f>
      </x:c>
      <x:c r="G1599" s="13" t="str">
        <x:f>IF($A1599="","",IF($D1599&lt;&gt;'Team Setup'!$B$4,"Other sprint",IF($E1599="","Unestimated",IF(NOT(ISNUMBER($E1599)),"Check estimate in hours",IF($E1599&lt;0,"Check estimate in hours",IF($E1599=0,"Unestimated","Estimated"))))))</x:f>
      </x:c>
    </x:row>
    <x:row r="1600">
      <x:c r="A1600" s="12"/>
      <x:c r="B1600" s="12"/>
      <x:c r="C1600" s="12"/>
      <x:c r="D1600" s="12"/>
      <x:c r="E1600" s="14"/>
      <x:c r="F1600" s="13" t="str">
        <x:f>IF($A1600="","",IF($D1600&lt;&gt;'Team Setup'!$B$4,"Other sprint",IF($C1600="","Unassigned",IF(OR(ISNUMBER(SEARCH(",",$C1600)),ISNUMBER(SEARCH(";",$C1600))),"Multiple assignees",IF(COUNTIF('Team Setup'!$B$10:$B$34,$C1600)=1,"Matched","Unmatched")))))</x:f>
      </x:c>
      <x:c r="G1600" s="13" t="str">
        <x:f>IF($A1600="","",IF($D1600&lt;&gt;'Team Setup'!$B$4,"Other sprint",IF($E1600="","Unestimated",IF(NOT(ISNUMBER($E1600)),"Check estimate in hours",IF($E1600&lt;0,"Check estimate in hours",IF($E1600=0,"Unestimated","Estimated"))))))</x:f>
      </x:c>
    </x:row>
    <x:row r="1601">
      <x:c r="A1601" s="12"/>
      <x:c r="B1601" s="12"/>
      <x:c r="C1601" s="12"/>
      <x:c r="D1601" s="12"/>
      <x:c r="E1601" s="14"/>
      <x:c r="F1601" s="13" t="str">
        <x:f>IF($A1601="","",IF($D1601&lt;&gt;'Team Setup'!$B$4,"Other sprint",IF($C1601="","Unassigned",IF(OR(ISNUMBER(SEARCH(",",$C1601)),ISNUMBER(SEARCH(";",$C1601))),"Multiple assignees",IF(COUNTIF('Team Setup'!$B$10:$B$34,$C1601)=1,"Matched","Unmatched")))))</x:f>
      </x:c>
      <x:c r="G1601" s="13" t="str">
        <x:f>IF($A1601="","",IF($D1601&lt;&gt;'Team Setup'!$B$4,"Other sprint",IF($E1601="","Unestimated",IF(NOT(ISNUMBER($E1601)),"Check estimate in hours",IF($E1601&lt;0,"Check estimate in hours",IF($E1601=0,"Unestimated","Estimated"))))))</x:f>
      </x:c>
    </x:row>
    <x:row r="1602">
      <x:c r="A1602" s="12"/>
      <x:c r="B1602" s="12"/>
      <x:c r="C1602" s="12"/>
      <x:c r="D1602" s="12"/>
      <x:c r="E1602" s="14"/>
      <x:c r="F1602" s="13" t="str">
        <x:f>IF($A1602="","",IF($D1602&lt;&gt;'Team Setup'!$B$4,"Other sprint",IF($C1602="","Unassigned",IF(OR(ISNUMBER(SEARCH(",",$C1602)),ISNUMBER(SEARCH(";",$C1602))),"Multiple assignees",IF(COUNTIF('Team Setup'!$B$10:$B$34,$C1602)=1,"Matched","Unmatched")))))</x:f>
      </x:c>
      <x:c r="G1602" s="13" t="str">
        <x:f>IF($A1602="","",IF($D1602&lt;&gt;'Team Setup'!$B$4,"Other sprint",IF($E1602="","Unestimated",IF(NOT(ISNUMBER($E1602)),"Check estimate in hours",IF($E1602&lt;0,"Check estimate in hours",IF($E1602=0,"Unestimated","Estimated"))))))</x:f>
      </x:c>
    </x:row>
    <x:row r="1603">
      <x:c r="A1603" s="12"/>
      <x:c r="B1603" s="12"/>
      <x:c r="C1603" s="12"/>
      <x:c r="D1603" s="12"/>
      <x:c r="E1603" s="14"/>
      <x:c r="F1603" s="13" t="str">
        <x:f>IF($A1603="","",IF($D1603&lt;&gt;'Team Setup'!$B$4,"Other sprint",IF($C1603="","Unassigned",IF(OR(ISNUMBER(SEARCH(",",$C1603)),ISNUMBER(SEARCH(";",$C1603))),"Multiple assignees",IF(COUNTIF('Team Setup'!$B$10:$B$34,$C1603)=1,"Matched","Unmatched")))))</x:f>
      </x:c>
      <x:c r="G1603" s="13" t="str">
        <x:f>IF($A1603="","",IF($D1603&lt;&gt;'Team Setup'!$B$4,"Other sprint",IF($E1603="","Unestimated",IF(NOT(ISNUMBER($E1603)),"Check estimate in hours",IF($E1603&lt;0,"Check estimate in hours",IF($E1603=0,"Unestimated","Estimated"))))))</x:f>
      </x:c>
    </x:row>
    <x:row r="1604">
      <x:c r="A1604" s="12"/>
      <x:c r="B1604" s="12"/>
      <x:c r="C1604" s="12"/>
      <x:c r="D1604" s="12"/>
      <x:c r="E1604" s="14"/>
      <x:c r="F1604" s="13" t="str">
        <x:f>IF($A1604="","",IF($D1604&lt;&gt;'Team Setup'!$B$4,"Other sprint",IF($C1604="","Unassigned",IF(OR(ISNUMBER(SEARCH(",",$C1604)),ISNUMBER(SEARCH(";",$C1604))),"Multiple assignees",IF(COUNTIF('Team Setup'!$B$10:$B$34,$C1604)=1,"Matched","Unmatched")))))</x:f>
      </x:c>
      <x:c r="G1604" s="13" t="str">
        <x:f>IF($A1604="","",IF($D1604&lt;&gt;'Team Setup'!$B$4,"Other sprint",IF($E1604="","Unestimated",IF(NOT(ISNUMBER($E1604)),"Check estimate in hours",IF($E1604&lt;0,"Check estimate in hours",IF($E1604=0,"Unestimated","Estimated"))))))</x:f>
      </x:c>
    </x:row>
    <x:row r="1605">
      <x:c r="A1605" s="12"/>
      <x:c r="B1605" s="12"/>
      <x:c r="C1605" s="12"/>
      <x:c r="D1605" s="12"/>
      <x:c r="E1605" s="14"/>
      <x:c r="F1605" s="13" t="str">
        <x:f>IF($A1605="","",IF($D1605&lt;&gt;'Team Setup'!$B$4,"Other sprint",IF($C1605="","Unassigned",IF(OR(ISNUMBER(SEARCH(",",$C1605)),ISNUMBER(SEARCH(";",$C1605))),"Multiple assignees",IF(COUNTIF('Team Setup'!$B$10:$B$34,$C1605)=1,"Matched","Unmatched")))))</x:f>
      </x:c>
      <x:c r="G1605" s="13" t="str">
        <x:f>IF($A1605="","",IF($D1605&lt;&gt;'Team Setup'!$B$4,"Other sprint",IF($E1605="","Unestimated",IF(NOT(ISNUMBER($E1605)),"Check estimate in hours",IF($E1605&lt;0,"Check estimate in hours",IF($E1605=0,"Unestimated","Estimated"))))))</x:f>
      </x:c>
    </x:row>
    <x:row r="1606">
      <x:c r="A1606" s="12"/>
      <x:c r="B1606" s="12"/>
      <x:c r="C1606" s="12"/>
      <x:c r="D1606" s="12"/>
      <x:c r="E1606" s="14"/>
      <x:c r="F1606" s="13" t="str">
        <x:f>IF($A1606="","",IF($D1606&lt;&gt;'Team Setup'!$B$4,"Other sprint",IF($C1606="","Unassigned",IF(OR(ISNUMBER(SEARCH(",",$C1606)),ISNUMBER(SEARCH(";",$C1606))),"Multiple assignees",IF(COUNTIF('Team Setup'!$B$10:$B$34,$C1606)=1,"Matched","Unmatched")))))</x:f>
      </x:c>
      <x:c r="G1606" s="13" t="str">
        <x:f>IF($A1606="","",IF($D1606&lt;&gt;'Team Setup'!$B$4,"Other sprint",IF($E1606="","Unestimated",IF(NOT(ISNUMBER($E1606)),"Check estimate in hours",IF($E1606&lt;0,"Check estimate in hours",IF($E1606=0,"Unestimated","Estimated"))))))</x:f>
      </x:c>
    </x:row>
    <x:row r="1607">
      <x:c r="A1607" s="12"/>
      <x:c r="B1607" s="12"/>
      <x:c r="C1607" s="12"/>
      <x:c r="D1607" s="12"/>
      <x:c r="E1607" s="14"/>
      <x:c r="F1607" s="13" t="str">
        <x:f>IF($A1607="","",IF($D1607&lt;&gt;'Team Setup'!$B$4,"Other sprint",IF($C1607="","Unassigned",IF(OR(ISNUMBER(SEARCH(",",$C1607)),ISNUMBER(SEARCH(";",$C1607))),"Multiple assignees",IF(COUNTIF('Team Setup'!$B$10:$B$34,$C1607)=1,"Matched","Unmatched")))))</x:f>
      </x:c>
      <x:c r="G1607" s="13" t="str">
        <x:f>IF($A1607="","",IF($D1607&lt;&gt;'Team Setup'!$B$4,"Other sprint",IF($E1607="","Unestimated",IF(NOT(ISNUMBER($E1607)),"Check estimate in hours",IF($E1607&lt;0,"Check estimate in hours",IF($E1607=0,"Unestimated","Estimated"))))))</x:f>
      </x:c>
    </x:row>
    <x:row r="1608">
      <x:c r="A1608" s="12"/>
      <x:c r="B1608" s="12"/>
      <x:c r="C1608" s="12"/>
      <x:c r="D1608" s="12"/>
      <x:c r="E1608" s="14"/>
      <x:c r="F1608" s="13" t="str">
        <x:f>IF($A1608="","",IF($D1608&lt;&gt;'Team Setup'!$B$4,"Other sprint",IF($C1608="","Unassigned",IF(OR(ISNUMBER(SEARCH(",",$C1608)),ISNUMBER(SEARCH(";",$C1608))),"Multiple assignees",IF(COUNTIF('Team Setup'!$B$10:$B$34,$C1608)=1,"Matched","Unmatched")))))</x:f>
      </x:c>
      <x:c r="G1608" s="13" t="str">
        <x:f>IF($A1608="","",IF($D1608&lt;&gt;'Team Setup'!$B$4,"Other sprint",IF($E1608="","Unestimated",IF(NOT(ISNUMBER($E1608)),"Check estimate in hours",IF($E1608&lt;0,"Check estimate in hours",IF($E1608=0,"Unestimated","Estimated"))))))</x:f>
      </x:c>
    </x:row>
    <x:row r="1609">
      <x:c r="A1609" s="12"/>
      <x:c r="B1609" s="12"/>
      <x:c r="C1609" s="12"/>
      <x:c r="D1609" s="12"/>
      <x:c r="E1609" s="14"/>
      <x:c r="F1609" s="13" t="str">
        <x:f>IF($A1609="","",IF($D1609&lt;&gt;'Team Setup'!$B$4,"Other sprint",IF($C1609="","Unassigned",IF(OR(ISNUMBER(SEARCH(",",$C1609)),ISNUMBER(SEARCH(";",$C1609))),"Multiple assignees",IF(COUNTIF('Team Setup'!$B$10:$B$34,$C1609)=1,"Matched","Unmatched")))))</x:f>
      </x:c>
      <x:c r="G1609" s="13" t="str">
        <x:f>IF($A1609="","",IF($D1609&lt;&gt;'Team Setup'!$B$4,"Other sprint",IF($E1609="","Unestimated",IF(NOT(ISNUMBER($E1609)),"Check estimate in hours",IF($E1609&lt;0,"Check estimate in hours",IF($E1609=0,"Unestimated","Estimated"))))))</x:f>
      </x:c>
    </x:row>
    <x:row r="1610">
      <x:c r="A1610" s="12"/>
      <x:c r="B1610" s="12"/>
      <x:c r="C1610" s="12"/>
      <x:c r="D1610" s="12"/>
      <x:c r="E1610" s="14"/>
      <x:c r="F1610" s="13" t="str">
        <x:f>IF($A1610="","",IF($D1610&lt;&gt;'Team Setup'!$B$4,"Other sprint",IF($C1610="","Unassigned",IF(OR(ISNUMBER(SEARCH(",",$C1610)),ISNUMBER(SEARCH(";",$C1610))),"Multiple assignees",IF(COUNTIF('Team Setup'!$B$10:$B$34,$C1610)=1,"Matched","Unmatched")))))</x:f>
      </x:c>
      <x:c r="G1610" s="13" t="str">
        <x:f>IF($A1610="","",IF($D1610&lt;&gt;'Team Setup'!$B$4,"Other sprint",IF($E1610="","Unestimated",IF(NOT(ISNUMBER($E1610)),"Check estimate in hours",IF($E1610&lt;0,"Check estimate in hours",IF($E1610=0,"Unestimated","Estimated"))))))</x:f>
      </x:c>
    </x:row>
    <x:row r="1611">
      <x:c r="A1611" s="12"/>
      <x:c r="B1611" s="12"/>
      <x:c r="C1611" s="12"/>
      <x:c r="D1611" s="12"/>
      <x:c r="E1611" s="14"/>
      <x:c r="F1611" s="13" t="str">
        <x:f>IF($A1611="","",IF($D1611&lt;&gt;'Team Setup'!$B$4,"Other sprint",IF($C1611="","Unassigned",IF(OR(ISNUMBER(SEARCH(",",$C1611)),ISNUMBER(SEARCH(";",$C1611))),"Multiple assignees",IF(COUNTIF('Team Setup'!$B$10:$B$34,$C1611)=1,"Matched","Unmatched")))))</x:f>
      </x:c>
      <x:c r="G1611" s="13" t="str">
        <x:f>IF($A1611="","",IF($D1611&lt;&gt;'Team Setup'!$B$4,"Other sprint",IF($E1611="","Unestimated",IF(NOT(ISNUMBER($E1611)),"Check estimate in hours",IF($E1611&lt;0,"Check estimate in hours",IF($E1611=0,"Unestimated","Estimated"))))))</x:f>
      </x:c>
    </x:row>
    <x:row r="1612">
      <x:c r="A1612" s="12"/>
      <x:c r="B1612" s="12"/>
      <x:c r="C1612" s="12"/>
      <x:c r="D1612" s="12"/>
      <x:c r="E1612" s="14"/>
      <x:c r="F1612" s="13" t="str">
        <x:f>IF($A1612="","",IF($D1612&lt;&gt;'Team Setup'!$B$4,"Other sprint",IF($C1612="","Unassigned",IF(OR(ISNUMBER(SEARCH(",",$C1612)),ISNUMBER(SEARCH(";",$C1612))),"Multiple assignees",IF(COUNTIF('Team Setup'!$B$10:$B$34,$C1612)=1,"Matched","Unmatched")))))</x:f>
      </x:c>
      <x:c r="G1612" s="13" t="str">
        <x:f>IF($A1612="","",IF($D1612&lt;&gt;'Team Setup'!$B$4,"Other sprint",IF($E1612="","Unestimated",IF(NOT(ISNUMBER($E1612)),"Check estimate in hours",IF($E1612&lt;0,"Check estimate in hours",IF($E1612=0,"Unestimated","Estimated"))))))</x:f>
      </x:c>
    </x:row>
    <x:row r="1613">
      <x:c r="A1613" s="12"/>
      <x:c r="B1613" s="12"/>
      <x:c r="C1613" s="12"/>
      <x:c r="D1613" s="12"/>
      <x:c r="E1613" s="14"/>
      <x:c r="F1613" s="13" t="str">
        <x:f>IF($A1613="","",IF($D1613&lt;&gt;'Team Setup'!$B$4,"Other sprint",IF($C1613="","Unassigned",IF(OR(ISNUMBER(SEARCH(",",$C1613)),ISNUMBER(SEARCH(";",$C1613))),"Multiple assignees",IF(COUNTIF('Team Setup'!$B$10:$B$34,$C1613)=1,"Matched","Unmatched")))))</x:f>
      </x:c>
      <x:c r="G1613" s="13" t="str">
        <x:f>IF($A1613="","",IF($D1613&lt;&gt;'Team Setup'!$B$4,"Other sprint",IF($E1613="","Unestimated",IF(NOT(ISNUMBER($E1613)),"Check estimate in hours",IF($E1613&lt;0,"Check estimate in hours",IF($E1613=0,"Unestimated","Estimated"))))))</x:f>
      </x:c>
    </x:row>
    <x:row r="1614">
      <x:c r="A1614" s="12"/>
      <x:c r="B1614" s="12"/>
      <x:c r="C1614" s="12"/>
      <x:c r="D1614" s="12"/>
      <x:c r="E1614" s="14"/>
      <x:c r="F1614" s="13" t="str">
        <x:f>IF($A1614="","",IF($D1614&lt;&gt;'Team Setup'!$B$4,"Other sprint",IF($C1614="","Unassigned",IF(OR(ISNUMBER(SEARCH(",",$C1614)),ISNUMBER(SEARCH(";",$C1614))),"Multiple assignees",IF(COUNTIF('Team Setup'!$B$10:$B$34,$C1614)=1,"Matched","Unmatched")))))</x:f>
      </x:c>
      <x:c r="G1614" s="13" t="str">
        <x:f>IF($A1614="","",IF($D1614&lt;&gt;'Team Setup'!$B$4,"Other sprint",IF($E1614="","Unestimated",IF(NOT(ISNUMBER($E1614)),"Check estimate in hours",IF($E1614&lt;0,"Check estimate in hours",IF($E1614=0,"Unestimated","Estimated"))))))</x:f>
      </x:c>
    </x:row>
    <x:row r="1615">
      <x:c r="A1615" s="12"/>
      <x:c r="B1615" s="12"/>
      <x:c r="C1615" s="12"/>
      <x:c r="D1615" s="12"/>
      <x:c r="E1615" s="14"/>
      <x:c r="F1615" s="13" t="str">
        <x:f>IF($A1615="","",IF($D1615&lt;&gt;'Team Setup'!$B$4,"Other sprint",IF($C1615="","Unassigned",IF(OR(ISNUMBER(SEARCH(",",$C1615)),ISNUMBER(SEARCH(";",$C1615))),"Multiple assignees",IF(COUNTIF('Team Setup'!$B$10:$B$34,$C1615)=1,"Matched","Unmatched")))))</x:f>
      </x:c>
      <x:c r="G1615" s="13" t="str">
        <x:f>IF($A1615="","",IF($D1615&lt;&gt;'Team Setup'!$B$4,"Other sprint",IF($E1615="","Unestimated",IF(NOT(ISNUMBER($E1615)),"Check estimate in hours",IF($E1615&lt;0,"Check estimate in hours",IF($E1615=0,"Unestimated","Estimated"))))))</x:f>
      </x:c>
    </x:row>
    <x:row r="1616">
      <x:c r="A1616" s="12"/>
      <x:c r="B1616" s="12"/>
      <x:c r="C1616" s="12"/>
      <x:c r="D1616" s="12"/>
      <x:c r="E1616" s="14"/>
      <x:c r="F1616" s="13" t="str">
        <x:f>IF($A1616="","",IF($D1616&lt;&gt;'Team Setup'!$B$4,"Other sprint",IF($C1616="","Unassigned",IF(OR(ISNUMBER(SEARCH(",",$C1616)),ISNUMBER(SEARCH(";",$C1616))),"Multiple assignees",IF(COUNTIF('Team Setup'!$B$10:$B$34,$C1616)=1,"Matched","Unmatched")))))</x:f>
      </x:c>
      <x:c r="G1616" s="13" t="str">
        <x:f>IF($A1616="","",IF($D1616&lt;&gt;'Team Setup'!$B$4,"Other sprint",IF($E1616="","Unestimated",IF(NOT(ISNUMBER($E1616)),"Check estimate in hours",IF($E1616&lt;0,"Check estimate in hours",IF($E1616=0,"Unestimated","Estimated"))))))</x:f>
      </x:c>
    </x:row>
    <x:row r="1617">
      <x:c r="A1617" s="12"/>
      <x:c r="B1617" s="12"/>
      <x:c r="C1617" s="12"/>
      <x:c r="D1617" s="12"/>
      <x:c r="E1617" s="14"/>
      <x:c r="F1617" s="13" t="str">
        <x:f>IF($A1617="","",IF($D1617&lt;&gt;'Team Setup'!$B$4,"Other sprint",IF($C1617="","Unassigned",IF(OR(ISNUMBER(SEARCH(",",$C1617)),ISNUMBER(SEARCH(";",$C1617))),"Multiple assignees",IF(COUNTIF('Team Setup'!$B$10:$B$34,$C1617)=1,"Matched","Unmatched")))))</x:f>
      </x:c>
      <x:c r="G1617" s="13" t="str">
        <x:f>IF($A1617="","",IF($D1617&lt;&gt;'Team Setup'!$B$4,"Other sprint",IF($E1617="","Unestimated",IF(NOT(ISNUMBER($E1617)),"Check estimate in hours",IF($E1617&lt;0,"Check estimate in hours",IF($E1617=0,"Unestimated","Estimated"))))))</x:f>
      </x:c>
    </x:row>
    <x:row r="1618">
      <x:c r="A1618" s="12"/>
      <x:c r="B1618" s="12"/>
      <x:c r="C1618" s="12"/>
      <x:c r="D1618" s="12"/>
      <x:c r="E1618" s="14"/>
      <x:c r="F1618" s="13" t="str">
        <x:f>IF($A1618="","",IF($D1618&lt;&gt;'Team Setup'!$B$4,"Other sprint",IF($C1618="","Unassigned",IF(OR(ISNUMBER(SEARCH(",",$C1618)),ISNUMBER(SEARCH(";",$C1618))),"Multiple assignees",IF(COUNTIF('Team Setup'!$B$10:$B$34,$C1618)=1,"Matched","Unmatched")))))</x:f>
      </x:c>
      <x:c r="G1618" s="13" t="str">
        <x:f>IF($A1618="","",IF($D1618&lt;&gt;'Team Setup'!$B$4,"Other sprint",IF($E1618="","Unestimated",IF(NOT(ISNUMBER($E1618)),"Check estimate in hours",IF($E1618&lt;0,"Check estimate in hours",IF($E1618=0,"Unestimated","Estimated"))))))</x:f>
      </x:c>
    </x:row>
    <x:row r="1619">
      <x:c r="A1619" s="12"/>
      <x:c r="B1619" s="12"/>
      <x:c r="C1619" s="12"/>
      <x:c r="D1619" s="12"/>
      <x:c r="E1619" s="14"/>
      <x:c r="F1619" s="13" t="str">
        <x:f>IF($A1619="","",IF($D1619&lt;&gt;'Team Setup'!$B$4,"Other sprint",IF($C1619="","Unassigned",IF(OR(ISNUMBER(SEARCH(",",$C1619)),ISNUMBER(SEARCH(";",$C1619))),"Multiple assignees",IF(COUNTIF('Team Setup'!$B$10:$B$34,$C1619)=1,"Matched","Unmatched")))))</x:f>
      </x:c>
      <x:c r="G1619" s="13" t="str">
        <x:f>IF($A1619="","",IF($D1619&lt;&gt;'Team Setup'!$B$4,"Other sprint",IF($E1619="","Unestimated",IF(NOT(ISNUMBER($E1619)),"Check estimate in hours",IF($E1619&lt;0,"Check estimate in hours",IF($E1619=0,"Unestimated","Estimated"))))))</x:f>
      </x:c>
    </x:row>
    <x:row r="1620">
      <x:c r="A1620" s="12"/>
      <x:c r="B1620" s="12"/>
      <x:c r="C1620" s="12"/>
      <x:c r="D1620" s="12"/>
      <x:c r="E1620" s="14"/>
      <x:c r="F1620" s="13" t="str">
        <x:f>IF($A1620="","",IF($D1620&lt;&gt;'Team Setup'!$B$4,"Other sprint",IF($C1620="","Unassigned",IF(OR(ISNUMBER(SEARCH(",",$C1620)),ISNUMBER(SEARCH(";",$C1620))),"Multiple assignees",IF(COUNTIF('Team Setup'!$B$10:$B$34,$C1620)=1,"Matched","Unmatched")))))</x:f>
      </x:c>
      <x:c r="G1620" s="13" t="str">
        <x:f>IF($A1620="","",IF($D1620&lt;&gt;'Team Setup'!$B$4,"Other sprint",IF($E1620="","Unestimated",IF(NOT(ISNUMBER($E1620)),"Check estimate in hours",IF($E1620&lt;0,"Check estimate in hours",IF($E1620=0,"Unestimated","Estimated"))))))</x:f>
      </x:c>
    </x:row>
    <x:row r="1621">
      <x:c r="A1621" s="12"/>
      <x:c r="B1621" s="12"/>
      <x:c r="C1621" s="12"/>
      <x:c r="D1621" s="12"/>
      <x:c r="E1621" s="14"/>
      <x:c r="F1621" s="13" t="str">
        <x:f>IF($A1621="","",IF($D1621&lt;&gt;'Team Setup'!$B$4,"Other sprint",IF($C1621="","Unassigned",IF(OR(ISNUMBER(SEARCH(",",$C1621)),ISNUMBER(SEARCH(";",$C1621))),"Multiple assignees",IF(COUNTIF('Team Setup'!$B$10:$B$34,$C1621)=1,"Matched","Unmatched")))))</x:f>
      </x:c>
      <x:c r="G1621" s="13" t="str">
        <x:f>IF($A1621="","",IF($D1621&lt;&gt;'Team Setup'!$B$4,"Other sprint",IF($E1621="","Unestimated",IF(NOT(ISNUMBER($E1621)),"Check estimate in hours",IF($E1621&lt;0,"Check estimate in hours",IF($E1621=0,"Unestimated","Estimated"))))))</x:f>
      </x:c>
    </x:row>
    <x:row r="1622">
      <x:c r="A1622" s="12"/>
      <x:c r="B1622" s="12"/>
      <x:c r="C1622" s="12"/>
      <x:c r="D1622" s="12"/>
      <x:c r="E1622" s="14"/>
      <x:c r="F1622" s="13" t="str">
        <x:f>IF($A1622="","",IF($D1622&lt;&gt;'Team Setup'!$B$4,"Other sprint",IF($C1622="","Unassigned",IF(OR(ISNUMBER(SEARCH(",",$C1622)),ISNUMBER(SEARCH(";",$C1622))),"Multiple assignees",IF(COUNTIF('Team Setup'!$B$10:$B$34,$C1622)=1,"Matched","Unmatched")))))</x:f>
      </x:c>
      <x:c r="G1622" s="13" t="str">
        <x:f>IF($A1622="","",IF($D1622&lt;&gt;'Team Setup'!$B$4,"Other sprint",IF($E1622="","Unestimated",IF(NOT(ISNUMBER($E1622)),"Check estimate in hours",IF($E1622&lt;0,"Check estimate in hours",IF($E1622=0,"Unestimated","Estimated"))))))</x:f>
      </x:c>
    </x:row>
    <x:row r="1623">
      <x:c r="A1623" s="12"/>
      <x:c r="B1623" s="12"/>
      <x:c r="C1623" s="12"/>
      <x:c r="D1623" s="12"/>
      <x:c r="E1623" s="14"/>
      <x:c r="F1623" s="13" t="str">
        <x:f>IF($A1623="","",IF($D1623&lt;&gt;'Team Setup'!$B$4,"Other sprint",IF($C1623="","Unassigned",IF(OR(ISNUMBER(SEARCH(",",$C1623)),ISNUMBER(SEARCH(";",$C1623))),"Multiple assignees",IF(COUNTIF('Team Setup'!$B$10:$B$34,$C1623)=1,"Matched","Unmatched")))))</x:f>
      </x:c>
      <x:c r="G1623" s="13" t="str">
        <x:f>IF($A1623="","",IF($D1623&lt;&gt;'Team Setup'!$B$4,"Other sprint",IF($E1623="","Unestimated",IF(NOT(ISNUMBER($E1623)),"Check estimate in hours",IF($E1623&lt;0,"Check estimate in hours",IF($E1623=0,"Unestimated","Estimated"))))))</x:f>
      </x:c>
    </x:row>
    <x:row r="1624">
      <x:c r="A1624" s="12"/>
      <x:c r="B1624" s="12"/>
      <x:c r="C1624" s="12"/>
      <x:c r="D1624" s="12"/>
      <x:c r="E1624" s="14"/>
      <x:c r="F1624" s="13" t="str">
        <x:f>IF($A1624="","",IF($D1624&lt;&gt;'Team Setup'!$B$4,"Other sprint",IF($C1624="","Unassigned",IF(OR(ISNUMBER(SEARCH(",",$C1624)),ISNUMBER(SEARCH(";",$C1624))),"Multiple assignees",IF(COUNTIF('Team Setup'!$B$10:$B$34,$C1624)=1,"Matched","Unmatched")))))</x:f>
      </x:c>
      <x:c r="G1624" s="13" t="str">
        <x:f>IF($A1624="","",IF($D1624&lt;&gt;'Team Setup'!$B$4,"Other sprint",IF($E1624="","Unestimated",IF(NOT(ISNUMBER($E1624)),"Check estimate in hours",IF($E1624&lt;0,"Check estimate in hours",IF($E1624=0,"Unestimated","Estimated"))))))</x:f>
      </x:c>
    </x:row>
    <x:row r="1625">
      <x:c r="A1625" s="12"/>
      <x:c r="B1625" s="12"/>
      <x:c r="C1625" s="12"/>
      <x:c r="D1625" s="12"/>
      <x:c r="E1625" s="14"/>
      <x:c r="F1625" s="13" t="str">
        <x:f>IF($A1625="","",IF($D1625&lt;&gt;'Team Setup'!$B$4,"Other sprint",IF($C1625="","Unassigned",IF(OR(ISNUMBER(SEARCH(",",$C1625)),ISNUMBER(SEARCH(";",$C1625))),"Multiple assignees",IF(COUNTIF('Team Setup'!$B$10:$B$34,$C1625)=1,"Matched","Unmatched")))))</x:f>
      </x:c>
      <x:c r="G1625" s="13" t="str">
        <x:f>IF($A1625="","",IF($D1625&lt;&gt;'Team Setup'!$B$4,"Other sprint",IF($E1625="","Unestimated",IF(NOT(ISNUMBER($E1625)),"Check estimate in hours",IF($E1625&lt;0,"Check estimate in hours",IF($E1625=0,"Unestimated","Estimated"))))))</x:f>
      </x:c>
    </x:row>
    <x:row r="1626">
      <x:c r="A1626" s="12"/>
      <x:c r="B1626" s="12"/>
      <x:c r="C1626" s="12"/>
      <x:c r="D1626" s="12"/>
      <x:c r="E1626" s="14"/>
      <x:c r="F1626" s="13" t="str">
        <x:f>IF($A1626="","",IF($D1626&lt;&gt;'Team Setup'!$B$4,"Other sprint",IF($C1626="","Unassigned",IF(OR(ISNUMBER(SEARCH(",",$C1626)),ISNUMBER(SEARCH(";",$C1626))),"Multiple assignees",IF(COUNTIF('Team Setup'!$B$10:$B$34,$C1626)=1,"Matched","Unmatched")))))</x:f>
      </x:c>
      <x:c r="G1626" s="13" t="str">
        <x:f>IF($A1626="","",IF($D1626&lt;&gt;'Team Setup'!$B$4,"Other sprint",IF($E1626="","Unestimated",IF(NOT(ISNUMBER($E1626)),"Check estimate in hours",IF($E1626&lt;0,"Check estimate in hours",IF($E1626=0,"Unestimated","Estimated"))))))</x:f>
      </x:c>
    </x:row>
    <x:row r="1627">
      <x:c r="A1627" s="12"/>
      <x:c r="B1627" s="12"/>
      <x:c r="C1627" s="12"/>
      <x:c r="D1627" s="12"/>
      <x:c r="E1627" s="14"/>
      <x:c r="F1627" s="13" t="str">
        <x:f>IF($A1627="","",IF($D1627&lt;&gt;'Team Setup'!$B$4,"Other sprint",IF($C1627="","Unassigned",IF(OR(ISNUMBER(SEARCH(",",$C1627)),ISNUMBER(SEARCH(";",$C1627))),"Multiple assignees",IF(COUNTIF('Team Setup'!$B$10:$B$34,$C1627)=1,"Matched","Unmatched")))))</x:f>
      </x:c>
      <x:c r="G1627" s="13" t="str">
        <x:f>IF($A1627="","",IF($D1627&lt;&gt;'Team Setup'!$B$4,"Other sprint",IF($E1627="","Unestimated",IF(NOT(ISNUMBER($E1627)),"Check estimate in hours",IF($E1627&lt;0,"Check estimate in hours",IF($E1627=0,"Unestimated","Estimated"))))))</x:f>
      </x:c>
    </x:row>
    <x:row r="1628">
      <x:c r="A1628" s="12"/>
      <x:c r="B1628" s="12"/>
      <x:c r="C1628" s="12"/>
      <x:c r="D1628" s="12"/>
      <x:c r="E1628" s="14"/>
      <x:c r="F1628" s="13" t="str">
        <x:f>IF($A1628="","",IF($D1628&lt;&gt;'Team Setup'!$B$4,"Other sprint",IF($C1628="","Unassigned",IF(OR(ISNUMBER(SEARCH(",",$C1628)),ISNUMBER(SEARCH(";",$C1628))),"Multiple assignees",IF(COUNTIF('Team Setup'!$B$10:$B$34,$C1628)=1,"Matched","Unmatched")))))</x:f>
      </x:c>
      <x:c r="G1628" s="13" t="str">
        <x:f>IF($A1628="","",IF($D1628&lt;&gt;'Team Setup'!$B$4,"Other sprint",IF($E1628="","Unestimated",IF(NOT(ISNUMBER($E1628)),"Check estimate in hours",IF($E1628&lt;0,"Check estimate in hours",IF($E1628=0,"Unestimated","Estimated"))))))</x:f>
      </x:c>
    </x:row>
    <x:row r="1629">
      <x:c r="A1629" s="12"/>
      <x:c r="B1629" s="12"/>
      <x:c r="C1629" s="12"/>
      <x:c r="D1629" s="12"/>
      <x:c r="E1629" s="14"/>
      <x:c r="F1629" s="13" t="str">
        <x:f>IF($A1629="","",IF($D1629&lt;&gt;'Team Setup'!$B$4,"Other sprint",IF($C1629="","Unassigned",IF(OR(ISNUMBER(SEARCH(",",$C1629)),ISNUMBER(SEARCH(";",$C1629))),"Multiple assignees",IF(COUNTIF('Team Setup'!$B$10:$B$34,$C1629)=1,"Matched","Unmatched")))))</x:f>
      </x:c>
      <x:c r="G1629" s="13" t="str">
        <x:f>IF($A1629="","",IF($D1629&lt;&gt;'Team Setup'!$B$4,"Other sprint",IF($E1629="","Unestimated",IF(NOT(ISNUMBER($E1629)),"Check estimate in hours",IF($E1629&lt;0,"Check estimate in hours",IF($E1629=0,"Unestimated","Estimated"))))))</x:f>
      </x:c>
    </x:row>
    <x:row r="1630">
      <x:c r="A1630" s="12"/>
      <x:c r="B1630" s="12"/>
      <x:c r="C1630" s="12"/>
      <x:c r="D1630" s="12"/>
      <x:c r="E1630" s="14"/>
      <x:c r="F1630" s="13" t="str">
        <x:f>IF($A1630="","",IF($D1630&lt;&gt;'Team Setup'!$B$4,"Other sprint",IF($C1630="","Unassigned",IF(OR(ISNUMBER(SEARCH(",",$C1630)),ISNUMBER(SEARCH(";",$C1630))),"Multiple assignees",IF(COUNTIF('Team Setup'!$B$10:$B$34,$C1630)=1,"Matched","Unmatched")))))</x:f>
      </x:c>
      <x:c r="G1630" s="13" t="str">
        <x:f>IF($A1630="","",IF($D1630&lt;&gt;'Team Setup'!$B$4,"Other sprint",IF($E1630="","Unestimated",IF(NOT(ISNUMBER($E1630)),"Check estimate in hours",IF($E1630&lt;0,"Check estimate in hours",IF($E1630=0,"Unestimated","Estimated"))))))</x:f>
      </x:c>
    </x:row>
    <x:row r="1631">
      <x:c r="A1631" s="12"/>
      <x:c r="B1631" s="12"/>
      <x:c r="C1631" s="12"/>
      <x:c r="D1631" s="12"/>
      <x:c r="E1631" s="14"/>
      <x:c r="F1631" s="13" t="str">
        <x:f>IF($A1631="","",IF($D1631&lt;&gt;'Team Setup'!$B$4,"Other sprint",IF($C1631="","Unassigned",IF(OR(ISNUMBER(SEARCH(",",$C1631)),ISNUMBER(SEARCH(";",$C1631))),"Multiple assignees",IF(COUNTIF('Team Setup'!$B$10:$B$34,$C1631)=1,"Matched","Unmatched")))))</x:f>
      </x:c>
      <x:c r="G1631" s="13" t="str">
        <x:f>IF($A1631="","",IF($D1631&lt;&gt;'Team Setup'!$B$4,"Other sprint",IF($E1631="","Unestimated",IF(NOT(ISNUMBER($E1631)),"Check estimate in hours",IF($E1631&lt;0,"Check estimate in hours",IF($E1631=0,"Unestimated","Estimated"))))))</x:f>
      </x:c>
    </x:row>
    <x:row r="1632">
      <x:c r="A1632" s="12"/>
      <x:c r="B1632" s="12"/>
      <x:c r="C1632" s="12"/>
      <x:c r="D1632" s="12"/>
      <x:c r="E1632" s="14"/>
      <x:c r="F1632" s="13" t="str">
        <x:f>IF($A1632="","",IF($D1632&lt;&gt;'Team Setup'!$B$4,"Other sprint",IF($C1632="","Unassigned",IF(OR(ISNUMBER(SEARCH(",",$C1632)),ISNUMBER(SEARCH(";",$C1632))),"Multiple assignees",IF(COUNTIF('Team Setup'!$B$10:$B$34,$C1632)=1,"Matched","Unmatched")))))</x:f>
      </x:c>
      <x:c r="G1632" s="13" t="str">
        <x:f>IF($A1632="","",IF($D1632&lt;&gt;'Team Setup'!$B$4,"Other sprint",IF($E1632="","Unestimated",IF(NOT(ISNUMBER($E1632)),"Check estimate in hours",IF($E1632&lt;0,"Check estimate in hours",IF($E1632=0,"Unestimated","Estimated"))))))</x:f>
      </x:c>
    </x:row>
    <x:row r="1633">
      <x:c r="A1633" s="12"/>
      <x:c r="B1633" s="12"/>
      <x:c r="C1633" s="12"/>
      <x:c r="D1633" s="12"/>
      <x:c r="E1633" s="14"/>
      <x:c r="F1633" s="13" t="str">
        <x:f>IF($A1633="","",IF($D1633&lt;&gt;'Team Setup'!$B$4,"Other sprint",IF($C1633="","Unassigned",IF(OR(ISNUMBER(SEARCH(",",$C1633)),ISNUMBER(SEARCH(";",$C1633))),"Multiple assignees",IF(COUNTIF('Team Setup'!$B$10:$B$34,$C1633)=1,"Matched","Unmatched")))))</x:f>
      </x:c>
      <x:c r="G1633" s="13" t="str">
        <x:f>IF($A1633="","",IF($D1633&lt;&gt;'Team Setup'!$B$4,"Other sprint",IF($E1633="","Unestimated",IF(NOT(ISNUMBER($E1633)),"Check estimate in hours",IF($E1633&lt;0,"Check estimate in hours",IF($E1633=0,"Unestimated","Estimated"))))))</x:f>
      </x:c>
    </x:row>
    <x:row r="1634">
      <x:c r="A1634" s="12"/>
      <x:c r="B1634" s="12"/>
      <x:c r="C1634" s="12"/>
      <x:c r="D1634" s="12"/>
      <x:c r="E1634" s="14"/>
      <x:c r="F1634" s="13" t="str">
        <x:f>IF($A1634="","",IF($D1634&lt;&gt;'Team Setup'!$B$4,"Other sprint",IF($C1634="","Unassigned",IF(OR(ISNUMBER(SEARCH(",",$C1634)),ISNUMBER(SEARCH(";",$C1634))),"Multiple assignees",IF(COUNTIF('Team Setup'!$B$10:$B$34,$C1634)=1,"Matched","Unmatched")))))</x:f>
      </x:c>
      <x:c r="G1634" s="13" t="str">
        <x:f>IF($A1634="","",IF($D1634&lt;&gt;'Team Setup'!$B$4,"Other sprint",IF($E1634="","Unestimated",IF(NOT(ISNUMBER($E1634)),"Check estimate in hours",IF($E1634&lt;0,"Check estimate in hours",IF($E1634=0,"Unestimated","Estimated"))))))</x:f>
      </x:c>
    </x:row>
    <x:row r="1635">
      <x:c r="A1635" s="12"/>
      <x:c r="B1635" s="12"/>
      <x:c r="C1635" s="12"/>
      <x:c r="D1635" s="12"/>
      <x:c r="E1635" s="14"/>
      <x:c r="F1635" s="13" t="str">
        <x:f>IF($A1635="","",IF($D1635&lt;&gt;'Team Setup'!$B$4,"Other sprint",IF($C1635="","Unassigned",IF(OR(ISNUMBER(SEARCH(",",$C1635)),ISNUMBER(SEARCH(";",$C1635))),"Multiple assignees",IF(COUNTIF('Team Setup'!$B$10:$B$34,$C1635)=1,"Matched","Unmatched")))))</x:f>
      </x:c>
      <x:c r="G1635" s="13" t="str">
        <x:f>IF($A1635="","",IF($D1635&lt;&gt;'Team Setup'!$B$4,"Other sprint",IF($E1635="","Unestimated",IF(NOT(ISNUMBER($E1635)),"Check estimate in hours",IF($E1635&lt;0,"Check estimate in hours",IF($E1635=0,"Unestimated","Estimated"))))))</x:f>
      </x:c>
    </x:row>
    <x:row r="1636">
      <x:c r="A1636" s="12"/>
      <x:c r="B1636" s="12"/>
      <x:c r="C1636" s="12"/>
      <x:c r="D1636" s="12"/>
      <x:c r="E1636" s="14"/>
      <x:c r="F1636" s="13" t="str">
        <x:f>IF($A1636="","",IF($D1636&lt;&gt;'Team Setup'!$B$4,"Other sprint",IF($C1636="","Unassigned",IF(OR(ISNUMBER(SEARCH(",",$C1636)),ISNUMBER(SEARCH(";",$C1636))),"Multiple assignees",IF(COUNTIF('Team Setup'!$B$10:$B$34,$C1636)=1,"Matched","Unmatched")))))</x:f>
      </x:c>
      <x:c r="G1636" s="13" t="str">
        <x:f>IF($A1636="","",IF($D1636&lt;&gt;'Team Setup'!$B$4,"Other sprint",IF($E1636="","Unestimated",IF(NOT(ISNUMBER($E1636)),"Check estimate in hours",IF($E1636&lt;0,"Check estimate in hours",IF($E1636=0,"Unestimated","Estimated"))))))</x:f>
      </x:c>
    </x:row>
    <x:row r="1637">
      <x:c r="A1637" s="12"/>
      <x:c r="B1637" s="12"/>
      <x:c r="C1637" s="12"/>
      <x:c r="D1637" s="12"/>
      <x:c r="E1637" s="14"/>
      <x:c r="F1637" s="13" t="str">
        <x:f>IF($A1637="","",IF($D1637&lt;&gt;'Team Setup'!$B$4,"Other sprint",IF($C1637="","Unassigned",IF(OR(ISNUMBER(SEARCH(",",$C1637)),ISNUMBER(SEARCH(";",$C1637))),"Multiple assignees",IF(COUNTIF('Team Setup'!$B$10:$B$34,$C1637)=1,"Matched","Unmatched")))))</x:f>
      </x:c>
      <x:c r="G1637" s="13" t="str">
        <x:f>IF($A1637="","",IF($D1637&lt;&gt;'Team Setup'!$B$4,"Other sprint",IF($E1637="","Unestimated",IF(NOT(ISNUMBER($E1637)),"Check estimate in hours",IF($E1637&lt;0,"Check estimate in hours",IF($E1637=0,"Unestimated","Estimated"))))))</x:f>
      </x:c>
    </x:row>
    <x:row r="1638">
      <x:c r="A1638" s="12"/>
      <x:c r="B1638" s="12"/>
      <x:c r="C1638" s="12"/>
      <x:c r="D1638" s="12"/>
      <x:c r="E1638" s="14"/>
      <x:c r="F1638" s="13" t="str">
        <x:f>IF($A1638="","",IF($D1638&lt;&gt;'Team Setup'!$B$4,"Other sprint",IF($C1638="","Unassigned",IF(OR(ISNUMBER(SEARCH(",",$C1638)),ISNUMBER(SEARCH(";",$C1638))),"Multiple assignees",IF(COUNTIF('Team Setup'!$B$10:$B$34,$C1638)=1,"Matched","Unmatched")))))</x:f>
      </x:c>
      <x:c r="G1638" s="13" t="str">
        <x:f>IF($A1638="","",IF($D1638&lt;&gt;'Team Setup'!$B$4,"Other sprint",IF($E1638="","Unestimated",IF(NOT(ISNUMBER($E1638)),"Check estimate in hours",IF($E1638&lt;0,"Check estimate in hours",IF($E1638=0,"Unestimated","Estimated"))))))</x:f>
      </x:c>
    </x:row>
    <x:row r="1639">
      <x:c r="A1639" s="12"/>
      <x:c r="B1639" s="12"/>
      <x:c r="C1639" s="12"/>
      <x:c r="D1639" s="12"/>
      <x:c r="E1639" s="14"/>
      <x:c r="F1639" s="13" t="str">
        <x:f>IF($A1639="","",IF($D1639&lt;&gt;'Team Setup'!$B$4,"Other sprint",IF($C1639="","Unassigned",IF(OR(ISNUMBER(SEARCH(",",$C1639)),ISNUMBER(SEARCH(";",$C1639))),"Multiple assignees",IF(COUNTIF('Team Setup'!$B$10:$B$34,$C1639)=1,"Matched","Unmatched")))))</x:f>
      </x:c>
      <x:c r="G1639" s="13" t="str">
        <x:f>IF($A1639="","",IF($D1639&lt;&gt;'Team Setup'!$B$4,"Other sprint",IF($E1639="","Unestimated",IF(NOT(ISNUMBER($E1639)),"Check estimate in hours",IF($E1639&lt;0,"Check estimate in hours",IF($E1639=0,"Unestimated","Estimated"))))))</x:f>
      </x:c>
    </x:row>
    <x:row r="1640">
      <x:c r="A1640" s="12"/>
      <x:c r="B1640" s="12"/>
      <x:c r="C1640" s="12"/>
      <x:c r="D1640" s="12"/>
      <x:c r="E1640" s="14"/>
      <x:c r="F1640" s="13" t="str">
        <x:f>IF($A1640="","",IF($D1640&lt;&gt;'Team Setup'!$B$4,"Other sprint",IF($C1640="","Unassigned",IF(OR(ISNUMBER(SEARCH(",",$C1640)),ISNUMBER(SEARCH(";",$C1640))),"Multiple assignees",IF(COUNTIF('Team Setup'!$B$10:$B$34,$C1640)=1,"Matched","Unmatched")))))</x:f>
      </x:c>
      <x:c r="G1640" s="13" t="str">
        <x:f>IF($A1640="","",IF($D1640&lt;&gt;'Team Setup'!$B$4,"Other sprint",IF($E1640="","Unestimated",IF(NOT(ISNUMBER($E1640)),"Check estimate in hours",IF($E1640&lt;0,"Check estimate in hours",IF($E1640=0,"Unestimated","Estimated"))))))</x:f>
      </x:c>
    </x:row>
    <x:row r="1641">
      <x:c r="A1641" s="12"/>
      <x:c r="B1641" s="12"/>
      <x:c r="C1641" s="12"/>
      <x:c r="D1641" s="12"/>
      <x:c r="E1641" s="14"/>
      <x:c r="F1641" s="13" t="str">
        <x:f>IF($A1641="","",IF($D1641&lt;&gt;'Team Setup'!$B$4,"Other sprint",IF($C1641="","Unassigned",IF(OR(ISNUMBER(SEARCH(",",$C1641)),ISNUMBER(SEARCH(";",$C1641))),"Multiple assignees",IF(COUNTIF('Team Setup'!$B$10:$B$34,$C1641)=1,"Matched","Unmatched")))))</x:f>
      </x:c>
      <x:c r="G1641" s="13" t="str">
        <x:f>IF($A1641="","",IF($D1641&lt;&gt;'Team Setup'!$B$4,"Other sprint",IF($E1641="","Unestimated",IF(NOT(ISNUMBER($E1641)),"Check estimate in hours",IF($E1641&lt;0,"Check estimate in hours",IF($E1641=0,"Unestimated","Estimated"))))))</x:f>
      </x:c>
    </x:row>
    <x:row r="1642">
      <x:c r="A1642" s="12"/>
      <x:c r="B1642" s="12"/>
      <x:c r="C1642" s="12"/>
      <x:c r="D1642" s="12"/>
      <x:c r="E1642" s="14"/>
      <x:c r="F1642" s="13" t="str">
        <x:f>IF($A1642="","",IF($D1642&lt;&gt;'Team Setup'!$B$4,"Other sprint",IF($C1642="","Unassigned",IF(OR(ISNUMBER(SEARCH(",",$C1642)),ISNUMBER(SEARCH(";",$C1642))),"Multiple assignees",IF(COUNTIF('Team Setup'!$B$10:$B$34,$C1642)=1,"Matched","Unmatched")))))</x:f>
      </x:c>
      <x:c r="G1642" s="13" t="str">
        <x:f>IF($A1642="","",IF($D1642&lt;&gt;'Team Setup'!$B$4,"Other sprint",IF($E1642="","Unestimated",IF(NOT(ISNUMBER($E1642)),"Check estimate in hours",IF($E1642&lt;0,"Check estimate in hours",IF($E1642=0,"Unestimated","Estimated"))))))</x:f>
      </x:c>
    </x:row>
    <x:row r="1643">
      <x:c r="A1643" s="12"/>
      <x:c r="B1643" s="12"/>
      <x:c r="C1643" s="12"/>
      <x:c r="D1643" s="12"/>
      <x:c r="E1643" s="14"/>
      <x:c r="F1643" s="13" t="str">
        <x:f>IF($A1643="","",IF($D1643&lt;&gt;'Team Setup'!$B$4,"Other sprint",IF($C1643="","Unassigned",IF(OR(ISNUMBER(SEARCH(",",$C1643)),ISNUMBER(SEARCH(";",$C1643))),"Multiple assignees",IF(COUNTIF('Team Setup'!$B$10:$B$34,$C1643)=1,"Matched","Unmatched")))))</x:f>
      </x:c>
      <x:c r="G1643" s="13" t="str">
        <x:f>IF($A1643="","",IF($D1643&lt;&gt;'Team Setup'!$B$4,"Other sprint",IF($E1643="","Unestimated",IF(NOT(ISNUMBER($E1643)),"Check estimate in hours",IF($E1643&lt;0,"Check estimate in hours",IF($E1643=0,"Unestimated","Estimated"))))))</x:f>
      </x:c>
    </x:row>
    <x:row r="1644">
      <x:c r="A1644" s="12"/>
      <x:c r="B1644" s="12"/>
      <x:c r="C1644" s="12"/>
      <x:c r="D1644" s="12"/>
      <x:c r="E1644" s="14"/>
      <x:c r="F1644" s="13" t="str">
        <x:f>IF($A1644="","",IF($D1644&lt;&gt;'Team Setup'!$B$4,"Other sprint",IF($C1644="","Unassigned",IF(OR(ISNUMBER(SEARCH(",",$C1644)),ISNUMBER(SEARCH(";",$C1644))),"Multiple assignees",IF(COUNTIF('Team Setup'!$B$10:$B$34,$C1644)=1,"Matched","Unmatched")))))</x:f>
      </x:c>
      <x:c r="G1644" s="13" t="str">
        <x:f>IF($A1644="","",IF($D1644&lt;&gt;'Team Setup'!$B$4,"Other sprint",IF($E1644="","Unestimated",IF(NOT(ISNUMBER($E1644)),"Check estimate in hours",IF($E1644&lt;0,"Check estimate in hours",IF($E1644=0,"Unestimated","Estimated"))))))</x:f>
      </x:c>
    </x:row>
    <x:row r="1645">
      <x:c r="A1645" s="12"/>
      <x:c r="B1645" s="12"/>
      <x:c r="C1645" s="12"/>
      <x:c r="D1645" s="12"/>
      <x:c r="E1645" s="14"/>
      <x:c r="F1645" s="13" t="str">
        <x:f>IF($A1645="","",IF($D1645&lt;&gt;'Team Setup'!$B$4,"Other sprint",IF($C1645="","Unassigned",IF(OR(ISNUMBER(SEARCH(",",$C1645)),ISNUMBER(SEARCH(";",$C1645))),"Multiple assignees",IF(COUNTIF('Team Setup'!$B$10:$B$34,$C1645)=1,"Matched","Unmatched")))))</x:f>
      </x:c>
      <x:c r="G1645" s="13" t="str">
        <x:f>IF($A1645="","",IF($D1645&lt;&gt;'Team Setup'!$B$4,"Other sprint",IF($E1645="","Unestimated",IF(NOT(ISNUMBER($E1645)),"Check estimate in hours",IF($E1645&lt;0,"Check estimate in hours",IF($E1645=0,"Unestimated","Estimated"))))))</x:f>
      </x:c>
    </x:row>
    <x:row r="1646">
      <x:c r="A1646" s="12"/>
      <x:c r="B1646" s="12"/>
      <x:c r="C1646" s="12"/>
      <x:c r="D1646" s="12"/>
      <x:c r="E1646" s="14"/>
      <x:c r="F1646" s="13" t="str">
        <x:f>IF($A1646="","",IF($D1646&lt;&gt;'Team Setup'!$B$4,"Other sprint",IF($C1646="","Unassigned",IF(OR(ISNUMBER(SEARCH(",",$C1646)),ISNUMBER(SEARCH(";",$C1646))),"Multiple assignees",IF(COUNTIF('Team Setup'!$B$10:$B$34,$C1646)=1,"Matched","Unmatched")))))</x:f>
      </x:c>
      <x:c r="G1646" s="13" t="str">
        <x:f>IF($A1646="","",IF($D1646&lt;&gt;'Team Setup'!$B$4,"Other sprint",IF($E1646="","Unestimated",IF(NOT(ISNUMBER($E1646)),"Check estimate in hours",IF($E1646&lt;0,"Check estimate in hours",IF($E1646=0,"Unestimated","Estimated"))))))</x:f>
      </x:c>
    </x:row>
    <x:row r="1647">
      <x:c r="A1647" s="12"/>
      <x:c r="B1647" s="12"/>
      <x:c r="C1647" s="12"/>
      <x:c r="D1647" s="12"/>
      <x:c r="E1647" s="14"/>
      <x:c r="F1647" s="13" t="str">
        <x:f>IF($A1647="","",IF($D1647&lt;&gt;'Team Setup'!$B$4,"Other sprint",IF($C1647="","Unassigned",IF(OR(ISNUMBER(SEARCH(",",$C1647)),ISNUMBER(SEARCH(";",$C1647))),"Multiple assignees",IF(COUNTIF('Team Setup'!$B$10:$B$34,$C1647)=1,"Matched","Unmatched")))))</x:f>
      </x:c>
      <x:c r="G1647" s="13" t="str">
        <x:f>IF($A1647="","",IF($D1647&lt;&gt;'Team Setup'!$B$4,"Other sprint",IF($E1647="","Unestimated",IF(NOT(ISNUMBER($E1647)),"Check estimate in hours",IF($E1647&lt;0,"Check estimate in hours",IF($E1647=0,"Unestimated","Estimated"))))))</x:f>
      </x:c>
    </x:row>
    <x:row r="1648">
      <x:c r="A1648" s="12"/>
      <x:c r="B1648" s="12"/>
      <x:c r="C1648" s="12"/>
      <x:c r="D1648" s="12"/>
      <x:c r="E1648" s="14"/>
      <x:c r="F1648" s="13" t="str">
        <x:f>IF($A1648="","",IF($D1648&lt;&gt;'Team Setup'!$B$4,"Other sprint",IF($C1648="","Unassigned",IF(OR(ISNUMBER(SEARCH(",",$C1648)),ISNUMBER(SEARCH(";",$C1648))),"Multiple assignees",IF(COUNTIF('Team Setup'!$B$10:$B$34,$C1648)=1,"Matched","Unmatched")))))</x:f>
      </x:c>
      <x:c r="G1648" s="13" t="str">
        <x:f>IF($A1648="","",IF($D1648&lt;&gt;'Team Setup'!$B$4,"Other sprint",IF($E1648="","Unestimated",IF(NOT(ISNUMBER($E1648)),"Check estimate in hours",IF($E1648&lt;0,"Check estimate in hours",IF($E1648=0,"Unestimated","Estimated"))))))</x:f>
      </x:c>
    </x:row>
    <x:row r="1649">
      <x:c r="A1649" s="12"/>
      <x:c r="B1649" s="12"/>
      <x:c r="C1649" s="12"/>
      <x:c r="D1649" s="12"/>
      <x:c r="E1649" s="14"/>
      <x:c r="F1649" s="13" t="str">
        <x:f>IF($A1649="","",IF($D1649&lt;&gt;'Team Setup'!$B$4,"Other sprint",IF($C1649="","Unassigned",IF(OR(ISNUMBER(SEARCH(",",$C1649)),ISNUMBER(SEARCH(";",$C1649))),"Multiple assignees",IF(COUNTIF('Team Setup'!$B$10:$B$34,$C1649)=1,"Matched","Unmatched")))))</x:f>
      </x:c>
      <x:c r="G1649" s="13" t="str">
        <x:f>IF($A1649="","",IF($D1649&lt;&gt;'Team Setup'!$B$4,"Other sprint",IF($E1649="","Unestimated",IF(NOT(ISNUMBER($E1649)),"Check estimate in hours",IF($E1649&lt;0,"Check estimate in hours",IF($E1649=0,"Unestimated","Estimated"))))))</x:f>
      </x:c>
    </x:row>
    <x:row r="1650">
      <x:c r="A1650" s="12"/>
      <x:c r="B1650" s="12"/>
      <x:c r="C1650" s="12"/>
      <x:c r="D1650" s="12"/>
      <x:c r="E1650" s="14"/>
      <x:c r="F1650" s="13" t="str">
        <x:f>IF($A1650="","",IF($D1650&lt;&gt;'Team Setup'!$B$4,"Other sprint",IF($C1650="","Unassigned",IF(OR(ISNUMBER(SEARCH(",",$C1650)),ISNUMBER(SEARCH(";",$C1650))),"Multiple assignees",IF(COUNTIF('Team Setup'!$B$10:$B$34,$C1650)=1,"Matched","Unmatched")))))</x:f>
      </x:c>
      <x:c r="G1650" s="13" t="str">
        <x:f>IF($A1650="","",IF($D1650&lt;&gt;'Team Setup'!$B$4,"Other sprint",IF($E1650="","Unestimated",IF(NOT(ISNUMBER($E1650)),"Check estimate in hours",IF($E1650&lt;0,"Check estimate in hours",IF($E1650=0,"Unestimated","Estimated"))))))</x:f>
      </x:c>
    </x:row>
    <x:row r="1651">
      <x:c r="A1651" s="12"/>
      <x:c r="B1651" s="12"/>
      <x:c r="C1651" s="12"/>
      <x:c r="D1651" s="12"/>
      <x:c r="E1651" s="14"/>
      <x:c r="F1651" s="13" t="str">
        <x:f>IF($A1651="","",IF($D1651&lt;&gt;'Team Setup'!$B$4,"Other sprint",IF($C1651="","Unassigned",IF(OR(ISNUMBER(SEARCH(",",$C1651)),ISNUMBER(SEARCH(";",$C1651))),"Multiple assignees",IF(COUNTIF('Team Setup'!$B$10:$B$34,$C1651)=1,"Matched","Unmatched")))))</x:f>
      </x:c>
      <x:c r="G1651" s="13" t="str">
        <x:f>IF($A1651="","",IF($D1651&lt;&gt;'Team Setup'!$B$4,"Other sprint",IF($E1651="","Unestimated",IF(NOT(ISNUMBER($E1651)),"Check estimate in hours",IF($E1651&lt;0,"Check estimate in hours",IF($E1651=0,"Unestimated","Estimated"))))))</x:f>
      </x:c>
    </x:row>
    <x:row r="1652">
      <x:c r="A1652" s="12"/>
      <x:c r="B1652" s="12"/>
      <x:c r="C1652" s="12"/>
      <x:c r="D1652" s="12"/>
      <x:c r="E1652" s="14"/>
      <x:c r="F1652" s="13" t="str">
        <x:f>IF($A1652="","",IF($D1652&lt;&gt;'Team Setup'!$B$4,"Other sprint",IF($C1652="","Unassigned",IF(OR(ISNUMBER(SEARCH(",",$C1652)),ISNUMBER(SEARCH(";",$C1652))),"Multiple assignees",IF(COUNTIF('Team Setup'!$B$10:$B$34,$C1652)=1,"Matched","Unmatched")))))</x:f>
      </x:c>
      <x:c r="G1652" s="13" t="str">
        <x:f>IF($A1652="","",IF($D1652&lt;&gt;'Team Setup'!$B$4,"Other sprint",IF($E1652="","Unestimated",IF(NOT(ISNUMBER($E1652)),"Check estimate in hours",IF($E1652&lt;0,"Check estimate in hours",IF($E1652=0,"Unestimated","Estimated"))))))</x:f>
      </x:c>
    </x:row>
    <x:row r="1653">
      <x:c r="A1653" s="12"/>
      <x:c r="B1653" s="12"/>
      <x:c r="C1653" s="12"/>
      <x:c r="D1653" s="12"/>
      <x:c r="E1653" s="14"/>
      <x:c r="F1653" s="13" t="str">
        <x:f>IF($A1653="","",IF($D1653&lt;&gt;'Team Setup'!$B$4,"Other sprint",IF($C1653="","Unassigned",IF(OR(ISNUMBER(SEARCH(",",$C1653)),ISNUMBER(SEARCH(";",$C1653))),"Multiple assignees",IF(COUNTIF('Team Setup'!$B$10:$B$34,$C1653)=1,"Matched","Unmatched")))))</x:f>
      </x:c>
      <x:c r="G1653" s="13" t="str">
        <x:f>IF($A1653="","",IF($D1653&lt;&gt;'Team Setup'!$B$4,"Other sprint",IF($E1653="","Unestimated",IF(NOT(ISNUMBER($E1653)),"Check estimate in hours",IF($E1653&lt;0,"Check estimate in hours",IF($E1653=0,"Unestimated","Estimated"))))))</x:f>
      </x:c>
    </x:row>
    <x:row r="1654">
      <x:c r="A1654" s="12"/>
      <x:c r="B1654" s="12"/>
      <x:c r="C1654" s="12"/>
      <x:c r="D1654" s="12"/>
      <x:c r="E1654" s="14"/>
      <x:c r="F1654" s="13" t="str">
        <x:f>IF($A1654="","",IF($D1654&lt;&gt;'Team Setup'!$B$4,"Other sprint",IF($C1654="","Unassigned",IF(OR(ISNUMBER(SEARCH(",",$C1654)),ISNUMBER(SEARCH(";",$C1654))),"Multiple assignees",IF(COUNTIF('Team Setup'!$B$10:$B$34,$C1654)=1,"Matched","Unmatched")))))</x:f>
      </x:c>
      <x:c r="G1654" s="13" t="str">
        <x:f>IF($A1654="","",IF($D1654&lt;&gt;'Team Setup'!$B$4,"Other sprint",IF($E1654="","Unestimated",IF(NOT(ISNUMBER($E1654)),"Check estimate in hours",IF($E1654&lt;0,"Check estimate in hours",IF($E1654=0,"Unestimated","Estimated"))))))</x:f>
      </x:c>
    </x:row>
    <x:row r="1655">
      <x:c r="A1655" s="12"/>
      <x:c r="B1655" s="12"/>
      <x:c r="C1655" s="12"/>
      <x:c r="D1655" s="12"/>
      <x:c r="E1655" s="14"/>
      <x:c r="F1655" s="13" t="str">
        <x:f>IF($A1655="","",IF($D1655&lt;&gt;'Team Setup'!$B$4,"Other sprint",IF($C1655="","Unassigned",IF(OR(ISNUMBER(SEARCH(",",$C1655)),ISNUMBER(SEARCH(";",$C1655))),"Multiple assignees",IF(COUNTIF('Team Setup'!$B$10:$B$34,$C1655)=1,"Matched","Unmatched")))))</x:f>
      </x:c>
      <x:c r="G1655" s="13" t="str">
        <x:f>IF($A1655="","",IF($D1655&lt;&gt;'Team Setup'!$B$4,"Other sprint",IF($E1655="","Unestimated",IF(NOT(ISNUMBER($E1655)),"Check estimate in hours",IF($E1655&lt;0,"Check estimate in hours",IF($E1655=0,"Unestimated","Estimated"))))))</x:f>
      </x:c>
    </x:row>
    <x:row r="1656">
      <x:c r="A1656" s="12"/>
      <x:c r="B1656" s="12"/>
      <x:c r="C1656" s="12"/>
      <x:c r="D1656" s="12"/>
      <x:c r="E1656" s="14"/>
      <x:c r="F1656" s="13" t="str">
        <x:f>IF($A1656="","",IF($D1656&lt;&gt;'Team Setup'!$B$4,"Other sprint",IF($C1656="","Unassigned",IF(OR(ISNUMBER(SEARCH(",",$C1656)),ISNUMBER(SEARCH(";",$C1656))),"Multiple assignees",IF(COUNTIF('Team Setup'!$B$10:$B$34,$C1656)=1,"Matched","Unmatched")))))</x:f>
      </x:c>
      <x:c r="G1656" s="13" t="str">
        <x:f>IF($A1656="","",IF($D1656&lt;&gt;'Team Setup'!$B$4,"Other sprint",IF($E1656="","Unestimated",IF(NOT(ISNUMBER($E1656)),"Check estimate in hours",IF($E1656&lt;0,"Check estimate in hours",IF($E1656=0,"Unestimated","Estimated"))))))</x:f>
      </x:c>
    </x:row>
    <x:row r="1657">
      <x:c r="A1657" s="12"/>
      <x:c r="B1657" s="12"/>
      <x:c r="C1657" s="12"/>
      <x:c r="D1657" s="12"/>
      <x:c r="E1657" s="14"/>
      <x:c r="F1657" s="13" t="str">
        <x:f>IF($A1657="","",IF($D1657&lt;&gt;'Team Setup'!$B$4,"Other sprint",IF($C1657="","Unassigned",IF(OR(ISNUMBER(SEARCH(",",$C1657)),ISNUMBER(SEARCH(";",$C1657))),"Multiple assignees",IF(COUNTIF('Team Setup'!$B$10:$B$34,$C1657)=1,"Matched","Unmatched")))))</x:f>
      </x:c>
      <x:c r="G1657" s="13" t="str">
        <x:f>IF($A1657="","",IF($D1657&lt;&gt;'Team Setup'!$B$4,"Other sprint",IF($E1657="","Unestimated",IF(NOT(ISNUMBER($E1657)),"Check estimate in hours",IF($E1657&lt;0,"Check estimate in hours",IF($E1657=0,"Unestimated","Estimated"))))))</x:f>
      </x:c>
    </x:row>
    <x:row r="1658">
      <x:c r="A1658" s="12"/>
      <x:c r="B1658" s="12"/>
      <x:c r="C1658" s="12"/>
      <x:c r="D1658" s="12"/>
      <x:c r="E1658" s="14"/>
      <x:c r="F1658" s="13" t="str">
        <x:f>IF($A1658="","",IF($D1658&lt;&gt;'Team Setup'!$B$4,"Other sprint",IF($C1658="","Unassigned",IF(OR(ISNUMBER(SEARCH(",",$C1658)),ISNUMBER(SEARCH(";",$C1658))),"Multiple assignees",IF(COUNTIF('Team Setup'!$B$10:$B$34,$C1658)=1,"Matched","Unmatched")))))</x:f>
      </x:c>
      <x:c r="G1658" s="13" t="str">
        <x:f>IF($A1658="","",IF($D1658&lt;&gt;'Team Setup'!$B$4,"Other sprint",IF($E1658="","Unestimated",IF(NOT(ISNUMBER($E1658)),"Check estimate in hours",IF($E1658&lt;0,"Check estimate in hours",IF($E1658=0,"Unestimated","Estimated"))))))</x:f>
      </x:c>
    </x:row>
    <x:row r="1659">
      <x:c r="A1659" s="12"/>
      <x:c r="B1659" s="12"/>
      <x:c r="C1659" s="12"/>
      <x:c r="D1659" s="12"/>
      <x:c r="E1659" s="14"/>
      <x:c r="F1659" s="13" t="str">
        <x:f>IF($A1659="","",IF($D1659&lt;&gt;'Team Setup'!$B$4,"Other sprint",IF($C1659="","Unassigned",IF(OR(ISNUMBER(SEARCH(",",$C1659)),ISNUMBER(SEARCH(";",$C1659))),"Multiple assignees",IF(COUNTIF('Team Setup'!$B$10:$B$34,$C1659)=1,"Matched","Unmatched")))))</x:f>
      </x:c>
      <x:c r="G1659" s="13" t="str">
        <x:f>IF($A1659="","",IF($D1659&lt;&gt;'Team Setup'!$B$4,"Other sprint",IF($E1659="","Unestimated",IF(NOT(ISNUMBER($E1659)),"Check estimate in hours",IF($E1659&lt;0,"Check estimate in hours",IF($E1659=0,"Unestimated","Estimated"))))))</x:f>
      </x:c>
    </x:row>
    <x:row r="1660">
      <x:c r="A1660" s="12"/>
      <x:c r="B1660" s="12"/>
      <x:c r="C1660" s="12"/>
      <x:c r="D1660" s="12"/>
      <x:c r="E1660" s="14"/>
      <x:c r="F1660" s="13" t="str">
        <x:f>IF($A1660="","",IF($D1660&lt;&gt;'Team Setup'!$B$4,"Other sprint",IF($C1660="","Unassigned",IF(OR(ISNUMBER(SEARCH(",",$C1660)),ISNUMBER(SEARCH(";",$C1660))),"Multiple assignees",IF(COUNTIF('Team Setup'!$B$10:$B$34,$C1660)=1,"Matched","Unmatched")))))</x:f>
      </x:c>
      <x:c r="G1660" s="13" t="str">
        <x:f>IF($A1660="","",IF($D1660&lt;&gt;'Team Setup'!$B$4,"Other sprint",IF($E1660="","Unestimated",IF(NOT(ISNUMBER($E1660)),"Check estimate in hours",IF($E1660&lt;0,"Check estimate in hours",IF($E1660=0,"Unestimated","Estimated"))))))</x:f>
      </x:c>
    </x:row>
    <x:row r="1661">
      <x:c r="A1661" s="12"/>
      <x:c r="B1661" s="12"/>
      <x:c r="C1661" s="12"/>
      <x:c r="D1661" s="12"/>
      <x:c r="E1661" s="14"/>
      <x:c r="F1661" s="13" t="str">
        <x:f>IF($A1661="","",IF($D1661&lt;&gt;'Team Setup'!$B$4,"Other sprint",IF($C1661="","Unassigned",IF(OR(ISNUMBER(SEARCH(",",$C1661)),ISNUMBER(SEARCH(";",$C1661))),"Multiple assignees",IF(COUNTIF('Team Setup'!$B$10:$B$34,$C1661)=1,"Matched","Unmatched")))))</x:f>
      </x:c>
      <x:c r="G1661" s="13" t="str">
        <x:f>IF($A1661="","",IF($D1661&lt;&gt;'Team Setup'!$B$4,"Other sprint",IF($E1661="","Unestimated",IF(NOT(ISNUMBER($E1661)),"Check estimate in hours",IF($E1661&lt;0,"Check estimate in hours",IF($E1661=0,"Unestimated","Estimated"))))))</x:f>
      </x:c>
    </x:row>
    <x:row r="1662">
      <x:c r="A1662" s="12"/>
      <x:c r="B1662" s="12"/>
      <x:c r="C1662" s="12"/>
      <x:c r="D1662" s="12"/>
      <x:c r="E1662" s="14"/>
      <x:c r="F1662" s="13" t="str">
        <x:f>IF($A1662="","",IF($D1662&lt;&gt;'Team Setup'!$B$4,"Other sprint",IF($C1662="","Unassigned",IF(OR(ISNUMBER(SEARCH(",",$C1662)),ISNUMBER(SEARCH(";",$C1662))),"Multiple assignees",IF(COUNTIF('Team Setup'!$B$10:$B$34,$C1662)=1,"Matched","Unmatched")))))</x:f>
      </x:c>
      <x:c r="G1662" s="13" t="str">
        <x:f>IF($A1662="","",IF($D1662&lt;&gt;'Team Setup'!$B$4,"Other sprint",IF($E1662="","Unestimated",IF(NOT(ISNUMBER($E1662)),"Check estimate in hours",IF($E1662&lt;0,"Check estimate in hours",IF($E1662=0,"Unestimated","Estimated"))))))</x:f>
      </x:c>
    </x:row>
    <x:row r="1663">
      <x:c r="A1663" s="12"/>
      <x:c r="B1663" s="12"/>
      <x:c r="C1663" s="12"/>
      <x:c r="D1663" s="12"/>
      <x:c r="E1663" s="14"/>
      <x:c r="F1663" s="13" t="str">
        <x:f>IF($A1663="","",IF($D1663&lt;&gt;'Team Setup'!$B$4,"Other sprint",IF($C1663="","Unassigned",IF(OR(ISNUMBER(SEARCH(",",$C1663)),ISNUMBER(SEARCH(";",$C1663))),"Multiple assignees",IF(COUNTIF('Team Setup'!$B$10:$B$34,$C1663)=1,"Matched","Unmatched")))))</x:f>
      </x:c>
      <x:c r="G1663" s="13" t="str">
        <x:f>IF($A1663="","",IF($D1663&lt;&gt;'Team Setup'!$B$4,"Other sprint",IF($E1663="","Unestimated",IF(NOT(ISNUMBER($E1663)),"Check estimate in hours",IF($E1663&lt;0,"Check estimate in hours",IF($E1663=0,"Unestimated","Estimated"))))))</x:f>
      </x:c>
    </x:row>
    <x:row r="1664">
      <x:c r="A1664" s="12"/>
      <x:c r="B1664" s="12"/>
      <x:c r="C1664" s="12"/>
      <x:c r="D1664" s="12"/>
      <x:c r="E1664" s="14"/>
      <x:c r="F1664" s="13" t="str">
        <x:f>IF($A1664="","",IF($D1664&lt;&gt;'Team Setup'!$B$4,"Other sprint",IF($C1664="","Unassigned",IF(OR(ISNUMBER(SEARCH(",",$C1664)),ISNUMBER(SEARCH(";",$C1664))),"Multiple assignees",IF(COUNTIF('Team Setup'!$B$10:$B$34,$C1664)=1,"Matched","Unmatched")))))</x:f>
      </x:c>
      <x:c r="G1664" s="13" t="str">
        <x:f>IF($A1664="","",IF($D1664&lt;&gt;'Team Setup'!$B$4,"Other sprint",IF($E1664="","Unestimated",IF(NOT(ISNUMBER($E1664)),"Check estimate in hours",IF($E1664&lt;0,"Check estimate in hours",IF($E1664=0,"Unestimated","Estimated"))))))</x:f>
      </x:c>
    </x:row>
    <x:row r="1665">
      <x:c r="A1665" s="12"/>
      <x:c r="B1665" s="12"/>
      <x:c r="C1665" s="12"/>
      <x:c r="D1665" s="12"/>
      <x:c r="E1665" s="14"/>
      <x:c r="F1665" s="13" t="str">
        <x:f>IF($A1665="","",IF($D1665&lt;&gt;'Team Setup'!$B$4,"Other sprint",IF($C1665="","Unassigned",IF(OR(ISNUMBER(SEARCH(",",$C1665)),ISNUMBER(SEARCH(";",$C1665))),"Multiple assignees",IF(COUNTIF('Team Setup'!$B$10:$B$34,$C1665)=1,"Matched","Unmatched")))))</x:f>
      </x:c>
      <x:c r="G1665" s="13" t="str">
        <x:f>IF($A1665="","",IF($D1665&lt;&gt;'Team Setup'!$B$4,"Other sprint",IF($E1665="","Unestimated",IF(NOT(ISNUMBER($E1665)),"Check estimate in hours",IF($E1665&lt;0,"Check estimate in hours",IF($E1665=0,"Unestimated","Estimated"))))))</x:f>
      </x:c>
    </x:row>
    <x:row r="1666">
      <x:c r="A1666" s="12"/>
      <x:c r="B1666" s="12"/>
      <x:c r="C1666" s="12"/>
      <x:c r="D1666" s="12"/>
      <x:c r="E1666" s="14"/>
      <x:c r="F1666" s="13" t="str">
        <x:f>IF($A1666="","",IF($D1666&lt;&gt;'Team Setup'!$B$4,"Other sprint",IF($C1666="","Unassigned",IF(OR(ISNUMBER(SEARCH(",",$C1666)),ISNUMBER(SEARCH(";",$C1666))),"Multiple assignees",IF(COUNTIF('Team Setup'!$B$10:$B$34,$C1666)=1,"Matched","Unmatched")))))</x:f>
      </x:c>
      <x:c r="G1666" s="13" t="str">
        <x:f>IF($A1666="","",IF($D1666&lt;&gt;'Team Setup'!$B$4,"Other sprint",IF($E1666="","Unestimated",IF(NOT(ISNUMBER($E1666)),"Check estimate in hours",IF($E1666&lt;0,"Check estimate in hours",IF($E1666=0,"Unestimated","Estimated"))))))</x:f>
      </x:c>
    </x:row>
    <x:row r="1667">
      <x:c r="A1667" s="12"/>
      <x:c r="B1667" s="12"/>
      <x:c r="C1667" s="12"/>
      <x:c r="D1667" s="12"/>
      <x:c r="E1667" s="14"/>
      <x:c r="F1667" s="13" t="str">
        <x:f>IF($A1667="","",IF($D1667&lt;&gt;'Team Setup'!$B$4,"Other sprint",IF($C1667="","Unassigned",IF(OR(ISNUMBER(SEARCH(",",$C1667)),ISNUMBER(SEARCH(";",$C1667))),"Multiple assignees",IF(COUNTIF('Team Setup'!$B$10:$B$34,$C1667)=1,"Matched","Unmatched")))))</x:f>
      </x:c>
      <x:c r="G1667" s="13" t="str">
        <x:f>IF($A1667="","",IF($D1667&lt;&gt;'Team Setup'!$B$4,"Other sprint",IF($E1667="","Unestimated",IF(NOT(ISNUMBER($E1667)),"Check estimate in hours",IF($E1667&lt;0,"Check estimate in hours",IF($E1667=0,"Unestimated","Estimated"))))))</x:f>
      </x:c>
    </x:row>
    <x:row r="1668">
      <x:c r="A1668" s="12"/>
      <x:c r="B1668" s="12"/>
      <x:c r="C1668" s="12"/>
      <x:c r="D1668" s="12"/>
      <x:c r="E1668" s="14"/>
      <x:c r="F1668" s="13" t="str">
        <x:f>IF($A1668="","",IF($D1668&lt;&gt;'Team Setup'!$B$4,"Other sprint",IF($C1668="","Unassigned",IF(OR(ISNUMBER(SEARCH(",",$C1668)),ISNUMBER(SEARCH(";",$C1668))),"Multiple assignees",IF(COUNTIF('Team Setup'!$B$10:$B$34,$C1668)=1,"Matched","Unmatched")))))</x:f>
      </x:c>
      <x:c r="G1668" s="13" t="str">
        <x:f>IF($A1668="","",IF($D1668&lt;&gt;'Team Setup'!$B$4,"Other sprint",IF($E1668="","Unestimated",IF(NOT(ISNUMBER($E1668)),"Check estimate in hours",IF($E1668&lt;0,"Check estimate in hours",IF($E1668=0,"Unestimated","Estimated"))))))</x:f>
      </x:c>
    </x:row>
    <x:row r="1669">
      <x:c r="A1669" s="12"/>
      <x:c r="B1669" s="12"/>
      <x:c r="C1669" s="12"/>
      <x:c r="D1669" s="12"/>
      <x:c r="E1669" s="14"/>
      <x:c r="F1669" s="13" t="str">
        <x:f>IF($A1669="","",IF($D1669&lt;&gt;'Team Setup'!$B$4,"Other sprint",IF($C1669="","Unassigned",IF(OR(ISNUMBER(SEARCH(",",$C1669)),ISNUMBER(SEARCH(";",$C1669))),"Multiple assignees",IF(COUNTIF('Team Setup'!$B$10:$B$34,$C1669)=1,"Matched","Unmatched")))))</x:f>
      </x:c>
      <x:c r="G1669" s="13" t="str">
        <x:f>IF($A1669="","",IF($D1669&lt;&gt;'Team Setup'!$B$4,"Other sprint",IF($E1669="","Unestimated",IF(NOT(ISNUMBER($E1669)),"Check estimate in hours",IF($E1669&lt;0,"Check estimate in hours",IF($E1669=0,"Unestimated","Estimated"))))))</x:f>
      </x:c>
    </x:row>
    <x:row r="1670">
      <x:c r="A1670" s="12"/>
      <x:c r="B1670" s="12"/>
      <x:c r="C1670" s="12"/>
      <x:c r="D1670" s="12"/>
      <x:c r="E1670" s="14"/>
      <x:c r="F1670" s="13" t="str">
        <x:f>IF($A1670="","",IF($D1670&lt;&gt;'Team Setup'!$B$4,"Other sprint",IF($C1670="","Unassigned",IF(OR(ISNUMBER(SEARCH(",",$C1670)),ISNUMBER(SEARCH(";",$C1670))),"Multiple assignees",IF(COUNTIF('Team Setup'!$B$10:$B$34,$C1670)=1,"Matched","Unmatched")))))</x:f>
      </x:c>
      <x:c r="G1670" s="13" t="str">
        <x:f>IF($A1670="","",IF($D1670&lt;&gt;'Team Setup'!$B$4,"Other sprint",IF($E1670="","Unestimated",IF(NOT(ISNUMBER($E1670)),"Check estimate in hours",IF($E1670&lt;0,"Check estimate in hours",IF($E1670=0,"Unestimated","Estimated"))))))</x:f>
      </x:c>
    </x:row>
    <x:row r="1671">
      <x:c r="A1671" s="12"/>
      <x:c r="B1671" s="12"/>
      <x:c r="C1671" s="12"/>
      <x:c r="D1671" s="12"/>
      <x:c r="E1671" s="14"/>
      <x:c r="F1671" s="13" t="str">
        <x:f>IF($A1671="","",IF($D1671&lt;&gt;'Team Setup'!$B$4,"Other sprint",IF($C1671="","Unassigned",IF(OR(ISNUMBER(SEARCH(",",$C1671)),ISNUMBER(SEARCH(";",$C1671))),"Multiple assignees",IF(COUNTIF('Team Setup'!$B$10:$B$34,$C1671)=1,"Matched","Unmatched")))))</x:f>
      </x:c>
      <x:c r="G1671" s="13" t="str">
        <x:f>IF($A1671="","",IF($D1671&lt;&gt;'Team Setup'!$B$4,"Other sprint",IF($E1671="","Unestimated",IF(NOT(ISNUMBER($E1671)),"Check estimate in hours",IF($E1671&lt;0,"Check estimate in hours",IF($E1671=0,"Unestimated","Estimated"))))))</x:f>
      </x:c>
    </x:row>
    <x:row r="1672">
      <x:c r="A1672" s="12"/>
      <x:c r="B1672" s="12"/>
      <x:c r="C1672" s="12"/>
      <x:c r="D1672" s="12"/>
      <x:c r="E1672" s="14"/>
      <x:c r="F1672" s="13" t="str">
        <x:f>IF($A1672="","",IF($D1672&lt;&gt;'Team Setup'!$B$4,"Other sprint",IF($C1672="","Unassigned",IF(OR(ISNUMBER(SEARCH(",",$C1672)),ISNUMBER(SEARCH(";",$C1672))),"Multiple assignees",IF(COUNTIF('Team Setup'!$B$10:$B$34,$C1672)=1,"Matched","Unmatched")))))</x:f>
      </x:c>
      <x:c r="G1672" s="13" t="str">
        <x:f>IF($A1672="","",IF($D1672&lt;&gt;'Team Setup'!$B$4,"Other sprint",IF($E1672="","Unestimated",IF(NOT(ISNUMBER($E1672)),"Check estimate in hours",IF($E1672&lt;0,"Check estimate in hours",IF($E1672=0,"Unestimated","Estimated"))))))</x:f>
      </x:c>
    </x:row>
    <x:row r="1673">
      <x:c r="A1673" s="12"/>
      <x:c r="B1673" s="12"/>
      <x:c r="C1673" s="12"/>
      <x:c r="D1673" s="12"/>
      <x:c r="E1673" s="14"/>
      <x:c r="F1673" s="13" t="str">
        <x:f>IF($A1673="","",IF($D1673&lt;&gt;'Team Setup'!$B$4,"Other sprint",IF($C1673="","Unassigned",IF(OR(ISNUMBER(SEARCH(",",$C1673)),ISNUMBER(SEARCH(";",$C1673))),"Multiple assignees",IF(COUNTIF('Team Setup'!$B$10:$B$34,$C1673)=1,"Matched","Unmatched")))))</x:f>
      </x:c>
      <x:c r="G1673" s="13" t="str">
        <x:f>IF($A1673="","",IF($D1673&lt;&gt;'Team Setup'!$B$4,"Other sprint",IF($E1673="","Unestimated",IF(NOT(ISNUMBER($E1673)),"Check estimate in hours",IF($E1673&lt;0,"Check estimate in hours",IF($E1673=0,"Unestimated","Estimated"))))))</x:f>
      </x:c>
    </x:row>
    <x:row r="1674">
      <x:c r="A1674" s="12"/>
      <x:c r="B1674" s="12"/>
      <x:c r="C1674" s="12"/>
      <x:c r="D1674" s="12"/>
      <x:c r="E1674" s="14"/>
      <x:c r="F1674" s="13" t="str">
        <x:f>IF($A1674="","",IF($D1674&lt;&gt;'Team Setup'!$B$4,"Other sprint",IF($C1674="","Unassigned",IF(OR(ISNUMBER(SEARCH(",",$C1674)),ISNUMBER(SEARCH(";",$C1674))),"Multiple assignees",IF(COUNTIF('Team Setup'!$B$10:$B$34,$C1674)=1,"Matched","Unmatched")))))</x:f>
      </x:c>
      <x:c r="G1674" s="13" t="str">
        <x:f>IF($A1674="","",IF($D1674&lt;&gt;'Team Setup'!$B$4,"Other sprint",IF($E1674="","Unestimated",IF(NOT(ISNUMBER($E1674)),"Check estimate in hours",IF($E1674&lt;0,"Check estimate in hours",IF($E1674=0,"Unestimated","Estimated"))))))</x:f>
      </x:c>
    </x:row>
    <x:row r="1675">
      <x:c r="A1675" s="12"/>
      <x:c r="B1675" s="12"/>
      <x:c r="C1675" s="12"/>
      <x:c r="D1675" s="12"/>
      <x:c r="E1675" s="14"/>
      <x:c r="F1675" s="13" t="str">
        <x:f>IF($A1675="","",IF($D1675&lt;&gt;'Team Setup'!$B$4,"Other sprint",IF($C1675="","Unassigned",IF(OR(ISNUMBER(SEARCH(",",$C1675)),ISNUMBER(SEARCH(";",$C1675))),"Multiple assignees",IF(COUNTIF('Team Setup'!$B$10:$B$34,$C1675)=1,"Matched","Unmatched")))))</x:f>
      </x:c>
      <x:c r="G1675" s="13" t="str">
        <x:f>IF($A1675="","",IF($D1675&lt;&gt;'Team Setup'!$B$4,"Other sprint",IF($E1675="","Unestimated",IF(NOT(ISNUMBER($E1675)),"Check estimate in hours",IF($E1675&lt;0,"Check estimate in hours",IF($E1675=0,"Unestimated","Estimated"))))))</x:f>
      </x:c>
    </x:row>
    <x:row r="1676">
      <x:c r="A1676" s="12"/>
      <x:c r="B1676" s="12"/>
      <x:c r="C1676" s="12"/>
      <x:c r="D1676" s="12"/>
      <x:c r="E1676" s="14"/>
      <x:c r="F1676" s="13" t="str">
        <x:f>IF($A1676="","",IF($D1676&lt;&gt;'Team Setup'!$B$4,"Other sprint",IF($C1676="","Unassigned",IF(OR(ISNUMBER(SEARCH(",",$C1676)),ISNUMBER(SEARCH(";",$C1676))),"Multiple assignees",IF(COUNTIF('Team Setup'!$B$10:$B$34,$C1676)=1,"Matched","Unmatched")))))</x:f>
      </x:c>
      <x:c r="G1676" s="13" t="str">
        <x:f>IF($A1676="","",IF($D1676&lt;&gt;'Team Setup'!$B$4,"Other sprint",IF($E1676="","Unestimated",IF(NOT(ISNUMBER($E1676)),"Check estimate in hours",IF($E1676&lt;0,"Check estimate in hours",IF($E1676=0,"Unestimated","Estimated"))))))</x:f>
      </x:c>
    </x:row>
    <x:row r="1677">
      <x:c r="A1677" s="12"/>
      <x:c r="B1677" s="12"/>
      <x:c r="C1677" s="12"/>
      <x:c r="D1677" s="12"/>
      <x:c r="E1677" s="14"/>
      <x:c r="F1677" s="13" t="str">
        <x:f>IF($A1677="","",IF($D1677&lt;&gt;'Team Setup'!$B$4,"Other sprint",IF($C1677="","Unassigned",IF(OR(ISNUMBER(SEARCH(",",$C1677)),ISNUMBER(SEARCH(";",$C1677))),"Multiple assignees",IF(COUNTIF('Team Setup'!$B$10:$B$34,$C1677)=1,"Matched","Unmatched")))))</x:f>
      </x:c>
      <x:c r="G1677" s="13" t="str">
        <x:f>IF($A1677="","",IF($D1677&lt;&gt;'Team Setup'!$B$4,"Other sprint",IF($E1677="","Unestimated",IF(NOT(ISNUMBER($E1677)),"Check estimate in hours",IF($E1677&lt;0,"Check estimate in hours",IF($E1677=0,"Unestimated","Estimated"))))))</x:f>
      </x:c>
    </x:row>
    <x:row r="1678">
      <x:c r="A1678" s="12"/>
      <x:c r="B1678" s="12"/>
      <x:c r="C1678" s="12"/>
      <x:c r="D1678" s="12"/>
      <x:c r="E1678" s="14"/>
      <x:c r="F1678" s="13" t="str">
        <x:f>IF($A1678="","",IF($D1678&lt;&gt;'Team Setup'!$B$4,"Other sprint",IF($C1678="","Unassigned",IF(OR(ISNUMBER(SEARCH(",",$C1678)),ISNUMBER(SEARCH(";",$C1678))),"Multiple assignees",IF(COUNTIF('Team Setup'!$B$10:$B$34,$C1678)=1,"Matched","Unmatched")))))</x:f>
      </x:c>
      <x:c r="G1678" s="13" t="str">
        <x:f>IF($A1678="","",IF($D1678&lt;&gt;'Team Setup'!$B$4,"Other sprint",IF($E1678="","Unestimated",IF(NOT(ISNUMBER($E1678)),"Check estimate in hours",IF($E1678&lt;0,"Check estimate in hours",IF($E1678=0,"Unestimated","Estimated"))))))</x:f>
      </x:c>
    </x:row>
    <x:row r="1679">
      <x:c r="A1679" s="12"/>
      <x:c r="B1679" s="12"/>
      <x:c r="C1679" s="12"/>
      <x:c r="D1679" s="12"/>
      <x:c r="E1679" s="14"/>
      <x:c r="F1679" s="13" t="str">
        <x:f>IF($A1679="","",IF($D1679&lt;&gt;'Team Setup'!$B$4,"Other sprint",IF($C1679="","Unassigned",IF(OR(ISNUMBER(SEARCH(",",$C1679)),ISNUMBER(SEARCH(";",$C1679))),"Multiple assignees",IF(COUNTIF('Team Setup'!$B$10:$B$34,$C1679)=1,"Matched","Unmatched")))))</x:f>
      </x:c>
      <x:c r="G1679" s="13" t="str">
        <x:f>IF($A1679="","",IF($D1679&lt;&gt;'Team Setup'!$B$4,"Other sprint",IF($E1679="","Unestimated",IF(NOT(ISNUMBER($E1679)),"Check estimate in hours",IF($E1679&lt;0,"Check estimate in hours",IF($E1679=0,"Unestimated","Estimated"))))))</x:f>
      </x:c>
    </x:row>
    <x:row r="1680">
      <x:c r="A1680" s="12"/>
      <x:c r="B1680" s="12"/>
      <x:c r="C1680" s="12"/>
      <x:c r="D1680" s="12"/>
      <x:c r="E1680" s="14"/>
      <x:c r="F1680" s="13" t="str">
        <x:f>IF($A1680="","",IF($D1680&lt;&gt;'Team Setup'!$B$4,"Other sprint",IF($C1680="","Unassigned",IF(OR(ISNUMBER(SEARCH(",",$C1680)),ISNUMBER(SEARCH(";",$C1680))),"Multiple assignees",IF(COUNTIF('Team Setup'!$B$10:$B$34,$C1680)=1,"Matched","Unmatched")))))</x:f>
      </x:c>
      <x:c r="G1680" s="13" t="str">
        <x:f>IF($A1680="","",IF($D1680&lt;&gt;'Team Setup'!$B$4,"Other sprint",IF($E1680="","Unestimated",IF(NOT(ISNUMBER($E1680)),"Check estimate in hours",IF($E1680&lt;0,"Check estimate in hours",IF($E1680=0,"Unestimated","Estimated"))))))</x:f>
      </x:c>
    </x:row>
    <x:row r="1681">
      <x:c r="A1681" s="12"/>
      <x:c r="B1681" s="12"/>
      <x:c r="C1681" s="12"/>
      <x:c r="D1681" s="12"/>
      <x:c r="E1681" s="14"/>
      <x:c r="F1681" s="13" t="str">
        <x:f>IF($A1681="","",IF($D1681&lt;&gt;'Team Setup'!$B$4,"Other sprint",IF($C1681="","Unassigned",IF(OR(ISNUMBER(SEARCH(",",$C1681)),ISNUMBER(SEARCH(";",$C1681))),"Multiple assignees",IF(COUNTIF('Team Setup'!$B$10:$B$34,$C1681)=1,"Matched","Unmatched")))))</x:f>
      </x:c>
      <x:c r="G1681" s="13" t="str">
        <x:f>IF($A1681="","",IF($D1681&lt;&gt;'Team Setup'!$B$4,"Other sprint",IF($E1681="","Unestimated",IF(NOT(ISNUMBER($E1681)),"Check estimate in hours",IF($E1681&lt;0,"Check estimate in hours",IF($E1681=0,"Unestimated","Estimated"))))))</x:f>
      </x:c>
    </x:row>
    <x:row r="1682">
      <x:c r="A1682" s="12"/>
      <x:c r="B1682" s="12"/>
      <x:c r="C1682" s="12"/>
      <x:c r="D1682" s="12"/>
      <x:c r="E1682" s="14"/>
      <x:c r="F1682" s="13" t="str">
        <x:f>IF($A1682="","",IF($D1682&lt;&gt;'Team Setup'!$B$4,"Other sprint",IF($C1682="","Unassigned",IF(OR(ISNUMBER(SEARCH(",",$C1682)),ISNUMBER(SEARCH(";",$C1682))),"Multiple assignees",IF(COUNTIF('Team Setup'!$B$10:$B$34,$C1682)=1,"Matched","Unmatched")))))</x:f>
      </x:c>
      <x:c r="G1682" s="13" t="str">
        <x:f>IF($A1682="","",IF($D1682&lt;&gt;'Team Setup'!$B$4,"Other sprint",IF($E1682="","Unestimated",IF(NOT(ISNUMBER($E1682)),"Check estimate in hours",IF($E1682&lt;0,"Check estimate in hours",IF($E1682=0,"Unestimated","Estimated"))))))</x:f>
      </x:c>
    </x:row>
    <x:row r="1683">
      <x:c r="A1683" s="12"/>
      <x:c r="B1683" s="12"/>
      <x:c r="C1683" s="12"/>
      <x:c r="D1683" s="12"/>
      <x:c r="E1683" s="14"/>
      <x:c r="F1683" s="13" t="str">
        <x:f>IF($A1683="","",IF($D1683&lt;&gt;'Team Setup'!$B$4,"Other sprint",IF($C1683="","Unassigned",IF(OR(ISNUMBER(SEARCH(",",$C1683)),ISNUMBER(SEARCH(";",$C1683))),"Multiple assignees",IF(COUNTIF('Team Setup'!$B$10:$B$34,$C1683)=1,"Matched","Unmatched")))))</x:f>
      </x:c>
      <x:c r="G1683" s="13" t="str">
        <x:f>IF($A1683="","",IF($D1683&lt;&gt;'Team Setup'!$B$4,"Other sprint",IF($E1683="","Unestimated",IF(NOT(ISNUMBER($E1683)),"Check estimate in hours",IF($E1683&lt;0,"Check estimate in hours",IF($E1683=0,"Unestimated","Estimated"))))))</x:f>
      </x:c>
    </x:row>
    <x:row r="1684">
      <x:c r="A1684" s="12"/>
      <x:c r="B1684" s="12"/>
      <x:c r="C1684" s="12"/>
      <x:c r="D1684" s="12"/>
      <x:c r="E1684" s="14"/>
      <x:c r="F1684" s="13" t="str">
        <x:f>IF($A1684="","",IF($D1684&lt;&gt;'Team Setup'!$B$4,"Other sprint",IF($C1684="","Unassigned",IF(OR(ISNUMBER(SEARCH(",",$C1684)),ISNUMBER(SEARCH(";",$C1684))),"Multiple assignees",IF(COUNTIF('Team Setup'!$B$10:$B$34,$C1684)=1,"Matched","Unmatched")))))</x:f>
      </x:c>
      <x:c r="G1684" s="13" t="str">
        <x:f>IF($A1684="","",IF($D1684&lt;&gt;'Team Setup'!$B$4,"Other sprint",IF($E1684="","Unestimated",IF(NOT(ISNUMBER($E1684)),"Check estimate in hours",IF($E1684&lt;0,"Check estimate in hours",IF($E1684=0,"Unestimated","Estimated"))))))</x:f>
      </x:c>
    </x:row>
    <x:row r="1685">
      <x:c r="A1685" s="12"/>
      <x:c r="B1685" s="12"/>
      <x:c r="C1685" s="12"/>
      <x:c r="D1685" s="12"/>
      <x:c r="E1685" s="14"/>
      <x:c r="F1685" s="13" t="str">
        <x:f>IF($A1685="","",IF($D1685&lt;&gt;'Team Setup'!$B$4,"Other sprint",IF($C1685="","Unassigned",IF(OR(ISNUMBER(SEARCH(",",$C1685)),ISNUMBER(SEARCH(";",$C1685))),"Multiple assignees",IF(COUNTIF('Team Setup'!$B$10:$B$34,$C1685)=1,"Matched","Unmatched")))))</x:f>
      </x:c>
      <x:c r="G1685" s="13" t="str">
        <x:f>IF($A1685="","",IF($D1685&lt;&gt;'Team Setup'!$B$4,"Other sprint",IF($E1685="","Unestimated",IF(NOT(ISNUMBER($E1685)),"Check estimate in hours",IF($E1685&lt;0,"Check estimate in hours",IF($E1685=0,"Unestimated","Estimated"))))))</x:f>
      </x:c>
    </x:row>
    <x:row r="1686">
      <x:c r="A1686" s="12"/>
      <x:c r="B1686" s="12"/>
      <x:c r="C1686" s="12"/>
      <x:c r="D1686" s="12"/>
      <x:c r="E1686" s="14"/>
      <x:c r="F1686" s="13" t="str">
        <x:f>IF($A1686="","",IF($D1686&lt;&gt;'Team Setup'!$B$4,"Other sprint",IF($C1686="","Unassigned",IF(OR(ISNUMBER(SEARCH(",",$C1686)),ISNUMBER(SEARCH(";",$C1686))),"Multiple assignees",IF(COUNTIF('Team Setup'!$B$10:$B$34,$C1686)=1,"Matched","Unmatched")))))</x:f>
      </x:c>
      <x:c r="G1686" s="13" t="str">
        <x:f>IF($A1686="","",IF($D1686&lt;&gt;'Team Setup'!$B$4,"Other sprint",IF($E1686="","Unestimated",IF(NOT(ISNUMBER($E1686)),"Check estimate in hours",IF($E1686&lt;0,"Check estimate in hours",IF($E1686=0,"Unestimated","Estimated"))))))</x:f>
      </x:c>
    </x:row>
    <x:row r="1687">
      <x:c r="A1687" s="12"/>
      <x:c r="B1687" s="12"/>
      <x:c r="C1687" s="12"/>
      <x:c r="D1687" s="12"/>
      <x:c r="E1687" s="14"/>
      <x:c r="F1687" s="13" t="str">
        <x:f>IF($A1687="","",IF($D1687&lt;&gt;'Team Setup'!$B$4,"Other sprint",IF($C1687="","Unassigned",IF(OR(ISNUMBER(SEARCH(",",$C1687)),ISNUMBER(SEARCH(";",$C1687))),"Multiple assignees",IF(COUNTIF('Team Setup'!$B$10:$B$34,$C1687)=1,"Matched","Unmatched")))))</x:f>
      </x:c>
      <x:c r="G1687" s="13" t="str">
        <x:f>IF($A1687="","",IF($D1687&lt;&gt;'Team Setup'!$B$4,"Other sprint",IF($E1687="","Unestimated",IF(NOT(ISNUMBER($E1687)),"Check estimate in hours",IF($E1687&lt;0,"Check estimate in hours",IF($E1687=0,"Unestimated","Estimated"))))))</x:f>
      </x:c>
    </x:row>
    <x:row r="1688">
      <x:c r="A1688" s="12"/>
      <x:c r="B1688" s="12"/>
      <x:c r="C1688" s="12"/>
      <x:c r="D1688" s="12"/>
      <x:c r="E1688" s="14"/>
      <x:c r="F1688" s="13" t="str">
        <x:f>IF($A1688="","",IF($D1688&lt;&gt;'Team Setup'!$B$4,"Other sprint",IF($C1688="","Unassigned",IF(OR(ISNUMBER(SEARCH(",",$C1688)),ISNUMBER(SEARCH(";",$C1688))),"Multiple assignees",IF(COUNTIF('Team Setup'!$B$10:$B$34,$C1688)=1,"Matched","Unmatched")))))</x:f>
      </x:c>
      <x:c r="G1688" s="13" t="str">
        <x:f>IF($A1688="","",IF($D1688&lt;&gt;'Team Setup'!$B$4,"Other sprint",IF($E1688="","Unestimated",IF(NOT(ISNUMBER($E1688)),"Check estimate in hours",IF($E1688&lt;0,"Check estimate in hours",IF($E1688=0,"Unestimated","Estimated"))))))</x:f>
      </x:c>
    </x:row>
    <x:row r="1689">
      <x:c r="A1689" s="12"/>
      <x:c r="B1689" s="12"/>
      <x:c r="C1689" s="12"/>
      <x:c r="D1689" s="12"/>
      <x:c r="E1689" s="14"/>
      <x:c r="F1689" s="13" t="str">
        <x:f>IF($A1689="","",IF($D1689&lt;&gt;'Team Setup'!$B$4,"Other sprint",IF($C1689="","Unassigned",IF(OR(ISNUMBER(SEARCH(",",$C1689)),ISNUMBER(SEARCH(";",$C1689))),"Multiple assignees",IF(COUNTIF('Team Setup'!$B$10:$B$34,$C1689)=1,"Matched","Unmatched")))))</x:f>
      </x:c>
      <x:c r="G1689" s="13" t="str">
        <x:f>IF($A1689="","",IF($D1689&lt;&gt;'Team Setup'!$B$4,"Other sprint",IF($E1689="","Unestimated",IF(NOT(ISNUMBER($E1689)),"Check estimate in hours",IF($E1689&lt;0,"Check estimate in hours",IF($E1689=0,"Unestimated","Estimated"))))))</x:f>
      </x:c>
    </x:row>
    <x:row r="1690">
      <x:c r="A1690" s="12"/>
      <x:c r="B1690" s="12"/>
      <x:c r="C1690" s="12"/>
      <x:c r="D1690" s="12"/>
      <x:c r="E1690" s="14"/>
      <x:c r="F1690" s="13" t="str">
        <x:f>IF($A1690="","",IF($D1690&lt;&gt;'Team Setup'!$B$4,"Other sprint",IF($C1690="","Unassigned",IF(OR(ISNUMBER(SEARCH(",",$C1690)),ISNUMBER(SEARCH(";",$C1690))),"Multiple assignees",IF(COUNTIF('Team Setup'!$B$10:$B$34,$C1690)=1,"Matched","Unmatched")))))</x:f>
      </x:c>
      <x:c r="G1690" s="13" t="str">
        <x:f>IF($A1690="","",IF($D1690&lt;&gt;'Team Setup'!$B$4,"Other sprint",IF($E1690="","Unestimated",IF(NOT(ISNUMBER($E1690)),"Check estimate in hours",IF($E1690&lt;0,"Check estimate in hours",IF($E1690=0,"Unestimated","Estimated"))))))</x:f>
      </x:c>
    </x:row>
    <x:row r="1691">
      <x:c r="A1691" s="12"/>
      <x:c r="B1691" s="12"/>
      <x:c r="C1691" s="12"/>
      <x:c r="D1691" s="12"/>
      <x:c r="E1691" s="14"/>
      <x:c r="F1691" s="13" t="str">
        <x:f>IF($A1691="","",IF($D1691&lt;&gt;'Team Setup'!$B$4,"Other sprint",IF($C1691="","Unassigned",IF(OR(ISNUMBER(SEARCH(",",$C1691)),ISNUMBER(SEARCH(";",$C1691))),"Multiple assignees",IF(COUNTIF('Team Setup'!$B$10:$B$34,$C1691)=1,"Matched","Unmatched")))))</x:f>
      </x:c>
      <x:c r="G1691" s="13" t="str">
        <x:f>IF($A1691="","",IF($D1691&lt;&gt;'Team Setup'!$B$4,"Other sprint",IF($E1691="","Unestimated",IF(NOT(ISNUMBER($E1691)),"Check estimate in hours",IF($E1691&lt;0,"Check estimate in hours",IF($E1691=0,"Unestimated","Estimated"))))))</x:f>
      </x:c>
    </x:row>
    <x:row r="1692">
      <x:c r="A1692" s="12"/>
      <x:c r="B1692" s="12"/>
      <x:c r="C1692" s="12"/>
      <x:c r="D1692" s="12"/>
      <x:c r="E1692" s="14"/>
      <x:c r="F1692" s="13" t="str">
        <x:f>IF($A1692="","",IF($D1692&lt;&gt;'Team Setup'!$B$4,"Other sprint",IF($C1692="","Unassigned",IF(OR(ISNUMBER(SEARCH(",",$C1692)),ISNUMBER(SEARCH(";",$C1692))),"Multiple assignees",IF(COUNTIF('Team Setup'!$B$10:$B$34,$C1692)=1,"Matched","Unmatched")))))</x:f>
      </x:c>
      <x:c r="G1692" s="13" t="str">
        <x:f>IF($A1692="","",IF($D1692&lt;&gt;'Team Setup'!$B$4,"Other sprint",IF($E1692="","Unestimated",IF(NOT(ISNUMBER($E1692)),"Check estimate in hours",IF($E1692&lt;0,"Check estimate in hours",IF($E1692=0,"Unestimated","Estimated"))))))</x:f>
      </x:c>
    </x:row>
    <x:row r="1693">
      <x:c r="A1693" s="12"/>
      <x:c r="B1693" s="12"/>
      <x:c r="C1693" s="12"/>
      <x:c r="D1693" s="12"/>
      <x:c r="E1693" s="14"/>
      <x:c r="F1693" s="13" t="str">
        <x:f>IF($A1693="","",IF($D1693&lt;&gt;'Team Setup'!$B$4,"Other sprint",IF($C1693="","Unassigned",IF(OR(ISNUMBER(SEARCH(",",$C1693)),ISNUMBER(SEARCH(";",$C1693))),"Multiple assignees",IF(COUNTIF('Team Setup'!$B$10:$B$34,$C1693)=1,"Matched","Unmatched")))))</x:f>
      </x:c>
      <x:c r="G1693" s="13" t="str">
        <x:f>IF($A1693="","",IF($D1693&lt;&gt;'Team Setup'!$B$4,"Other sprint",IF($E1693="","Unestimated",IF(NOT(ISNUMBER($E1693)),"Check estimate in hours",IF($E1693&lt;0,"Check estimate in hours",IF($E1693=0,"Unestimated","Estimated"))))))</x:f>
      </x:c>
    </x:row>
    <x:row r="1694">
      <x:c r="A1694" s="12"/>
      <x:c r="B1694" s="12"/>
      <x:c r="C1694" s="12"/>
      <x:c r="D1694" s="12"/>
      <x:c r="E1694" s="14"/>
      <x:c r="F1694" s="13" t="str">
        <x:f>IF($A1694="","",IF($D1694&lt;&gt;'Team Setup'!$B$4,"Other sprint",IF($C1694="","Unassigned",IF(OR(ISNUMBER(SEARCH(",",$C1694)),ISNUMBER(SEARCH(";",$C1694))),"Multiple assignees",IF(COUNTIF('Team Setup'!$B$10:$B$34,$C1694)=1,"Matched","Unmatched")))))</x:f>
      </x:c>
      <x:c r="G1694" s="13" t="str">
        <x:f>IF($A1694="","",IF($D1694&lt;&gt;'Team Setup'!$B$4,"Other sprint",IF($E1694="","Unestimated",IF(NOT(ISNUMBER($E1694)),"Check estimate in hours",IF($E1694&lt;0,"Check estimate in hours",IF($E1694=0,"Unestimated","Estimated"))))))</x:f>
      </x:c>
    </x:row>
    <x:row r="1695">
      <x:c r="A1695" s="12"/>
      <x:c r="B1695" s="12"/>
      <x:c r="C1695" s="12"/>
      <x:c r="D1695" s="12"/>
      <x:c r="E1695" s="14"/>
      <x:c r="F1695" s="13" t="str">
        <x:f>IF($A1695="","",IF($D1695&lt;&gt;'Team Setup'!$B$4,"Other sprint",IF($C1695="","Unassigned",IF(OR(ISNUMBER(SEARCH(",",$C1695)),ISNUMBER(SEARCH(";",$C1695))),"Multiple assignees",IF(COUNTIF('Team Setup'!$B$10:$B$34,$C1695)=1,"Matched","Unmatched")))))</x:f>
      </x:c>
      <x:c r="G1695" s="13" t="str">
        <x:f>IF($A1695="","",IF($D1695&lt;&gt;'Team Setup'!$B$4,"Other sprint",IF($E1695="","Unestimated",IF(NOT(ISNUMBER($E1695)),"Check estimate in hours",IF($E1695&lt;0,"Check estimate in hours",IF($E1695=0,"Unestimated","Estimated"))))))</x:f>
      </x:c>
    </x:row>
    <x:row r="1696">
      <x:c r="A1696" s="12"/>
      <x:c r="B1696" s="12"/>
      <x:c r="C1696" s="12"/>
      <x:c r="D1696" s="12"/>
      <x:c r="E1696" s="14"/>
      <x:c r="F1696" s="13" t="str">
        <x:f>IF($A1696="","",IF($D1696&lt;&gt;'Team Setup'!$B$4,"Other sprint",IF($C1696="","Unassigned",IF(OR(ISNUMBER(SEARCH(",",$C1696)),ISNUMBER(SEARCH(";",$C1696))),"Multiple assignees",IF(COUNTIF('Team Setup'!$B$10:$B$34,$C1696)=1,"Matched","Unmatched")))))</x:f>
      </x:c>
      <x:c r="G1696" s="13" t="str">
        <x:f>IF($A1696="","",IF($D1696&lt;&gt;'Team Setup'!$B$4,"Other sprint",IF($E1696="","Unestimated",IF(NOT(ISNUMBER($E1696)),"Check estimate in hours",IF($E1696&lt;0,"Check estimate in hours",IF($E1696=0,"Unestimated","Estimated"))))))</x:f>
      </x:c>
    </x:row>
    <x:row r="1697">
      <x:c r="A1697" s="12"/>
      <x:c r="B1697" s="12"/>
      <x:c r="C1697" s="12"/>
      <x:c r="D1697" s="12"/>
      <x:c r="E1697" s="14"/>
      <x:c r="F1697" s="13" t="str">
        <x:f>IF($A1697="","",IF($D1697&lt;&gt;'Team Setup'!$B$4,"Other sprint",IF($C1697="","Unassigned",IF(OR(ISNUMBER(SEARCH(",",$C1697)),ISNUMBER(SEARCH(";",$C1697))),"Multiple assignees",IF(COUNTIF('Team Setup'!$B$10:$B$34,$C1697)=1,"Matched","Unmatched")))))</x:f>
      </x:c>
      <x:c r="G1697" s="13" t="str">
        <x:f>IF($A1697="","",IF($D1697&lt;&gt;'Team Setup'!$B$4,"Other sprint",IF($E1697="","Unestimated",IF(NOT(ISNUMBER($E1697)),"Check estimate in hours",IF($E1697&lt;0,"Check estimate in hours",IF($E1697=0,"Unestimated","Estimated"))))))</x:f>
      </x:c>
    </x:row>
    <x:row r="1698">
      <x:c r="A1698" s="12"/>
      <x:c r="B1698" s="12"/>
      <x:c r="C1698" s="12"/>
      <x:c r="D1698" s="12"/>
      <x:c r="E1698" s="14"/>
      <x:c r="F1698" s="13" t="str">
        <x:f>IF($A1698="","",IF($D1698&lt;&gt;'Team Setup'!$B$4,"Other sprint",IF($C1698="","Unassigned",IF(OR(ISNUMBER(SEARCH(",",$C1698)),ISNUMBER(SEARCH(";",$C1698))),"Multiple assignees",IF(COUNTIF('Team Setup'!$B$10:$B$34,$C1698)=1,"Matched","Unmatched")))))</x:f>
      </x:c>
      <x:c r="G1698" s="13" t="str">
        <x:f>IF($A1698="","",IF($D1698&lt;&gt;'Team Setup'!$B$4,"Other sprint",IF($E1698="","Unestimated",IF(NOT(ISNUMBER($E1698)),"Check estimate in hours",IF($E1698&lt;0,"Check estimate in hours",IF($E1698=0,"Unestimated","Estimated"))))))</x:f>
      </x:c>
    </x:row>
    <x:row r="1699">
      <x:c r="A1699" s="12"/>
      <x:c r="B1699" s="12"/>
      <x:c r="C1699" s="12"/>
      <x:c r="D1699" s="12"/>
      <x:c r="E1699" s="14"/>
      <x:c r="F1699" s="13" t="str">
        <x:f>IF($A1699="","",IF($D1699&lt;&gt;'Team Setup'!$B$4,"Other sprint",IF($C1699="","Unassigned",IF(OR(ISNUMBER(SEARCH(",",$C1699)),ISNUMBER(SEARCH(";",$C1699))),"Multiple assignees",IF(COUNTIF('Team Setup'!$B$10:$B$34,$C1699)=1,"Matched","Unmatched")))))</x:f>
      </x:c>
      <x:c r="G1699" s="13" t="str">
        <x:f>IF($A1699="","",IF($D1699&lt;&gt;'Team Setup'!$B$4,"Other sprint",IF($E1699="","Unestimated",IF(NOT(ISNUMBER($E1699)),"Check estimate in hours",IF($E1699&lt;0,"Check estimate in hours",IF($E1699=0,"Unestimated","Estimated"))))))</x:f>
      </x:c>
    </x:row>
    <x:row r="1700">
      <x:c r="A1700" s="12"/>
      <x:c r="B1700" s="12"/>
      <x:c r="C1700" s="12"/>
      <x:c r="D1700" s="12"/>
      <x:c r="E1700" s="14"/>
      <x:c r="F1700" s="13" t="str">
        <x:f>IF($A1700="","",IF($D1700&lt;&gt;'Team Setup'!$B$4,"Other sprint",IF($C1700="","Unassigned",IF(OR(ISNUMBER(SEARCH(",",$C1700)),ISNUMBER(SEARCH(";",$C1700))),"Multiple assignees",IF(COUNTIF('Team Setup'!$B$10:$B$34,$C1700)=1,"Matched","Unmatched")))))</x:f>
      </x:c>
      <x:c r="G1700" s="13" t="str">
        <x:f>IF($A1700="","",IF($D1700&lt;&gt;'Team Setup'!$B$4,"Other sprint",IF($E1700="","Unestimated",IF(NOT(ISNUMBER($E1700)),"Check estimate in hours",IF($E1700&lt;0,"Check estimate in hours",IF($E1700=0,"Unestimated","Estimated"))))))</x:f>
      </x:c>
    </x:row>
    <x:row r="1701">
      <x:c r="A1701" s="12"/>
      <x:c r="B1701" s="12"/>
      <x:c r="C1701" s="12"/>
      <x:c r="D1701" s="12"/>
      <x:c r="E1701" s="14"/>
      <x:c r="F1701" s="13" t="str">
        <x:f>IF($A1701="","",IF($D1701&lt;&gt;'Team Setup'!$B$4,"Other sprint",IF($C1701="","Unassigned",IF(OR(ISNUMBER(SEARCH(",",$C1701)),ISNUMBER(SEARCH(";",$C1701))),"Multiple assignees",IF(COUNTIF('Team Setup'!$B$10:$B$34,$C1701)=1,"Matched","Unmatched")))))</x:f>
      </x:c>
      <x:c r="G1701" s="13" t="str">
        <x:f>IF($A1701="","",IF($D1701&lt;&gt;'Team Setup'!$B$4,"Other sprint",IF($E1701="","Unestimated",IF(NOT(ISNUMBER($E1701)),"Check estimate in hours",IF($E1701&lt;0,"Check estimate in hours",IF($E1701=0,"Unestimated","Estimated"))))))</x:f>
      </x:c>
    </x:row>
    <x:row r="1702">
      <x:c r="A1702" s="12"/>
      <x:c r="B1702" s="12"/>
      <x:c r="C1702" s="12"/>
      <x:c r="D1702" s="12"/>
      <x:c r="E1702" s="14"/>
      <x:c r="F1702" s="13" t="str">
        <x:f>IF($A1702="","",IF($D1702&lt;&gt;'Team Setup'!$B$4,"Other sprint",IF($C1702="","Unassigned",IF(OR(ISNUMBER(SEARCH(",",$C1702)),ISNUMBER(SEARCH(";",$C1702))),"Multiple assignees",IF(COUNTIF('Team Setup'!$B$10:$B$34,$C1702)=1,"Matched","Unmatched")))))</x:f>
      </x:c>
      <x:c r="G1702" s="13" t="str">
        <x:f>IF($A1702="","",IF($D1702&lt;&gt;'Team Setup'!$B$4,"Other sprint",IF($E1702="","Unestimated",IF(NOT(ISNUMBER($E1702)),"Check estimate in hours",IF($E1702&lt;0,"Check estimate in hours",IF($E1702=0,"Unestimated","Estimated"))))))</x:f>
      </x:c>
    </x:row>
    <x:row r="1703">
      <x:c r="A1703" s="12"/>
      <x:c r="B1703" s="12"/>
      <x:c r="C1703" s="12"/>
      <x:c r="D1703" s="12"/>
      <x:c r="E1703" s="14"/>
      <x:c r="F1703" s="13" t="str">
        <x:f>IF($A1703="","",IF($D1703&lt;&gt;'Team Setup'!$B$4,"Other sprint",IF($C1703="","Unassigned",IF(OR(ISNUMBER(SEARCH(",",$C1703)),ISNUMBER(SEARCH(";",$C1703))),"Multiple assignees",IF(COUNTIF('Team Setup'!$B$10:$B$34,$C1703)=1,"Matched","Unmatched")))))</x:f>
      </x:c>
      <x:c r="G1703" s="13" t="str">
        <x:f>IF($A1703="","",IF($D1703&lt;&gt;'Team Setup'!$B$4,"Other sprint",IF($E1703="","Unestimated",IF(NOT(ISNUMBER($E1703)),"Check estimate in hours",IF($E1703&lt;0,"Check estimate in hours",IF($E1703=0,"Unestimated","Estimated"))))))</x:f>
      </x:c>
    </x:row>
    <x:row r="1704">
      <x:c r="A1704" s="12"/>
      <x:c r="B1704" s="12"/>
      <x:c r="C1704" s="12"/>
      <x:c r="D1704" s="12"/>
      <x:c r="E1704" s="14"/>
      <x:c r="F1704" s="13" t="str">
        <x:f>IF($A1704="","",IF($D1704&lt;&gt;'Team Setup'!$B$4,"Other sprint",IF($C1704="","Unassigned",IF(OR(ISNUMBER(SEARCH(",",$C1704)),ISNUMBER(SEARCH(";",$C1704))),"Multiple assignees",IF(COUNTIF('Team Setup'!$B$10:$B$34,$C1704)=1,"Matched","Unmatched")))))</x:f>
      </x:c>
      <x:c r="G1704" s="13" t="str">
        <x:f>IF($A1704="","",IF($D1704&lt;&gt;'Team Setup'!$B$4,"Other sprint",IF($E1704="","Unestimated",IF(NOT(ISNUMBER($E1704)),"Check estimate in hours",IF($E1704&lt;0,"Check estimate in hours",IF($E1704=0,"Unestimated","Estimated"))))))</x:f>
      </x:c>
    </x:row>
    <x:row r="1705">
      <x:c r="A1705" s="12"/>
      <x:c r="B1705" s="12"/>
      <x:c r="C1705" s="12"/>
      <x:c r="D1705" s="12"/>
      <x:c r="E1705" s="14"/>
      <x:c r="F1705" s="13" t="str">
        <x:f>IF($A1705="","",IF($D1705&lt;&gt;'Team Setup'!$B$4,"Other sprint",IF($C1705="","Unassigned",IF(OR(ISNUMBER(SEARCH(",",$C1705)),ISNUMBER(SEARCH(";",$C1705))),"Multiple assignees",IF(COUNTIF('Team Setup'!$B$10:$B$34,$C1705)=1,"Matched","Unmatched")))))</x:f>
      </x:c>
      <x:c r="G1705" s="13" t="str">
        <x:f>IF($A1705="","",IF($D1705&lt;&gt;'Team Setup'!$B$4,"Other sprint",IF($E1705="","Unestimated",IF(NOT(ISNUMBER($E1705)),"Check estimate in hours",IF($E1705&lt;0,"Check estimate in hours",IF($E1705=0,"Unestimated","Estimated"))))))</x:f>
      </x:c>
    </x:row>
    <x:row r="1706">
      <x:c r="A1706" s="12"/>
      <x:c r="B1706" s="12"/>
      <x:c r="C1706" s="12"/>
      <x:c r="D1706" s="12"/>
      <x:c r="E1706" s="14"/>
      <x:c r="F1706" s="13" t="str">
        <x:f>IF($A1706="","",IF($D1706&lt;&gt;'Team Setup'!$B$4,"Other sprint",IF($C1706="","Unassigned",IF(OR(ISNUMBER(SEARCH(",",$C1706)),ISNUMBER(SEARCH(";",$C1706))),"Multiple assignees",IF(COUNTIF('Team Setup'!$B$10:$B$34,$C1706)=1,"Matched","Unmatched")))))</x:f>
      </x:c>
      <x:c r="G1706" s="13" t="str">
        <x:f>IF($A1706="","",IF($D1706&lt;&gt;'Team Setup'!$B$4,"Other sprint",IF($E1706="","Unestimated",IF(NOT(ISNUMBER($E1706)),"Check estimate in hours",IF($E1706&lt;0,"Check estimate in hours",IF($E1706=0,"Unestimated","Estimated"))))))</x:f>
      </x:c>
    </x:row>
    <x:row r="1707">
      <x:c r="A1707" s="12"/>
      <x:c r="B1707" s="12"/>
      <x:c r="C1707" s="12"/>
      <x:c r="D1707" s="12"/>
      <x:c r="E1707" s="14"/>
      <x:c r="F1707" s="13" t="str">
        <x:f>IF($A1707="","",IF($D1707&lt;&gt;'Team Setup'!$B$4,"Other sprint",IF($C1707="","Unassigned",IF(OR(ISNUMBER(SEARCH(",",$C1707)),ISNUMBER(SEARCH(";",$C1707))),"Multiple assignees",IF(COUNTIF('Team Setup'!$B$10:$B$34,$C1707)=1,"Matched","Unmatched")))))</x:f>
      </x:c>
      <x:c r="G1707" s="13" t="str">
        <x:f>IF($A1707="","",IF($D1707&lt;&gt;'Team Setup'!$B$4,"Other sprint",IF($E1707="","Unestimated",IF(NOT(ISNUMBER($E1707)),"Check estimate in hours",IF($E1707&lt;0,"Check estimate in hours",IF($E1707=0,"Unestimated","Estimated"))))))</x:f>
      </x:c>
    </x:row>
    <x:row r="1708">
      <x:c r="A1708" s="12"/>
      <x:c r="B1708" s="12"/>
      <x:c r="C1708" s="12"/>
      <x:c r="D1708" s="12"/>
      <x:c r="E1708" s="14"/>
      <x:c r="F1708" s="13" t="str">
        <x:f>IF($A1708="","",IF($D1708&lt;&gt;'Team Setup'!$B$4,"Other sprint",IF($C1708="","Unassigned",IF(OR(ISNUMBER(SEARCH(",",$C1708)),ISNUMBER(SEARCH(";",$C1708))),"Multiple assignees",IF(COUNTIF('Team Setup'!$B$10:$B$34,$C1708)=1,"Matched","Unmatched")))))</x:f>
      </x:c>
      <x:c r="G1708" s="13" t="str">
        <x:f>IF($A1708="","",IF($D1708&lt;&gt;'Team Setup'!$B$4,"Other sprint",IF($E1708="","Unestimated",IF(NOT(ISNUMBER($E1708)),"Check estimate in hours",IF($E1708&lt;0,"Check estimate in hours",IF($E1708=0,"Unestimated","Estimated"))))))</x:f>
      </x:c>
    </x:row>
    <x:row r="1709">
      <x:c r="A1709" s="12"/>
      <x:c r="B1709" s="12"/>
      <x:c r="C1709" s="12"/>
      <x:c r="D1709" s="12"/>
      <x:c r="E1709" s="14"/>
      <x:c r="F1709" s="13" t="str">
        <x:f>IF($A1709="","",IF($D1709&lt;&gt;'Team Setup'!$B$4,"Other sprint",IF($C1709="","Unassigned",IF(OR(ISNUMBER(SEARCH(",",$C1709)),ISNUMBER(SEARCH(";",$C1709))),"Multiple assignees",IF(COUNTIF('Team Setup'!$B$10:$B$34,$C1709)=1,"Matched","Unmatched")))))</x:f>
      </x:c>
      <x:c r="G1709" s="13" t="str">
        <x:f>IF($A1709="","",IF($D1709&lt;&gt;'Team Setup'!$B$4,"Other sprint",IF($E1709="","Unestimated",IF(NOT(ISNUMBER($E1709)),"Check estimate in hours",IF($E1709&lt;0,"Check estimate in hours",IF($E1709=0,"Unestimated","Estimated"))))))</x:f>
      </x:c>
    </x:row>
    <x:row r="1710">
      <x:c r="A1710" s="12"/>
      <x:c r="B1710" s="12"/>
      <x:c r="C1710" s="12"/>
      <x:c r="D1710" s="12"/>
      <x:c r="E1710" s="14"/>
      <x:c r="F1710" s="13" t="str">
        <x:f>IF($A1710="","",IF($D1710&lt;&gt;'Team Setup'!$B$4,"Other sprint",IF($C1710="","Unassigned",IF(OR(ISNUMBER(SEARCH(",",$C1710)),ISNUMBER(SEARCH(";",$C1710))),"Multiple assignees",IF(COUNTIF('Team Setup'!$B$10:$B$34,$C1710)=1,"Matched","Unmatched")))))</x:f>
      </x:c>
      <x:c r="G1710" s="13" t="str">
        <x:f>IF($A1710="","",IF($D1710&lt;&gt;'Team Setup'!$B$4,"Other sprint",IF($E1710="","Unestimated",IF(NOT(ISNUMBER($E1710)),"Check estimate in hours",IF($E1710&lt;0,"Check estimate in hours",IF($E1710=0,"Unestimated","Estimated"))))))</x:f>
      </x:c>
    </x:row>
    <x:row r="1711">
      <x:c r="A1711" s="12"/>
      <x:c r="B1711" s="12"/>
      <x:c r="C1711" s="12"/>
      <x:c r="D1711" s="12"/>
      <x:c r="E1711" s="14"/>
      <x:c r="F1711" s="13" t="str">
        <x:f>IF($A1711="","",IF($D1711&lt;&gt;'Team Setup'!$B$4,"Other sprint",IF($C1711="","Unassigned",IF(OR(ISNUMBER(SEARCH(",",$C1711)),ISNUMBER(SEARCH(";",$C1711))),"Multiple assignees",IF(COUNTIF('Team Setup'!$B$10:$B$34,$C1711)=1,"Matched","Unmatched")))))</x:f>
      </x:c>
      <x:c r="G1711" s="13" t="str">
        <x:f>IF($A1711="","",IF($D1711&lt;&gt;'Team Setup'!$B$4,"Other sprint",IF($E1711="","Unestimated",IF(NOT(ISNUMBER($E1711)),"Check estimate in hours",IF($E1711&lt;0,"Check estimate in hours",IF($E1711=0,"Unestimated","Estimated"))))))</x:f>
      </x:c>
    </x:row>
    <x:row r="1712">
      <x:c r="A1712" s="12"/>
      <x:c r="B1712" s="12"/>
      <x:c r="C1712" s="12"/>
      <x:c r="D1712" s="12"/>
      <x:c r="E1712" s="14"/>
      <x:c r="F1712" s="13" t="str">
        <x:f>IF($A1712="","",IF($D1712&lt;&gt;'Team Setup'!$B$4,"Other sprint",IF($C1712="","Unassigned",IF(OR(ISNUMBER(SEARCH(",",$C1712)),ISNUMBER(SEARCH(";",$C1712))),"Multiple assignees",IF(COUNTIF('Team Setup'!$B$10:$B$34,$C1712)=1,"Matched","Unmatched")))))</x:f>
      </x:c>
      <x:c r="G1712" s="13" t="str">
        <x:f>IF($A1712="","",IF($D1712&lt;&gt;'Team Setup'!$B$4,"Other sprint",IF($E1712="","Unestimated",IF(NOT(ISNUMBER($E1712)),"Check estimate in hours",IF($E1712&lt;0,"Check estimate in hours",IF($E1712=0,"Unestimated","Estimated"))))))</x:f>
      </x:c>
    </x:row>
    <x:row r="1713">
      <x:c r="A1713" s="12"/>
      <x:c r="B1713" s="12"/>
      <x:c r="C1713" s="12"/>
      <x:c r="D1713" s="12"/>
      <x:c r="E1713" s="14"/>
      <x:c r="F1713" s="13" t="str">
        <x:f>IF($A1713="","",IF($D1713&lt;&gt;'Team Setup'!$B$4,"Other sprint",IF($C1713="","Unassigned",IF(OR(ISNUMBER(SEARCH(",",$C1713)),ISNUMBER(SEARCH(";",$C1713))),"Multiple assignees",IF(COUNTIF('Team Setup'!$B$10:$B$34,$C1713)=1,"Matched","Unmatched")))))</x:f>
      </x:c>
      <x:c r="G1713" s="13" t="str">
        <x:f>IF($A1713="","",IF($D1713&lt;&gt;'Team Setup'!$B$4,"Other sprint",IF($E1713="","Unestimated",IF(NOT(ISNUMBER($E1713)),"Check estimate in hours",IF($E1713&lt;0,"Check estimate in hours",IF($E1713=0,"Unestimated","Estimated"))))))</x:f>
      </x:c>
    </x:row>
    <x:row r="1714">
      <x:c r="A1714" s="12"/>
      <x:c r="B1714" s="12"/>
      <x:c r="C1714" s="12"/>
      <x:c r="D1714" s="12"/>
      <x:c r="E1714" s="14"/>
      <x:c r="F1714" s="13" t="str">
        <x:f>IF($A1714="","",IF($D1714&lt;&gt;'Team Setup'!$B$4,"Other sprint",IF($C1714="","Unassigned",IF(OR(ISNUMBER(SEARCH(",",$C1714)),ISNUMBER(SEARCH(";",$C1714))),"Multiple assignees",IF(COUNTIF('Team Setup'!$B$10:$B$34,$C1714)=1,"Matched","Unmatched")))))</x:f>
      </x:c>
      <x:c r="G1714" s="13" t="str">
        <x:f>IF($A1714="","",IF($D1714&lt;&gt;'Team Setup'!$B$4,"Other sprint",IF($E1714="","Unestimated",IF(NOT(ISNUMBER($E1714)),"Check estimate in hours",IF($E1714&lt;0,"Check estimate in hours",IF($E1714=0,"Unestimated","Estimated"))))))</x:f>
      </x:c>
    </x:row>
    <x:row r="1715">
      <x:c r="A1715" s="12"/>
      <x:c r="B1715" s="12"/>
      <x:c r="C1715" s="12"/>
      <x:c r="D1715" s="12"/>
      <x:c r="E1715" s="14"/>
      <x:c r="F1715" s="13" t="str">
        <x:f>IF($A1715="","",IF($D1715&lt;&gt;'Team Setup'!$B$4,"Other sprint",IF($C1715="","Unassigned",IF(OR(ISNUMBER(SEARCH(",",$C1715)),ISNUMBER(SEARCH(";",$C1715))),"Multiple assignees",IF(COUNTIF('Team Setup'!$B$10:$B$34,$C1715)=1,"Matched","Unmatched")))))</x:f>
      </x:c>
      <x:c r="G1715" s="13" t="str">
        <x:f>IF($A1715="","",IF($D1715&lt;&gt;'Team Setup'!$B$4,"Other sprint",IF($E1715="","Unestimated",IF(NOT(ISNUMBER($E1715)),"Check estimate in hours",IF($E1715&lt;0,"Check estimate in hours",IF($E1715=0,"Unestimated","Estimated"))))))</x:f>
      </x:c>
    </x:row>
    <x:row r="1716">
      <x:c r="A1716" s="12"/>
      <x:c r="B1716" s="12"/>
      <x:c r="C1716" s="12"/>
      <x:c r="D1716" s="12"/>
      <x:c r="E1716" s="14"/>
      <x:c r="F1716" s="13" t="str">
        <x:f>IF($A1716="","",IF($D1716&lt;&gt;'Team Setup'!$B$4,"Other sprint",IF($C1716="","Unassigned",IF(OR(ISNUMBER(SEARCH(",",$C1716)),ISNUMBER(SEARCH(";",$C1716))),"Multiple assignees",IF(COUNTIF('Team Setup'!$B$10:$B$34,$C1716)=1,"Matched","Unmatched")))))</x:f>
      </x:c>
      <x:c r="G1716" s="13" t="str">
        <x:f>IF($A1716="","",IF($D1716&lt;&gt;'Team Setup'!$B$4,"Other sprint",IF($E1716="","Unestimated",IF(NOT(ISNUMBER($E1716)),"Check estimate in hours",IF($E1716&lt;0,"Check estimate in hours",IF($E1716=0,"Unestimated","Estimated"))))))</x:f>
      </x:c>
    </x:row>
    <x:row r="1717">
      <x:c r="A1717" s="12"/>
      <x:c r="B1717" s="12"/>
      <x:c r="C1717" s="12"/>
      <x:c r="D1717" s="12"/>
      <x:c r="E1717" s="14"/>
      <x:c r="F1717" s="13" t="str">
        <x:f>IF($A1717="","",IF($D1717&lt;&gt;'Team Setup'!$B$4,"Other sprint",IF($C1717="","Unassigned",IF(OR(ISNUMBER(SEARCH(",",$C1717)),ISNUMBER(SEARCH(";",$C1717))),"Multiple assignees",IF(COUNTIF('Team Setup'!$B$10:$B$34,$C1717)=1,"Matched","Unmatched")))))</x:f>
      </x:c>
      <x:c r="G1717" s="13" t="str">
        <x:f>IF($A1717="","",IF($D1717&lt;&gt;'Team Setup'!$B$4,"Other sprint",IF($E1717="","Unestimated",IF(NOT(ISNUMBER($E1717)),"Check estimate in hours",IF($E1717&lt;0,"Check estimate in hours",IF($E1717=0,"Unestimated","Estimated"))))))</x:f>
      </x:c>
    </x:row>
    <x:row r="1718">
      <x:c r="A1718" s="12"/>
      <x:c r="B1718" s="12"/>
      <x:c r="C1718" s="12"/>
      <x:c r="D1718" s="12"/>
      <x:c r="E1718" s="14"/>
      <x:c r="F1718" s="13" t="str">
        <x:f>IF($A1718="","",IF($D1718&lt;&gt;'Team Setup'!$B$4,"Other sprint",IF($C1718="","Unassigned",IF(OR(ISNUMBER(SEARCH(",",$C1718)),ISNUMBER(SEARCH(";",$C1718))),"Multiple assignees",IF(COUNTIF('Team Setup'!$B$10:$B$34,$C1718)=1,"Matched","Unmatched")))))</x:f>
      </x:c>
      <x:c r="G1718" s="13" t="str">
        <x:f>IF($A1718="","",IF($D1718&lt;&gt;'Team Setup'!$B$4,"Other sprint",IF($E1718="","Unestimated",IF(NOT(ISNUMBER($E1718)),"Check estimate in hours",IF($E1718&lt;0,"Check estimate in hours",IF($E1718=0,"Unestimated","Estimated"))))))</x:f>
      </x:c>
    </x:row>
    <x:row r="1719">
      <x:c r="A1719" s="12"/>
      <x:c r="B1719" s="12"/>
      <x:c r="C1719" s="12"/>
      <x:c r="D1719" s="12"/>
      <x:c r="E1719" s="14"/>
      <x:c r="F1719" s="13" t="str">
        <x:f>IF($A1719="","",IF($D1719&lt;&gt;'Team Setup'!$B$4,"Other sprint",IF($C1719="","Unassigned",IF(OR(ISNUMBER(SEARCH(",",$C1719)),ISNUMBER(SEARCH(";",$C1719))),"Multiple assignees",IF(COUNTIF('Team Setup'!$B$10:$B$34,$C1719)=1,"Matched","Unmatched")))))</x:f>
      </x:c>
      <x:c r="G1719" s="13" t="str">
        <x:f>IF($A1719="","",IF($D1719&lt;&gt;'Team Setup'!$B$4,"Other sprint",IF($E1719="","Unestimated",IF(NOT(ISNUMBER($E1719)),"Check estimate in hours",IF($E1719&lt;0,"Check estimate in hours",IF($E1719=0,"Unestimated","Estimated"))))))</x:f>
      </x:c>
    </x:row>
    <x:row r="1720">
      <x:c r="A1720" s="12"/>
      <x:c r="B1720" s="12"/>
      <x:c r="C1720" s="12"/>
      <x:c r="D1720" s="12"/>
      <x:c r="E1720" s="14"/>
      <x:c r="F1720" s="13" t="str">
        <x:f>IF($A1720="","",IF($D1720&lt;&gt;'Team Setup'!$B$4,"Other sprint",IF($C1720="","Unassigned",IF(OR(ISNUMBER(SEARCH(",",$C1720)),ISNUMBER(SEARCH(";",$C1720))),"Multiple assignees",IF(COUNTIF('Team Setup'!$B$10:$B$34,$C1720)=1,"Matched","Unmatched")))))</x:f>
      </x:c>
      <x:c r="G1720" s="13" t="str">
        <x:f>IF($A1720="","",IF($D1720&lt;&gt;'Team Setup'!$B$4,"Other sprint",IF($E1720="","Unestimated",IF(NOT(ISNUMBER($E1720)),"Check estimate in hours",IF($E1720&lt;0,"Check estimate in hours",IF($E1720=0,"Unestimated","Estimated"))))))</x:f>
      </x:c>
    </x:row>
    <x:row r="1721">
      <x:c r="A1721" s="12"/>
      <x:c r="B1721" s="12"/>
      <x:c r="C1721" s="12"/>
      <x:c r="D1721" s="12"/>
      <x:c r="E1721" s="14"/>
      <x:c r="F1721" s="13" t="str">
        <x:f>IF($A1721="","",IF($D1721&lt;&gt;'Team Setup'!$B$4,"Other sprint",IF($C1721="","Unassigned",IF(OR(ISNUMBER(SEARCH(",",$C1721)),ISNUMBER(SEARCH(";",$C1721))),"Multiple assignees",IF(COUNTIF('Team Setup'!$B$10:$B$34,$C1721)=1,"Matched","Unmatched")))))</x:f>
      </x:c>
      <x:c r="G1721" s="13" t="str">
        <x:f>IF($A1721="","",IF($D1721&lt;&gt;'Team Setup'!$B$4,"Other sprint",IF($E1721="","Unestimated",IF(NOT(ISNUMBER($E1721)),"Check estimate in hours",IF($E1721&lt;0,"Check estimate in hours",IF($E1721=0,"Unestimated","Estimated"))))))</x:f>
      </x:c>
    </x:row>
    <x:row r="1722">
      <x:c r="A1722" s="12"/>
      <x:c r="B1722" s="12"/>
      <x:c r="C1722" s="12"/>
      <x:c r="D1722" s="12"/>
      <x:c r="E1722" s="14"/>
      <x:c r="F1722" s="13" t="str">
        <x:f>IF($A1722="","",IF($D1722&lt;&gt;'Team Setup'!$B$4,"Other sprint",IF($C1722="","Unassigned",IF(OR(ISNUMBER(SEARCH(",",$C1722)),ISNUMBER(SEARCH(";",$C1722))),"Multiple assignees",IF(COUNTIF('Team Setup'!$B$10:$B$34,$C1722)=1,"Matched","Unmatched")))))</x:f>
      </x:c>
      <x:c r="G1722" s="13" t="str">
        <x:f>IF($A1722="","",IF($D1722&lt;&gt;'Team Setup'!$B$4,"Other sprint",IF($E1722="","Unestimated",IF(NOT(ISNUMBER($E1722)),"Check estimate in hours",IF($E1722&lt;0,"Check estimate in hours",IF($E1722=0,"Unestimated","Estimated"))))))</x:f>
      </x:c>
    </x:row>
    <x:row r="1723">
      <x:c r="A1723" s="12"/>
      <x:c r="B1723" s="12"/>
      <x:c r="C1723" s="12"/>
      <x:c r="D1723" s="12"/>
      <x:c r="E1723" s="14"/>
      <x:c r="F1723" s="13" t="str">
        <x:f>IF($A1723="","",IF($D1723&lt;&gt;'Team Setup'!$B$4,"Other sprint",IF($C1723="","Unassigned",IF(OR(ISNUMBER(SEARCH(",",$C1723)),ISNUMBER(SEARCH(";",$C1723))),"Multiple assignees",IF(COUNTIF('Team Setup'!$B$10:$B$34,$C1723)=1,"Matched","Unmatched")))))</x:f>
      </x:c>
      <x:c r="G1723" s="13" t="str">
        <x:f>IF($A1723="","",IF($D1723&lt;&gt;'Team Setup'!$B$4,"Other sprint",IF($E1723="","Unestimated",IF(NOT(ISNUMBER($E1723)),"Check estimate in hours",IF($E1723&lt;0,"Check estimate in hours",IF($E1723=0,"Unestimated","Estimated"))))))</x:f>
      </x:c>
    </x:row>
    <x:row r="1724">
      <x:c r="A1724" s="12"/>
      <x:c r="B1724" s="12"/>
      <x:c r="C1724" s="12"/>
      <x:c r="D1724" s="12"/>
      <x:c r="E1724" s="14"/>
      <x:c r="F1724" s="13" t="str">
        <x:f>IF($A1724="","",IF($D1724&lt;&gt;'Team Setup'!$B$4,"Other sprint",IF($C1724="","Unassigned",IF(OR(ISNUMBER(SEARCH(",",$C1724)),ISNUMBER(SEARCH(";",$C1724))),"Multiple assignees",IF(COUNTIF('Team Setup'!$B$10:$B$34,$C1724)=1,"Matched","Unmatched")))))</x:f>
      </x:c>
      <x:c r="G1724" s="13" t="str">
        <x:f>IF($A1724="","",IF($D1724&lt;&gt;'Team Setup'!$B$4,"Other sprint",IF($E1724="","Unestimated",IF(NOT(ISNUMBER($E1724)),"Check estimate in hours",IF($E1724&lt;0,"Check estimate in hours",IF($E1724=0,"Unestimated","Estimated"))))))</x:f>
      </x:c>
    </x:row>
    <x:row r="1725">
      <x:c r="A1725" s="12"/>
      <x:c r="B1725" s="12"/>
      <x:c r="C1725" s="12"/>
      <x:c r="D1725" s="12"/>
      <x:c r="E1725" s="14"/>
      <x:c r="F1725" s="13" t="str">
        <x:f>IF($A1725="","",IF($D1725&lt;&gt;'Team Setup'!$B$4,"Other sprint",IF($C1725="","Unassigned",IF(OR(ISNUMBER(SEARCH(",",$C1725)),ISNUMBER(SEARCH(";",$C1725))),"Multiple assignees",IF(COUNTIF('Team Setup'!$B$10:$B$34,$C1725)=1,"Matched","Unmatched")))))</x:f>
      </x:c>
      <x:c r="G1725" s="13" t="str">
        <x:f>IF($A1725="","",IF($D1725&lt;&gt;'Team Setup'!$B$4,"Other sprint",IF($E1725="","Unestimated",IF(NOT(ISNUMBER($E1725)),"Check estimate in hours",IF($E1725&lt;0,"Check estimate in hours",IF($E1725=0,"Unestimated","Estimated"))))))</x:f>
      </x:c>
    </x:row>
    <x:row r="1726">
      <x:c r="A1726" s="12"/>
      <x:c r="B1726" s="12"/>
      <x:c r="C1726" s="12"/>
      <x:c r="D1726" s="12"/>
      <x:c r="E1726" s="14"/>
      <x:c r="F1726" s="13" t="str">
        <x:f>IF($A1726="","",IF($D1726&lt;&gt;'Team Setup'!$B$4,"Other sprint",IF($C1726="","Unassigned",IF(OR(ISNUMBER(SEARCH(",",$C1726)),ISNUMBER(SEARCH(";",$C1726))),"Multiple assignees",IF(COUNTIF('Team Setup'!$B$10:$B$34,$C1726)=1,"Matched","Unmatched")))))</x:f>
      </x:c>
      <x:c r="G1726" s="13" t="str">
        <x:f>IF($A1726="","",IF($D1726&lt;&gt;'Team Setup'!$B$4,"Other sprint",IF($E1726="","Unestimated",IF(NOT(ISNUMBER($E1726)),"Check estimate in hours",IF($E1726&lt;0,"Check estimate in hours",IF($E1726=0,"Unestimated","Estimated"))))))</x:f>
      </x:c>
    </x:row>
    <x:row r="1727">
      <x:c r="A1727" s="12"/>
      <x:c r="B1727" s="12"/>
      <x:c r="C1727" s="12"/>
      <x:c r="D1727" s="12"/>
      <x:c r="E1727" s="14"/>
      <x:c r="F1727" s="13" t="str">
        <x:f>IF($A1727="","",IF($D1727&lt;&gt;'Team Setup'!$B$4,"Other sprint",IF($C1727="","Unassigned",IF(OR(ISNUMBER(SEARCH(",",$C1727)),ISNUMBER(SEARCH(";",$C1727))),"Multiple assignees",IF(COUNTIF('Team Setup'!$B$10:$B$34,$C1727)=1,"Matched","Unmatched")))))</x:f>
      </x:c>
      <x:c r="G1727" s="13" t="str">
        <x:f>IF($A1727="","",IF($D1727&lt;&gt;'Team Setup'!$B$4,"Other sprint",IF($E1727="","Unestimated",IF(NOT(ISNUMBER($E1727)),"Check estimate in hours",IF($E1727&lt;0,"Check estimate in hours",IF($E1727=0,"Unestimated","Estimated"))))))</x:f>
      </x:c>
    </x:row>
    <x:row r="1728">
      <x:c r="A1728" s="12"/>
      <x:c r="B1728" s="12"/>
      <x:c r="C1728" s="12"/>
      <x:c r="D1728" s="12"/>
      <x:c r="E1728" s="14"/>
      <x:c r="F1728" s="13" t="str">
        <x:f>IF($A1728="","",IF($D1728&lt;&gt;'Team Setup'!$B$4,"Other sprint",IF($C1728="","Unassigned",IF(OR(ISNUMBER(SEARCH(",",$C1728)),ISNUMBER(SEARCH(";",$C1728))),"Multiple assignees",IF(COUNTIF('Team Setup'!$B$10:$B$34,$C1728)=1,"Matched","Unmatched")))))</x:f>
      </x:c>
      <x:c r="G1728" s="13" t="str">
        <x:f>IF($A1728="","",IF($D1728&lt;&gt;'Team Setup'!$B$4,"Other sprint",IF($E1728="","Unestimated",IF(NOT(ISNUMBER($E1728)),"Check estimate in hours",IF($E1728&lt;0,"Check estimate in hours",IF($E1728=0,"Unestimated","Estimated"))))))</x:f>
      </x:c>
    </x:row>
    <x:row r="1729">
      <x:c r="A1729" s="12"/>
      <x:c r="B1729" s="12"/>
      <x:c r="C1729" s="12"/>
      <x:c r="D1729" s="12"/>
      <x:c r="E1729" s="14"/>
      <x:c r="F1729" s="13" t="str">
        <x:f>IF($A1729="","",IF($D1729&lt;&gt;'Team Setup'!$B$4,"Other sprint",IF($C1729="","Unassigned",IF(OR(ISNUMBER(SEARCH(",",$C1729)),ISNUMBER(SEARCH(";",$C1729))),"Multiple assignees",IF(COUNTIF('Team Setup'!$B$10:$B$34,$C1729)=1,"Matched","Unmatched")))))</x:f>
      </x:c>
      <x:c r="G1729" s="13" t="str">
        <x:f>IF($A1729="","",IF($D1729&lt;&gt;'Team Setup'!$B$4,"Other sprint",IF($E1729="","Unestimated",IF(NOT(ISNUMBER($E1729)),"Check estimate in hours",IF($E1729&lt;0,"Check estimate in hours",IF($E1729=0,"Unestimated","Estimated"))))))</x:f>
      </x:c>
    </x:row>
    <x:row r="1730">
      <x:c r="A1730" s="12"/>
      <x:c r="B1730" s="12"/>
      <x:c r="C1730" s="12"/>
      <x:c r="D1730" s="12"/>
      <x:c r="E1730" s="14"/>
      <x:c r="F1730" s="13" t="str">
        <x:f>IF($A1730="","",IF($D1730&lt;&gt;'Team Setup'!$B$4,"Other sprint",IF($C1730="","Unassigned",IF(OR(ISNUMBER(SEARCH(",",$C1730)),ISNUMBER(SEARCH(";",$C1730))),"Multiple assignees",IF(COUNTIF('Team Setup'!$B$10:$B$34,$C1730)=1,"Matched","Unmatched")))))</x:f>
      </x:c>
      <x:c r="G1730" s="13" t="str">
        <x:f>IF($A1730="","",IF($D1730&lt;&gt;'Team Setup'!$B$4,"Other sprint",IF($E1730="","Unestimated",IF(NOT(ISNUMBER($E1730)),"Check estimate in hours",IF($E1730&lt;0,"Check estimate in hours",IF($E1730=0,"Unestimated","Estimated"))))))</x:f>
      </x:c>
    </x:row>
    <x:row r="1731">
      <x:c r="A1731" s="12"/>
      <x:c r="B1731" s="12"/>
      <x:c r="C1731" s="12"/>
      <x:c r="D1731" s="12"/>
      <x:c r="E1731" s="14"/>
      <x:c r="F1731" s="13" t="str">
        <x:f>IF($A1731="","",IF($D1731&lt;&gt;'Team Setup'!$B$4,"Other sprint",IF($C1731="","Unassigned",IF(OR(ISNUMBER(SEARCH(",",$C1731)),ISNUMBER(SEARCH(";",$C1731))),"Multiple assignees",IF(COUNTIF('Team Setup'!$B$10:$B$34,$C1731)=1,"Matched","Unmatched")))))</x:f>
      </x:c>
      <x:c r="G1731" s="13" t="str">
        <x:f>IF($A1731="","",IF($D1731&lt;&gt;'Team Setup'!$B$4,"Other sprint",IF($E1731="","Unestimated",IF(NOT(ISNUMBER($E1731)),"Check estimate in hours",IF($E1731&lt;0,"Check estimate in hours",IF($E1731=0,"Unestimated","Estimated"))))))</x:f>
      </x:c>
    </x:row>
    <x:row r="1732">
      <x:c r="A1732" s="12"/>
      <x:c r="B1732" s="12"/>
      <x:c r="C1732" s="12"/>
      <x:c r="D1732" s="12"/>
      <x:c r="E1732" s="14"/>
      <x:c r="F1732" s="13" t="str">
        <x:f>IF($A1732="","",IF($D1732&lt;&gt;'Team Setup'!$B$4,"Other sprint",IF($C1732="","Unassigned",IF(OR(ISNUMBER(SEARCH(",",$C1732)),ISNUMBER(SEARCH(";",$C1732))),"Multiple assignees",IF(COUNTIF('Team Setup'!$B$10:$B$34,$C1732)=1,"Matched","Unmatched")))))</x:f>
      </x:c>
      <x:c r="G1732" s="13" t="str">
        <x:f>IF($A1732="","",IF($D1732&lt;&gt;'Team Setup'!$B$4,"Other sprint",IF($E1732="","Unestimated",IF(NOT(ISNUMBER($E1732)),"Check estimate in hours",IF($E1732&lt;0,"Check estimate in hours",IF($E1732=0,"Unestimated","Estimated"))))))</x:f>
      </x:c>
    </x:row>
    <x:row r="1733">
      <x:c r="A1733" s="12"/>
      <x:c r="B1733" s="12"/>
      <x:c r="C1733" s="12"/>
      <x:c r="D1733" s="12"/>
      <x:c r="E1733" s="14"/>
      <x:c r="F1733" s="13" t="str">
        <x:f>IF($A1733="","",IF($D1733&lt;&gt;'Team Setup'!$B$4,"Other sprint",IF($C1733="","Unassigned",IF(OR(ISNUMBER(SEARCH(",",$C1733)),ISNUMBER(SEARCH(";",$C1733))),"Multiple assignees",IF(COUNTIF('Team Setup'!$B$10:$B$34,$C1733)=1,"Matched","Unmatched")))))</x:f>
      </x:c>
      <x:c r="G1733" s="13" t="str">
        <x:f>IF($A1733="","",IF($D1733&lt;&gt;'Team Setup'!$B$4,"Other sprint",IF($E1733="","Unestimated",IF(NOT(ISNUMBER($E1733)),"Check estimate in hours",IF($E1733&lt;0,"Check estimate in hours",IF($E1733=0,"Unestimated","Estimated"))))))</x:f>
      </x:c>
    </x:row>
    <x:row r="1734">
      <x:c r="A1734" s="12"/>
      <x:c r="B1734" s="12"/>
      <x:c r="C1734" s="12"/>
      <x:c r="D1734" s="12"/>
      <x:c r="E1734" s="14"/>
      <x:c r="F1734" s="13" t="str">
        <x:f>IF($A1734="","",IF($D1734&lt;&gt;'Team Setup'!$B$4,"Other sprint",IF($C1734="","Unassigned",IF(OR(ISNUMBER(SEARCH(",",$C1734)),ISNUMBER(SEARCH(";",$C1734))),"Multiple assignees",IF(COUNTIF('Team Setup'!$B$10:$B$34,$C1734)=1,"Matched","Unmatched")))))</x:f>
      </x:c>
      <x:c r="G1734" s="13" t="str">
        <x:f>IF($A1734="","",IF($D1734&lt;&gt;'Team Setup'!$B$4,"Other sprint",IF($E1734="","Unestimated",IF(NOT(ISNUMBER($E1734)),"Check estimate in hours",IF($E1734&lt;0,"Check estimate in hours",IF($E1734=0,"Unestimated","Estimated"))))))</x:f>
      </x:c>
    </x:row>
    <x:row r="1735">
      <x:c r="A1735" s="12"/>
      <x:c r="B1735" s="12"/>
      <x:c r="C1735" s="12"/>
      <x:c r="D1735" s="12"/>
      <x:c r="E1735" s="14"/>
      <x:c r="F1735" s="13" t="str">
        <x:f>IF($A1735="","",IF($D1735&lt;&gt;'Team Setup'!$B$4,"Other sprint",IF($C1735="","Unassigned",IF(OR(ISNUMBER(SEARCH(",",$C1735)),ISNUMBER(SEARCH(";",$C1735))),"Multiple assignees",IF(COUNTIF('Team Setup'!$B$10:$B$34,$C1735)=1,"Matched","Unmatched")))))</x:f>
      </x:c>
      <x:c r="G1735" s="13" t="str">
        <x:f>IF($A1735="","",IF($D1735&lt;&gt;'Team Setup'!$B$4,"Other sprint",IF($E1735="","Unestimated",IF(NOT(ISNUMBER($E1735)),"Check estimate in hours",IF($E1735&lt;0,"Check estimate in hours",IF($E1735=0,"Unestimated","Estimated"))))))</x:f>
      </x:c>
    </x:row>
    <x:row r="1736">
      <x:c r="A1736" s="12"/>
      <x:c r="B1736" s="12"/>
      <x:c r="C1736" s="12"/>
      <x:c r="D1736" s="12"/>
      <x:c r="E1736" s="14"/>
      <x:c r="F1736" s="13" t="str">
        <x:f>IF($A1736="","",IF($D1736&lt;&gt;'Team Setup'!$B$4,"Other sprint",IF($C1736="","Unassigned",IF(OR(ISNUMBER(SEARCH(",",$C1736)),ISNUMBER(SEARCH(";",$C1736))),"Multiple assignees",IF(COUNTIF('Team Setup'!$B$10:$B$34,$C1736)=1,"Matched","Unmatched")))))</x:f>
      </x:c>
      <x:c r="G1736" s="13" t="str">
        <x:f>IF($A1736="","",IF($D1736&lt;&gt;'Team Setup'!$B$4,"Other sprint",IF($E1736="","Unestimated",IF(NOT(ISNUMBER($E1736)),"Check estimate in hours",IF($E1736&lt;0,"Check estimate in hours",IF($E1736=0,"Unestimated","Estimated"))))))</x:f>
      </x:c>
    </x:row>
    <x:row r="1737">
      <x:c r="A1737" s="12"/>
      <x:c r="B1737" s="12"/>
      <x:c r="C1737" s="12"/>
      <x:c r="D1737" s="12"/>
      <x:c r="E1737" s="14"/>
      <x:c r="F1737" s="13" t="str">
        <x:f>IF($A1737="","",IF($D1737&lt;&gt;'Team Setup'!$B$4,"Other sprint",IF($C1737="","Unassigned",IF(OR(ISNUMBER(SEARCH(",",$C1737)),ISNUMBER(SEARCH(";",$C1737))),"Multiple assignees",IF(COUNTIF('Team Setup'!$B$10:$B$34,$C1737)=1,"Matched","Unmatched")))))</x:f>
      </x:c>
      <x:c r="G1737" s="13" t="str">
        <x:f>IF($A1737="","",IF($D1737&lt;&gt;'Team Setup'!$B$4,"Other sprint",IF($E1737="","Unestimated",IF(NOT(ISNUMBER($E1737)),"Check estimate in hours",IF($E1737&lt;0,"Check estimate in hours",IF($E1737=0,"Unestimated","Estimated"))))))</x:f>
      </x:c>
    </x:row>
    <x:row r="1738">
      <x:c r="A1738" s="12"/>
      <x:c r="B1738" s="12"/>
      <x:c r="C1738" s="12"/>
      <x:c r="D1738" s="12"/>
      <x:c r="E1738" s="14"/>
      <x:c r="F1738" s="13" t="str">
        <x:f>IF($A1738="","",IF($D1738&lt;&gt;'Team Setup'!$B$4,"Other sprint",IF($C1738="","Unassigned",IF(OR(ISNUMBER(SEARCH(",",$C1738)),ISNUMBER(SEARCH(";",$C1738))),"Multiple assignees",IF(COUNTIF('Team Setup'!$B$10:$B$34,$C1738)=1,"Matched","Unmatched")))))</x:f>
      </x:c>
      <x:c r="G1738" s="13" t="str">
        <x:f>IF($A1738="","",IF($D1738&lt;&gt;'Team Setup'!$B$4,"Other sprint",IF($E1738="","Unestimated",IF(NOT(ISNUMBER($E1738)),"Check estimate in hours",IF($E1738&lt;0,"Check estimate in hours",IF($E1738=0,"Unestimated","Estimated"))))))</x:f>
      </x:c>
    </x:row>
    <x:row r="1739">
      <x:c r="A1739" s="12"/>
      <x:c r="B1739" s="12"/>
      <x:c r="C1739" s="12"/>
      <x:c r="D1739" s="12"/>
      <x:c r="E1739" s="14"/>
      <x:c r="F1739" s="13" t="str">
        <x:f>IF($A1739="","",IF($D1739&lt;&gt;'Team Setup'!$B$4,"Other sprint",IF($C1739="","Unassigned",IF(OR(ISNUMBER(SEARCH(",",$C1739)),ISNUMBER(SEARCH(";",$C1739))),"Multiple assignees",IF(COUNTIF('Team Setup'!$B$10:$B$34,$C1739)=1,"Matched","Unmatched")))))</x:f>
      </x:c>
      <x:c r="G1739" s="13" t="str">
        <x:f>IF($A1739="","",IF($D1739&lt;&gt;'Team Setup'!$B$4,"Other sprint",IF($E1739="","Unestimated",IF(NOT(ISNUMBER($E1739)),"Check estimate in hours",IF($E1739&lt;0,"Check estimate in hours",IF($E1739=0,"Unestimated","Estimated"))))))</x:f>
      </x:c>
    </x:row>
    <x:row r="1740">
      <x:c r="A1740" s="12"/>
      <x:c r="B1740" s="12"/>
      <x:c r="C1740" s="12"/>
      <x:c r="D1740" s="12"/>
      <x:c r="E1740" s="14"/>
      <x:c r="F1740" s="13" t="str">
        <x:f>IF($A1740="","",IF($D1740&lt;&gt;'Team Setup'!$B$4,"Other sprint",IF($C1740="","Unassigned",IF(OR(ISNUMBER(SEARCH(",",$C1740)),ISNUMBER(SEARCH(";",$C1740))),"Multiple assignees",IF(COUNTIF('Team Setup'!$B$10:$B$34,$C1740)=1,"Matched","Unmatched")))))</x:f>
      </x:c>
      <x:c r="G1740" s="13" t="str">
        <x:f>IF($A1740="","",IF($D1740&lt;&gt;'Team Setup'!$B$4,"Other sprint",IF($E1740="","Unestimated",IF(NOT(ISNUMBER($E1740)),"Check estimate in hours",IF($E1740&lt;0,"Check estimate in hours",IF($E1740=0,"Unestimated","Estimated"))))))</x:f>
      </x:c>
    </x:row>
    <x:row r="1741">
      <x:c r="A1741" s="12"/>
      <x:c r="B1741" s="12"/>
      <x:c r="C1741" s="12"/>
      <x:c r="D1741" s="12"/>
      <x:c r="E1741" s="14"/>
      <x:c r="F1741" s="13" t="str">
        <x:f>IF($A1741="","",IF($D1741&lt;&gt;'Team Setup'!$B$4,"Other sprint",IF($C1741="","Unassigned",IF(OR(ISNUMBER(SEARCH(",",$C1741)),ISNUMBER(SEARCH(";",$C1741))),"Multiple assignees",IF(COUNTIF('Team Setup'!$B$10:$B$34,$C1741)=1,"Matched","Unmatched")))))</x:f>
      </x:c>
      <x:c r="G1741" s="13" t="str">
        <x:f>IF($A1741="","",IF($D1741&lt;&gt;'Team Setup'!$B$4,"Other sprint",IF($E1741="","Unestimated",IF(NOT(ISNUMBER($E1741)),"Check estimate in hours",IF($E1741&lt;0,"Check estimate in hours",IF($E1741=0,"Unestimated","Estimated"))))))</x:f>
      </x:c>
    </x:row>
    <x:row r="1742">
      <x:c r="A1742" s="12"/>
      <x:c r="B1742" s="12"/>
      <x:c r="C1742" s="12"/>
      <x:c r="D1742" s="12"/>
      <x:c r="E1742" s="14"/>
      <x:c r="F1742" s="13" t="str">
        <x:f>IF($A1742="","",IF($D1742&lt;&gt;'Team Setup'!$B$4,"Other sprint",IF($C1742="","Unassigned",IF(OR(ISNUMBER(SEARCH(",",$C1742)),ISNUMBER(SEARCH(";",$C1742))),"Multiple assignees",IF(COUNTIF('Team Setup'!$B$10:$B$34,$C1742)=1,"Matched","Unmatched")))))</x:f>
      </x:c>
      <x:c r="G1742" s="13" t="str">
        <x:f>IF($A1742="","",IF($D1742&lt;&gt;'Team Setup'!$B$4,"Other sprint",IF($E1742="","Unestimated",IF(NOT(ISNUMBER($E1742)),"Check estimate in hours",IF($E1742&lt;0,"Check estimate in hours",IF($E1742=0,"Unestimated","Estimated"))))))</x:f>
      </x:c>
    </x:row>
    <x:row r="1743">
      <x:c r="A1743" s="12"/>
      <x:c r="B1743" s="12"/>
      <x:c r="C1743" s="12"/>
      <x:c r="D1743" s="12"/>
      <x:c r="E1743" s="14"/>
      <x:c r="F1743" s="13" t="str">
        <x:f>IF($A1743="","",IF($D1743&lt;&gt;'Team Setup'!$B$4,"Other sprint",IF($C1743="","Unassigned",IF(OR(ISNUMBER(SEARCH(",",$C1743)),ISNUMBER(SEARCH(";",$C1743))),"Multiple assignees",IF(COUNTIF('Team Setup'!$B$10:$B$34,$C1743)=1,"Matched","Unmatched")))))</x:f>
      </x:c>
      <x:c r="G1743" s="13" t="str">
        <x:f>IF($A1743="","",IF($D1743&lt;&gt;'Team Setup'!$B$4,"Other sprint",IF($E1743="","Unestimated",IF(NOT(ISNUMBER($E1743)),"Check estimate in hours",IF($E1743&lt;0,"Check estimate in hours",IF($E1743=0,"Unestimated","Estimated"))))))</x:f>
      </x:c>
    </x:row>
    <x:row r="1744">
      <x:c r="A1744" s="12"/>
      <x:c r="B1744" s="12"/>
      <x:c r="C1744" s="12"/>
      <x:c r="D1744" s="12"/>
      <x:c r="E1744" s="14"/>
      <x:c r="F1744" s="13" t="str">
        <x:f>IF($A1744="","",IF($D1744&lt;&gt;'Team Setup'!$B$4,"Other sprint",IF($C1744="","Unassigned",IF(OR(ISNUMBER(SEARCH(",",$C1744)),ISNUMBER(SEARCH(";",$C1744))),"Multiple assignees",IF(COUNTIF('Team Setup'!$B$10:$B$34,$C1744)=1,"Matched","Unmatched")))))</x:f>
      </x:c>
      <x:c r="G1744" s="13" t="str">
        <x:f>IF($A1744="","",IF($D1744&lt;&gt;'Team Setup'!$B$4,"Other sprint",IF($E1744="","Unestimated",IF(NOT(ISNUMBER($E1744)),"Check estimate in hours",IF($E1744&lt;0,"Check estimate in hours",IF($E1744=0,"Unestimated","Estimated"))))))</x:f>
      </x:c>
    </x:row>
    <x:row r="1745">
      <x:c r="A1745" s="12"/>
      <x:c r="B1745" s="12"/>
      <x:c r="C1745" s="12"/>
      <x:c r="D1745" s="12"/>
      <x:c r="E1745" s="14"/>
      <x:c r="F1745" s="13" t="str">
        <x:f>IF($A1745="","",IF($D1745&lt;&gt;'Team Setup'!$B$4,"Other sprint",IF($C1745="","Unassigned",IF(OR(ISNUMBER(SEARCH(",",$C1745)),ISNUMBER(SEARCH(";",$C1745))),"Multiple assignees",IF(COUNTIF('Team Setup'!$B$10:$B$34,$C1745)=1,"Matched","Unmatched")))))</x:f>
      </x:c>
      <x:c r="G1745" s="13" t="str">
        <x:f>IF($A1745="","",IF($D1745&lt;&gt;'Team Setup'!$B$4,"Other sprint",IF($E1745="","Unestimated",IF(NOT(ISNUMBER($E1745)),"Check estimate in hours",IF($E1745&lt;0,"Check estimate in hours",IF($E1745=0,"Unestimated","Estimated"))))))</x:f>
      </x:c>
    </x:row>
    <x:row r="1746">
      <x:c r="A1746" s="12"/>
      <x:c r="B1746" s="12"/>
      <x:c r="C1746" s="12"/>
      <x:c r="D1746" s="12"/>
      <x:c r="E1746" s="14"/>
      <x:c r="F1746" s="13" t="str">
        <x:f>IF($A1746="","",IF($D1746&lt;&gt;'Team Setup'!$B$4,"Other sprint",IF($C1746="","Unassigned",IF(OR(ISNUMBER(SEARCH(",",$C1746)),ISNUMBER(SEARCH(";",$C1746))),"Multiple assignees",IF(COUNTIF('Team Setup'!$B$10:$B$34,$C1746)=1,"Matched","Unmatched")))))</x:f>
      </x:c>
      <x:c r="G1746" s="13" t="str">
        <x:f>IF($A1746="","",IF($D1746&lt;&gt;'Team Setup'!$B$4,"Other sprint",IF($E1746="","Unestimated",IF(NOT(ISNUMBER($E1746)),"Check estimate in hours",IF($E1746&lt;0,"Check estimate in hours",IF($E1746=0,"Unestimated","Estimated"))))))</x:f>
      </x:c>
    </x:row>
    <x:row r="1747">
      <x:c r="A1747" s="12"/>
      <x:c r="B1747" s="12"/>
      <x:c r="C1747" s="12"/>
      <x:c r="D1747" s="12"/>
      <x:c r="E1747" s="14"/>
      <x:c r="F1747" s="13" t="str">
        <x:f>IF($A1747="","",IF($D1747&lt;&gt;'Team Setup'!$B$4,"Other sprint",IF($C1747="","Unassigned",IF(OR(ISNUMBER(SEARCH(",",$C1747)),ISNUMBER(SEARCH(";",$C1747))),"Multiple assignees",IF(COUNTIF('Team Setup'!$B$10:$B$34,$C1747)=1,"Matched","Unmatched")))))</x:f>
      </x:c>
      <x:c r="G1747" s="13" t="str">
        <x:f>IF($A1747="","",IF($D1747&lt;&gt;'Team Setup'!$B$4,"Other sprint",IF($E1747="","Unestimated",IF(NOT(ISNUMBER($E1747)),"Check estimate in hours",IF($E1747&lt;0,"Check estimate in hours",IF($E1747=0,"Unestimated","Estimated"))))))</x:f>
      </x:c>
    </x:row>
    <x:row r="1748">
      <x:c r="A1748" s="12"/>
      <x:c r="B1748" s="12"/>
      <x:c r="C1748" s="12"/>
      <x:c r="D1748" s="12"/>
      <x:c r="E1748" s="14"/>
      <x:c r="F1748" s="13" t="str">
        <x:f>IF($A1748="","",IF($D1748&lt;&gt;'Team Setup'!$B$4,"Other sprint",IF($C1748="","Unassigned",IF(OR(ISNUMBER(SEARCH(",",$C1748)),ISNUMBER(SEARCH(";",$C1748))),"Multiple assignees",IF(COUNTIF('Team Setup'!$B$10:$B$34,$C1748)=1,"Matched","Unmatched")))))</x:f>
      </x:c>
      <x:c r="G1748" s="13" t="str">
        <x:f>IF($A1748="","",IF($D1748&lt;&gt;'Team Setup'!$B$4,"Other sprint",IF($E1748="","Unestimated",IF(NOT(ISNUMBER($E1748)),"Check estimate in hours",IF($E1748&lt;0,"Check estimate in hours",IF($E1748=0,"Unestimated","Estimated"))))))</x:f>
      </x:c>
    </x:row>
    <x:row r="1749">
      <x:c r="A1749" s="12"/>
      <x:c r="B1749" s="12"/>
      <x:c r="C1749" s="12"/>
      <x:c r="D1749" s="12"/>
      <x:c r="E1749" s="14"/>
      <x:c r="F1749" s="13" t="str">
        <x:f>IF($A1749="","",IF($D1749&lt;&gt;'Team Setup'!$B$4,"Other sprint",IF($C1749="","Unassigned",IF(OR(ISNUMBER(SEARCH(",",$C1749)),ISNUMBER(SEARCH(";",$C1749))),"Multiple assignees",IF(COUNTIF('Team Setup'!$B$10:$B$34,$C1749)=1,"Matched","Unmatched")))))</x:f>
      </x:c>
      <x:c r="G1749" s="13" t="str">
        <x:f>IF($A1749="","",IF($D1749&lt;&gt;'Team Setup'!$B$4,"Other sprint",IF($E1749="","Unestimated",IF(NOT(ISNUMBER($E1749)),"Check estimate in hours",IF($E1749&lt;0,"Check estimate in hours",IF($E1749=0,"Unestimated","Estimated"))))))</x:f>
      </x:c>
    </x:row>
    <x:row r="1750">
      <x:c r="A1750" s="12"/>
      <x:c r="B1750" s="12"/>
      <x:c r="C1750" s="12"/>
      <x:c r="D1750" s="12"/>
      <x:c r="E1750" s="14"/>
      <x:c r="F1750" s="13" t="str">
        <x:f>IF($A1750="","",IF($D1750&lt;&gt;'Team Setup'!$B$4,"Other sprint",IF($C1750="","Unassigned",IF(OR(ISNUMBER(SEARCH(",",$C1750)),ISNUMBER(SEARCH(";",$C1750))),"Multiple assignees",IF(COUNTIF('Team Setup'!$B$10:$B$34,$C1750)=1,"Matched","Unmatched")))))</x:f>
      </x:c>
      <x:c r="G1750" s="13" t="str">
        <x:f>IF($A1750="","",IF($D1750&lt;&gt;'Team Setup'!$B$4,"Other sprint",IF($E1750="","Unestimated",IF(NOT(ISNUMBER($E1750)),"Check estimate in hours",IF($E1750&lt;0,"Check estimate in hours",IF($E1750=0,"Unestimated","Estimated"))))))</x:f>
      </x:c>
    </x:row>
    <x:row r="1751">
      <x:c r="A1751" s="12"/>
      <x:c r="B1751" s="12"/>
      <x:c r="C1751" s="12"/>
      <x:c r="D1751" s="12"/>
      <x:c r="E1751" s="14"/>
      <x:c r="F1751" s="13" t="str">
        <x:f>IF($A1751="","",IF($D1751&lt;&gt;'Team Setup'!$B$4,"Other sprint",IF($C1751="","Unassigned",IF(OR(ISNUMBER(SEARCH(",",$C1751)),ISNUMBER(SEARCH(";",$C1751))),"Multiple assignees",IF(COUNTIF('Team Setup'!$B$10:$B$34,$C1751)=1,"Matched","Unmatched")))))</x:f>
      </x:c>
      <x:c r="G1751" s="13" t="str">
        <x:f>IF($A1751="","",IF($D1751&lt;&gt;'Team Setup'!$B$4,"Other sprint",IF($E1751="","Unestimated",IF(NOT(ISNUMBER($E1751)),"Check estimate in hours",IF($E1751&lt;0,"Check estimate in hours",IF($E1751=0,"Unestimated","Estimated"))))))</x:f>
      </x:c>
    </x:row>
    <x:row r="1752">
      <x:c r="A1752" s="12"/>
      <x:c r="B1752" s="12"/>
      <x:c r="C1752" s="12"/>
      <x:c r="D1752" s="12"/>
      <x:c r="E1752" s="14"/>
      <x:c r="F1752" s="13" t="str">
        <x:f>IF($A1752="","",IF($D1752&lt;&gt;'Team Setup'!$B$4,"Other sprint",IF($C1752="","Unassigned",IF(OR(ISNUMBER(SEARCH(",",$C1752)),ISNUMBER(SEARCH(";",$C1752))),"Multiple assignees",IF(COUNTIF('Team Setup'!$B$10:$B$34,$C1752)=1,"Matched","Unmatched")))))</x:f>
      </x:c>
      <x:c r="G1752" s="13" t="str">
        <x:f>IF($A1752="","",IF($D1752&lt;&gt;'Team Setup'!$B$4,"Other sprint",IF($E1752="","Unestimated",IF(NOT(ISNUMBER($E1752)),"Check estimate in hours",IF($E1752&lt;0,"Check estimate in hours",IF($E1752=0,"Unestimated","Estimated"))))))</x:f>
      </x:c>
    </x:row>
    <x:row r="1753">
      <x:c r="A1753" s="12"/>
      <x:c r="B1753" s="12"/>
      <x:c r="C1753" s="12"/>
      <x:c r="D1753" s="12"/>
      <x:c r="E1753" s="14"/>
      <x:c r="F1753" s="13" t="str">
        <x:f>IF($A1753="","",IF($D1753&lt;&gt;'Team Setup'!$B$4,"Other sprint",IF($C1753="","Unassigned",IF(OR(ISNUMBER(SEARCH(",",$C1753)),ISNUMBER(SEARCH(";",$C1753))),"Multiple assignees",IF(COUNTIF('Team Setup'!$B$10:$B$34,$C1753)=1,"Matched","Unmatched")))))</x:f>
      </x:c>
      <x:c r="G1753" s="13" t="str">
        <x:f>IF($A1753="","",IF($D1753&lt;&gt;'Team Setup'!$B$4,"Other sprint",IF($E1753="","Unestimated",IF(NOT(ISNUMBER($E1753)),"Check estimate in hours",IF($E1753&lt;0,"Check estimate in hours",IF($E1753=0,"Unestimated","Estimated"))))))</x:f>
      </x:c>
    </x:row>
    <x:row r="1754">
      <x:c r="A1754" s="12"/>
      <x:c r="B1754" s="12"/>
      <x:c r="C1754" s="12"/>
      <x:c r="D1754" s="12"/>
      <x:c r="E1754" s="14"/>
      <x:c r="F1754" s="13" t="str">
        <x:f>IF($A1754="","",IF($D1754&lt;&gt;'Team Setup'!$B$4,"Other sprint",IF($C1754="","Unassigned",IF(OR(ISNUMBER(SEARCH(",",$C1754)),ISNUMBER(SEARCH(";",$C1754))),"Multiple assignees",IF(COUNTIF('Team Setup'!$B$10:$B$34,$C1754)=1,"Matched","Unmatched")))))</x:f>
      </x:c>
      <x:c r="G1754" s="13" t="str">
        <x:f>IF($A1754="","",IF($D1754&lt;&gt;'Team Setup'!$B$4,"Other sprint",IF($E1754="","Unestimated",IF(NOT(ISNUMBER($E1754)),"Check estimate in hours",IF($E1754&lt;0,"Check estimate in hours",IF($E1754=0,"Unestimated","Estimated"))))))</x:f>
      </x:c>
    </x:row>
    <x:row r="1755">
      <x:c r="A1755" s="12"/>
      <x:c r="B1755" s="12"/>
      <x:c r="C1755" s="12"/>
      <x:c r="D1755" s="12"/>
      <x:c r="E1755" s="14"/>
      <x:c r="F1755" s="13" t="str">
        <x:f>IF($A1755="","",IF($D1755&lt;&gt;'Team Setup'!$B$4,"Other sprint",IF($C1755="","Unassigned",IF(OR(ISNUMBER(SEARCH(",",$C1755)),ISNUMBER(SEARCH(";",$C1755))),"Multiple assignees",IF(COUNTIF('Team Setup'!$B$10:$B$34,$C1755)=1,"Matched","Unmatched")))))</x:f>
      </x:c>
      <x:c r="G1755" s="13" t="str">
        <x:f>IF($A1755="","",IF($D1755&lt;&gt;'Team Setup'!$B$4,"Other sprint",IF($E1755="","Unestimated",IF(NOT(ISNUMBER($E1755)),"Check estimate in hours",IF($E1755&lt;0,"Check estimate in hours",IF($E1755=0,"Unestimated","Estimated"))))))</x:f>
      </x:c>
    </x:row>
    <x:row r="1756">
      <x:c r="A1756" s="12"/>
      <x:c r="B1756" s="12"/>
      <x:c r="C1756" s="12"/>
      <x:c r="D1756" s="12"/>
      <x:c r="E1756" s="14"/>
      <x:c r="F1756" s="13" t="str">
        <x:f>IF($A1756="","",IF($D1756&lt;&gt;'Team Setup'!$B$4,"Other sprint",IF($C1756="","Unassigned",IF(OR(ISNUMBER(SEARCH(",",$C1756)),ISNUMBER(SEARCH(";",$C1756))),"Multiple assignees",IF(COUNTIF('Team Setup'!$B$10:$B$34,$C1756)=1,"Matched","Unmatched")))))</x:f>
      </x:c>
      <x:c r="G1756" s="13" t="str">
        <x:f>IF($A1756="","",IF($D1756&lt;&gt;'Team Setup'!$B$4,"Other sprint",IF($E1756="","Unestimated",IF(NOT(ISNUMBER($E1756)),"Check estimate in hours",IF($E1756&lt;0,"Check estimate in hours",IF($E1756=0,"Unestimated","Estimated"))))))</x:f>
      </x:c>
    </x:row>
    <x:row r="1757">
      <x:c r="A1757" s="12"/>
      <x:c r="B1757" s="12"/>
      <x:c r="C1757" s="12"/>
      <x:c r="D1757" s="12"/>
      <x:c r="E1757" s="14"/>
      <x:c r="F1757" s="13" t="str">
        <x:f>IF($A1757="","",IF($D1757&lt;&gt;'Team Setup'!$B$4,"Other sprint",IF($C1757="","Unassigned",IF(OR(ISNUMBER(SEARCH(",",$C1757)),ISNUMBER(SEARCH(";",$C1757))),"Multiple assignees",IF(COUNTIF('Team Setup'!$B$10:$B$34,$C1757)=1,"Matched","Unmatched")))))</x:f>
      </x:c>
      <x:c r="G1757" s="13" t="str">
        <x:f>IF($A1757="","",IF($D1757&lt;&gt;'Team Setup'!$B$4,"Other sprint",IF($E1757="","Unestimated",IF(NOT(ISNUMBER($E1757)),"Check estimate in hours",IF($E1757&lt;0,"Check estimate in hours",IF($E1757=0,"Unestimated","Estimated"))))))</x:f>
      </x:c>
    </x:row>
    <x:row r="1758">
      <x:c r="A1758" s="12"/>
      <x:c r="B1758" s="12"/>
      <x:c r="C1758" s="12"/>
      <x:c r="D1758" s="12"/>
      <x:c r="E1758" s="14"/>
      <x:c r="F1758" s="13" t="str">
        <x:f>IF($A1758="","",IF($D1758&lt;&gt;'Team Setup'!$B$4,"Other sprint",IF($C1758="","Unassigned",IF(OR(ISNUMBER(SEARCH(",",$C1758)),ISNUMBER(SEARCH(";",$C1758))),"Multiple assignees",IF(COUNTIF('Team Setup'!$B$10:$B$34,$C1758)=1,"Matched","Unmatched")))))</x:f>
      </x:c>
      <x:c r="G1758" s="13" t="str">
        <x:f>IF($A1758="","",IF($D1758&lt;&gt;'Team Setup'!$B$4,"Other sprint",IF($E1758="","Unestimated",IF(NOT(ISNUMBER($E1758)),"Check estimate in hours",IF($E1758&lt;0,"Check estimate in hours",IF($E1758=0,"Unestimated","Estimated"))))))</x:f>
      </x:c>
    </x:row>
    <x:row r="1759">
      <x:c r="A1759" s="12"/>
      <x:c r="B1759" s="12"/>
      <x:c r="C1759" s="12"/>
      <x:c r="D1759" s="12"/>
      <x:c r="E1759" s="14"/>
      <x:c r="F1759" s="13" t="str">
        <x:f>IF($A1759="","",IF($D1759&lt;&gt;'Team Setup'!$B$4,"Other sprint",IF($C1759="","Unassigned",IF(OR(ISNUMBER(SEARCH(",",$C1759)),ISNUMBER(SEARCH(";",$C1759))),"Multiple assignees",IF(COUNTIF('Team Setup'!$B$10:$B$34,$C1759)=1,"Matched","Unmatched")))))</x:f>
      </x:c>
      <x:c r="G1759" s="13" t="str">
        <x:f>IF($A1759="","",IF($D1759&lt;&gt;'Team Setup'!$B$4,"Other sprint",IF($E1759="","Unestimated",IF(NOT(ISNUMBER($E1759)),"Check estimate in hours",IF($E1759&lt;0,"Check estimate in hours",IF($E1759=0,"Unestimated","Estimated"))))))</x:f>
      </x:c>
    </x:row>
    <x:row r="1760">
      <x:c r="A1760" s="12"/>
      <x:c r="B1760" s="12"/>
      <x:c r="C1760" s="12"/>
      <x:c r="D1760" s="12"/>
      <x:c r="E1760" s="14"/>
      <x:c r="F1760" s="13" t="str">
        <x:f>IF($A1760="","",IF($D1760&lt;&gt;'Team Setup'!$B$4,"Other sprint",IF($C1760="","Unassigned",IF(OR(ISNUMBER(SEARCH(",",$C1760)),ISNUMBER(SEARCH(";",$C1760))),"Multiple assignees",IF(COUNTIF('Team Setup'!$B$10:$B$34,$C1760)=1,"Matched","Unmatched")))))</x:f>
      </x:c>
      <x:c r="G1760" s="13" t="str">
        <x:f>IF($A1760="","",IF($D1760&lt;&gt;'Team Setup'!$B$4,"Other sprint",IF($E1760="","Unestimated",IF(NOT(ISNUMBER($E1760)),"Check estimate in hours",IF($E1760&lt;0,"Check estimate in hours",IF($E1760=0,"Unestimated","Estimated"))))))</x:f>
      </x:c>
    </x:row>
    <x:row r="1761">
      <x:c r="A1761" s="12"/>
      <x:c r="B1761" s="12"/>
      <x:c r="C1761" s="12"/>
      <x:c r="D1761" s="12"/>
      <x:c r="E1761" s="14"/>
      <x:c r="F1761" s="13" t="str">
        <x:f>IF($A1761="","",IF($D1761&lt;&gt;'Team Setup'!$B$4,"Other sprint",IF($C1761="","Unassigned",IF(OR(ISNUMBER(SEARCH(",",$C1761)),ISNUMBER(SEARCH(";",$C1761))),"Multiple assignees",IF(COUNTIF('Team Setup'!$B$10:$B$34,$C1761)=1,"Matched","Unmatched")))))</x:f>
      </x:c>
      <x:c r="G1761" s="13" t="str">
        <x:f>IF($A1761="","",IF($D1761&lt;&gt;'Team Setup'!$B$4,"Other sprint",IF($E1761="","Unestimated",IF(NOT(ISNUMBER($E1761)),"Check estimate in hours",IF($E1761&lt;0,"Check estimate in hours",IF($E1761=0,"Unestimated","Estimated"))))))</x:f>
      </x:c>
    </x:row>
    <x:row r="1762">
      <x:c r="A1762" s="12"/>
      <x:c r="B1762" s="12"/>
      <x:c r="C1762" s="12"/>
      <x:c r="D1762" s="12"/>
      <x:c r="E1762" s="14"/>
      <x:c r="F1762" s="13" t="str">
        <x:f>IF($A1762="","",IF($D1762&lt;&gt;'Team Setup'!$B$4,"Other sprint",IF($C1762="","Unassigned",IF(OR(ISNUMBER(SEARCH(",",$C1762)),ISNUMBER(SEARCH(";",$C1762))),"Multiple assignees",IF(COUNTIF('Team Setup'!$B$10:$B$34,$C1762)=1,"Matched","Unmatched")))))</x:f>
      </x:c>
      <x:c r="G1762" s="13" t="str">
        <x:f>IF($A1762="","",IF($D1762&lt;&gt;'Team Setup'!$B$4,"Other sprint",IF($E1762="","Unestimated",IF(NOT(ISNUMBER($E1762)),"Check estimate in hours",IF($E1762&lt;0,"Check estimate in hours",IF($E1762=0,"Unestimated","Estimated"))))))</x:f>
      </x:c>
    </x:row>
    <x:row r="1763">
      <x:c r="A1763" s="12"/>
      <x:c r="B1763" s="12"/>
      <x:c r="C1763" s="12"/>
      <x:c r="D1763" s="12"/>
      <x:c r="E1763" s="14"/>
      <x:c r="F1763" s="13" t="str">
        <x:f>IF($A1763="","",IF($D1763&lt;&gt;'Team Setup'!$B$4,"Other sprint",IF($C1763="","Unassigned",IF(OR(ISNUMBER(SEARCH(",",$C1763)),ISNUMBER(SEARCH(";",$C1763))),"Multiple assignees",IF(COUNTIF('Team Setup'!$B$10:$B$34,$C1763)=1,"Matched","Unmatched")))))</x:f>
      </x:c>
      <x:c r="G1763" s="13" t="str">
        <x:f>IF($A1763="","",IF($D1763&lt;&gt;'Team Setup'!$B$4,"Other sprint",IF($E1763="","Unestimated",IF(NOT(ISNUMBER($E1763)),"Check estimate in hours",IF($E1763&lt;0,"Check estimate in hours",IF($E1763=0,"Unestimated","Estimated"))))))</x:f>
      </x:c>
    </x:row>
    <x:row r="1764">
      <x:c r="A1764" s="12"/>
      <x:c r="B1764" s="12"/>
      <x:c r="C1764" s="12"/>
      <x:c r="D1764" s="12"/>
      <x:c r="E1764" s="14"/>
      <x:c r="F1764" s="13" t="str">
        <x:f>IF($A1764="","",IF($D1764&lt;&gt;'Team Setup'!$B$4,"Other sprint",IF($C1764="","Unassigned",IF(OR(ISNUMBER(SEARCH(",",$C1764)),ISNUMBER(SEARCH(";",$C1764))),"Multiple assignees",IF(COUNTIF('Team Setup'!$B$10:$B$34,$C1764)=1,"Matched","Unmatched")))))</x:f>
      </x:c>
      <x:c r="G1764" s="13" t="str">
        <x:f>IF($A1764="","",IF($D1764&lt;&gt;'Team Setup'!$B$4,"Other sprint",IF($E1764="","Unestimated",IF(NOT(ISNUMBER($E1764)),"Check estimate in hours",IF($E1764&lt;0,"Check estimate in hours",IF($E1764=0,"Unestimated","Estimated"))))))</x:f>
      </x:c>
    </x:row>
    <x:row r="1765">
      <x:c r="A1765" s="12"/>
      <x:c r="B1765" s="12"/>
      <x:c r="C1765" s="12"/>
      <x:c r="D1765" s="12"/>
      <x:c r="E1765" s="14"/>
      <x:c r="F1765" s="13" t="str">
        <x:f>IF($A1765="","",IF($D1765&lt;&gt;'Team Setup'!$B$4,"Other sprint",IF($C1765="","Unassigned",IF(OR(ISNUMBER(SEARCH(",",$C1765)),ISNUMBER(SEARCH(";",$C1765))),"Multiple assignees",IF(COUNTIF('Team Setup'!$B$10:$B$34,$C1765)=1,"Matched","Unmatched")))))</x:f>
      </x:c>
      <x:c r="G1765" s="13" t="str">
        <x:f>IF($A1765="","",IF($D1765&lt;&gt;'Team Setup'!$B$4,"Other sprint",IF($E1765="","Unestimated",IF(NOT(ISNUMBER($E1765)),"Check estimate in hours",IF($E1765&lt;0,"Check estimate in hours",IF($E1765=0,"Unestimated","Estimated"))))))</x:f>
      </x:c>
    </x:row>
    <x:row r="1766">
      <x:c r="A1766" s="12"/>
      <x:c r="B1766" s="12"/>
      <x:c r="C1766" s="12"/>
      <x:c r="D1766" s="12"/>
      <x:c r="E1766" s="14"/>
      <x:c r="F1766" s="13" t="str">
        <x:f>IF($A1766="","",IF($D1766&lt;&gt;'Team Setup'!$B$4,"Other sprint",IF($C1766="","Unassigned",IF(OR(ISNUMBER(SEARCH(",",$C1766)),ISNUMBER(SEARCH(";",$C1766))),"Multiple assignees",IF(COUNTIF('Team Setup'!$B$10:$B$34,$C1766)=1,"Matched","Unmatched")))))</x:f>
      </x:c>
      <x:c r="G1766" s="13" t="str">
        <x:f>IF($A1766="","",IF($D1766&lt;&gt;'Team Setup'!$B$4,"Other sprint",IF($E1766="","Unestimated",IF(NOT(ISNUMBER($E1766)),"Check estimate in hours",IF($E1766&lt;0,"Check estimate in hours",IF($E1766=0,"Unestimated","Estimated"))))))</x:f>
      </x:c>
    </x:row>
    <x:row r="1767">
      <x:c r="A1767" s="12"/>
      <x:c r="B1767" s="12"/>
      <x:c r="C1767" s="12"/>
      <x:c r="D1767" s="12"/>
      <x:c r="E1767" s="14"/>
      <x:c r="F1767" s="13" t="str">
        <x:f>IF($A1767="","",IF($D1767&lt;&gt;'Team Setup'!$B$4,"Other sprint",IF($C1767="","Unassigned",IF(OR(ISNUMBER(SEARCH(",",$C1767)),ISNUMBER(SEARCH(";",$C1767))),"Multiple assignees",IF(COUNTIF('Team Setup'!$B$10:$B$34,$C1767)=1,"Matched","Unmatched")))))</x:f>
      </x:c>
      <x:c r="G1767" s="13" t="str">
        <x:f>IF($A1767="","",IF($D1767&lt;&gt;'Team Setup'!$B$4,"Other sprint",IF($E1767="","Unestimated",IF(NOT(ISNUMBER($E1767)),"Check estimate in hours",IF($E1767&lt;0,"Check estimate in hours",IF($E1767=0,"Unestimated","Estimated"))))))</x:f>
      </x:c>
    </x:row>
    <x:row r="1768">
      <x:c r="A1768" s="12"/>
      <x:c r="B1768" s="12"/>
      <x:c r="C1768" s="12"/>
      <x:c r="D1768" s="12"/>
      <x:c r="E1768" s="14"/>
      <x:c r="F1768" s="13" t="str">
        <x:f>IF($A1768="","",IF($D1768&lt;&gt;'Team Setup'!$B$4,"Other sprint",IF($C1768="","Unassigned",IF(OR(ISNUMBER(SEARCH(",",$C1768)),ISNUMBER(SEARCH(";",$C1768))),"Multiple assignees",IF(COUNTIF('Team Setup'!$B$10:$B$34,$C1768)=1,"Matched","Unmatched")))))</x:f>
      </x:c>
      <x:c r="G1768" s="13" t="str">
        <x:f>IF($A1768="","",IF($D1768&lt;&gt;'Team Setup'!$B$4,"Other sprint",IF($E1768="","Unestimated",IF(NOT(ISNUMBER($E1768)),"Check estimate in hours",IF($E1768&lt;0,"Check estimate in hours",IF($E1768=0,"Unestimated","Estimated"))))))</x:f>
      </x:c>
    </x:row>
    <x:row r="1769">
      <x:c r="A1769" s="12"/>
      <x:c r="B1769" s="12"/>
      <x:c r="C1769" s="12"/>
      <x:c r="D1769" s="12"/>
      <x:c r="E1769" s="14"/>
      <x:c r="F1769" s="13" t="str">
        <x:f>IF($A1769="","",IF($D1769&lt;&gt;'Team Setup'!$B$4,"Other sprint",IF($C1769="","Unassigned",IF(OR(ISNUMBER(SEARCH(",",$C1769)),ISNUMBER(SEARCH(";",$C1769))),"Multiple assignees",IF(COUNTIF('Team Setup'!$B$10:$B$34,$C1769)=1,"Matched","Unmatched")))))</x:f>
      </x:c>
      <x:c r="G1769" s="13" t="str">
        <x:f>IF($A1769="","",IF($D1769&lt;&gt;'Team Setup'!$B$4,"Other sprint",IF($E1769="","Unestimated",IF(NOT(ISNUMBER($E1769)),"Check estimate in hours",IF($E1769&lt;0,"Check estimate in hours",IF($E1769=0,"Unestimated","Estimated"))))))</x:f>
      </x:c>
    </x:row>
    <x:row r="1770">
      <x:c r="A1770" s="12"/>
      <x:c r="B1770" s="12"/>
      <x:c r="C1770" s="12"/>
      <x:c r="D1770" s="12"/>
      <x:c r="E1770" s="14"/>
      <x:c r="F1770" s="13" t="str">
        <x:f>IF($A1770="","",IF($D1770&lt;&gt;'Team Setup'!$B$4,"Other sprint",IF($C1770="","Unassigned",IF(OR(ISNUMBER(SEARCH(",",$C1770)),ISNUMBER(SEARCH(";",$C1770))),"Multiple assignees",IF(COUNTIF('Team Setup'!$B$10:$B$34,$C1770)=1,"Matched","Unmatched")))))</x:f>
      </x:c>
      <x:c r="G1770" s="13" t="str">
        <x:f>IF($A1770="","",IF($D1770&lt;&gt;'Team Setup'!$B$4,"Other sprint",IF($E1770="","Unestimated",IF(NOT(ISNUMBER($E1770)),"Check estimate in hours",IF($E1770&lt;0,"Check estimate in hours",IF($E1770=0,"Unestimated","Estimated"))))))</x:f>
      </x:c>
    </x:row>
    <x:row r="1771">
      <x:c r="A1771" s="12"/>
      <x:c r="B1771" s="12"/>
      <x:c r="C1771" s="12"/>
      <x:c r="D1771" s="12"/>
      <x:c r="E1771" s="14"/>
      <x:c r="F1771" s="13" t="str">
        <x:f>IF($A1771="","",IF($D1771&lt;&gt;'Team Setup'!$B$4,"Other sprint",IF($C1771="","Unassigned",IF(OR(ISNUMBER(SEARCH(",",$C1771)),ISNUMBER(SEARCH(";",$C1771))),"Multiple assignees",IF(COUNTIF('Team Setup'!$B$10:$B$34,$C1771)=1,"Matched","Unmatched")))))</x:f>
      </x:c>
      <x:c r="G1771" s="13" t="str">
        <x:f>IF($A1771="","",IF($D1771&lt;&gt;'Team Setup'!$B$4,"Other sprint",IF($E1771="","Unestimated",IF(NOT(ISNUMBER($E1771)),"Check estimate in hours",IF($E1771&lt;0,"Check estimate in hours",IF($E1771=0,"Unestimated","Estimated"))))))</x:f>
      </x:c>
    </x:row>
    <x:row r="1772">
      <x:c r="A1772" s="12"/>
      <x:c r="B1772" s="12"/>
      <x:c r="C1772" s="12"/>
      <x:c r="D1772" s="12"/>
      <x:c r="E1772" s="14"/>
      <x:c r="F1772" s="13" t="str">
        <x:f>IF($A1772="","",IF($D1772&lt;&gt;'Team Setup'!$B$4,"Other sprint",IF($C1772="","Unassigned",IF(OR(ISNUMBER(SEARCH(",",$C1772)),ISNUMBER(SEARCH(";",$C1772))),"Multiple assignees",IF(COUNTIF('Team Setup'!$B$10:$B$34,$C1772)=1,"Matched","Unmatched")))))</x:f>
      </x:c>
      <x:c r="G1772" s="13" t="str">
        <x:f>IF($A1772="","",IF($D1772&lt;&gt;'Team Setup'!$B$4,"Other sprint",IF($E1772="","Unestimated",IF(NOT(ISNUMBER($E1772)),"Check estimate in hours",IF($E1772&lt;0,"Check estimate in hours",IF($E1772=0,"Unestimated","Estimated"))))))</x:f>
      </x:c>
    </x:row>
    <x:row r="1773">
      <x:c r="A1773" s="12"/>
      <x:c r="B1773" s="12"/>
      <x:c r="C1773" s="12"/>
      <x:c r="D1773" s="12"/>
      <x:c r="E1773" s="14"/>
      <x:c r="F1773" s="13" t="str">
        <x:f>IF($A1773="","",IF($D1773&lt;&gt;'Team Setup'!$B$4,"Other sprint",IF($C1773="","Unassigned",IF(OR(ISNUMBER(SEARCH(",",$C1773)),ISNUMBER(SEARCH(";",$C1773))),"Multiple assignees",IF(COUNTIF('Team Setup'!$B$10:$B$34,$C1773)=1,"Matched","Unmatched")))))</x:f>
      </x:c>
      <x:c r="G1773" s="13" t="str">
        <x:f>IF($A1773="","",IF($D1773&lt;&gt;'Team Setup'!$B$4,"Other sprint",IF($E1773="","Unestimated",IF(NOT(ISNUMBER($E1773)),"Check estimate in hours",IF($E1773&lt;0,"Check estimate in hours",IF($E1773=0,"Unestimated","Estimated"))))))</x:f>
      </x:c>
    </x:row>
    <x:row r="1774">
      <x:c r="A1774" s="12"/>
      <x:c r="B1774" s="12"/>
      <x:c r="C1774" s="12"/>
      <x:c r="D1774" s="12"/>
      <x:c r="E1774" s="14"/>
      <x:c r="F1774" s="13" t="str">
        <x:f>IF($A1774="","",IF($D1774&lt;&gt;'Team Setup'!$B$4,"Other sprint",IF($C1774="","Unassigned",IF(OR(ISNUMBER(SEARCH(",",$C1774)),ISNUMBER(SEARCH(";",$C1774))),"Multiple assignees",IF(COUNTIF('Team Setup'!$B$10:$B$34,$C1774)=1,"Matched","Unmatched")))))</x:f>
      </x:c>
      <x:c r="G1774" s="13" t="str">
        <x:f>IF($A1774="","",IF($D1774&lt;&gt;'Team Setup'!$B$4,"Other sprint",IF($E1774="","Unestimated",IF(NOT(ISNUMBER($E1774)),"Check estimate in hours",IF($E1774&lt;0,"Check estimate in hours",IF($E1774=0,"Unestimated","Estimated"))))))</x:f>
      </x:c>
    </x:row>
    <x:row r="1775">
      <x:c r="A1775" s="12"/>
      <x:c r="B1775" s="12"/>
      <x:c r="C1775" s="12"/>
      <x:c r="D1775" s="12"/>
      <x:c r="E1775" s="14"/>
      <x:c r="F1775" s="13" t="str">
        <x:f>IF($A1775="","",IF($D1775&lt;&gt;'Team Setup'!$B$4,"Other sprint",IF($C1775="","Unassigned",IF(OR(ISNUMBER(SEARCH(",",$C1775)),ISNUMBER(SEARCH(";",$C1775))),"Multiple assignees",IF(COUNTIF('Team Setup'!$B$10:$B$34,$C1775)=1,"Matched","Unmatched")))))</x:f>
      </x:c>
      <x:c r="G1775" s="13" t="str">
        <x:f>IF($A1775="","",IF($D1775&lt;&gt;'Team Setup'!$B$4,"Other sprint",IF($E1775="","Unestimated",IF(NOT(ISNUMBER($E1775)),"Check estimate in hours",IF($E1775&lt;0,"Check estimate in hours",IF($E1775=0,"Unestimated","Estimated"))))))</x:f>
      </x:c>
    </x:row>
    <x:row r="1776">
      <x:c r="A1776" s="12"/>
      <x:c r="B1776" s="12"/>
      <x:c r="C1776" s="12"/>
      <x:c r="D1776" s="12"/>
      <x:c r="E1776" s="14"/>
      <x:c r="F1776" s="13" t="str">
        <x:f>IF($A1776="","",IF($D1776&lt;&gt;'Team Setup'!$B$4,"Other sprint",IF($C1776="","Unassigned",IF(OR(ISNUMBER(SEARCH(",",$C1776)),ISNUMBER(SEARCH(";",$C1776))),"Multiple assignees",IF(COUNTIF('Team Setup'!$B$10:$B$34,$C1776)=1,"Matched","Unmatched")))))</x:f>
      </x:c>
      <x:c r="G1776" s="13" t="str">
        <x:f>IF($A1776="","",IF($D1776&lt;&gt;'Team Setup'!$B$4,"Other sprint",IF($E1776="","Unestimated",IF(NOT(ISNUMBER($E1776)),"Check estimate in hours",IF($E1776&lt;0,"Check estimate in hours",IF($E1776=0,"Unestimated","Estimated"))))))</x:f>
      </x:c>
    </x:row>
    <x:row r="1777">
      <x:c r="A1777" s="12"/>
      <x:c r="B1777" s="12"/>
      <x:c r="C1777" s="12"/>
      <x:c r="D1777" s="12"/>
      <x:c r="E1777" s="14"/>
      <x:c r="F1777" s="13" t="str">
        <x:f>IF($A1777="","",IF($D1777&lt;&gt;'Team Setup'!$B$4,"Other sprint",IF($C1777="","Unassigned",IF(OR(ISNUMBER(SEARCH(",",$C1777)),ISNUMBER(SEARCH(";",$C1777))),"Multiple assignees",IF(COUNTIF('Team Setup'!$B$10:$B$34,$C1777)=1,"Matched","Unmatched")))))</x:f>
      </x:c>
      <x:c r="G1777" s="13" t="str">
        <x:f>IF($A1777="","",IF($D1777&lt;&gt;'Team Setup'!$B$4,"Other sprint",IF($E1777="","Unestimated",IF(NOT(ISNUMBER($E1777)),"Check estimate in hours",IF($E1777&lt;0,"Check estimate in hours",IF($E1777=0,"Unestimated","Estimated"))))))</x:f>
      </x:c>
    </x:row>
    <x:row r="1778">
      <x:c r="A1778" s="12"/>
      <x:c r="B1778" s="12"/>
      <x:c r="C1778" s="12"/>
      <x:c r="D1778" s="12"/>
      <x:c r="E1778" s="14"/>
      <x:c r="F1778" s="13" t="str">
        <x:f>IF($A1778="","",IF($D1778&lt;&gt;'Team Setup'!$B$4,"Other sprint",IF($C1778="","Unassigned",IF(OR(ISNUMBER(SEARCH(",",$C1778)),ISNUMBER(SEARCH(";",$C1778))),"Multiple assignees",IF(COUNTIF('Team Setup'!$B$10:$B$34,$C1778)=1,"Matched","Unmatched")))))</x:f>
      </x:c>
      <x:c r="G1778" s="13" t="str">
        <x:f>IF($A1778="","",IF($D1778&lt;&gt;'Team Setup'!$B$4,"Other sprint",IF($E1778="","Unestimated",IF(NOT(ISNUMBER($E1778)),"Check estimate in hours",IF($E1778&lt;0,"Check estimate in hours",IF($E1778=0,"Unestimated","Estimated"))))))</x:f>
      </x:c>
    </x:row>
    <x:row r="1779">
      <x:c r="A1779" s="12"/>
      <x:c r="B1779" s="12"/>
      <x:c r="C1779" s="12"/>
      <x:c r="D1779" s="12"/>
      <x:c r="E1779" s="14"/>
      <x:c r="F1779" s="13" t="str">
        <x:f>IF($A1779="","",IF($D1779&lt;&gt;'Team Setup'!$B$4,"Other sprint",IF($C1779="","Unassigned",IF(OR(ISNUMBER(SEARCH(",",$C1779)),ISNUMBER(SEARCH(";",$C1779))),"Multiple assignees",IF(COUNTIF('Team Setup'!$B$10:$B$34,$C1779)=1,"Matched","Unmatched")))))</x:f>
      </x:c>
      <x:c r="G1779" s="13" t="str">
        <x:f>IF($A1779="","",IF($D1779&lt;&gt;'Team Setup'!$B$4,"Other sprint",IF($E1779="","Unestimated",IF(NOT(ISNUMBER($E1779)),"Check estimate in hours",IF($E1779&lt;0,"Check estimate in hours",IF($E1779=0,"Unestimated","Estimated"))))))</x:f>
      </x:c>
    </x:row>
    <x:row r="1780">
      <x:c r="A1780" s="12"/>
      <x:c r="B1780" s="12"/>
      <x:c r="C1780" s="12"/>
      <x:c r="D1780" s="12"/>
      <x:c r="E1780" s="14"/>
      <x:c r="F1780" s="13" t="str">
        <x:f>IF($A1780="","",IF($D1780&lt;&gt;'Team Setup'!$B$4,"Other sprint",IF($C1780="","Unassigned",IF(OR(ISNUMBER(SEARCH(",",$C1780)),ISNUMBER(SEARCH(";",$C1780))),"Multiple assignees",IF(COUNTIF('Team Setup'!$B$10:$B$34,$C1780)=1,"Matched","Unmatched")))))</x:f>
      </x:c>
      <x:c r="G1780" s="13" t="str">
        <x:f>IF($A1780="","",IF($D1780&lt;&gt;'Team Setup'!$B$4,"Other sprint",IF($E1780="","Unestimated",IF(NOT(ISNUMBER($E1780)),"Check estimate in hours",IF($E1780&lt;0,"Check estimate in hours",IF($E1780=0,"Unestimated","Estimated"))))))</x:f>
      </x:c>
    </x:row>
    <x:row r="1781">
      <x:c r="A1781" s="12"/>
      <x:c r="B1781" s="12"/>
      <x:c r="C1781" s="12"/>
      <x:c r="D1781" s="12"/>
      <x:c r="E1781" s="14"/>
      <x:c r="F1781" s="13" t="str">
        <x:f>IF($A1781="","",IF($D1781&lt;&gt;'Team Setup'!$B$4,"Other sprint",IF($C1781="","Unassigned",IF(OR(ISNUMBER(SEARCH(",",$C1781)),ISNUMBER(SEARCH(";",$C1781))),"Multiple assignees",IF(COUNTIF('Team Setup'!$B$10:$B$34,$C1781)=1,"Matched","Unmatched")))))</x:f>
      </x:c>
      <x:c r="G1781" s="13" t="str">
        <x:f>IF($A1781="","",IF($D1781&lt;&gt;'Team Setup'!$B$4,"Other sprint",IF($E1781="","Unestimated",IF(NOT(ISNUMBER($E1781)),"Check estimate in hours",IF($E1781&lt;0,"Check estimate in hours",IF($E1781=0,"Unestimated","Estimated"))))))</x:f>
      </x:c>
    </x:row>
    <x:row r="1782">
      <x:c r="A1782" s="12"/>
      <x:c r="B1782" s="12"/>
      <x:c r="C1782" s="12"/>
      <x:c r="D1782" s="12"/>
      <x:c r="E1782" s="14"/>
      <x:c r="F1782" s="13" t="str">
        <x:f>IF($A1782="","",IF($D1782&lt;&gt;'Team Setup'!$B$4,"Other sprint",IF($C1782="","Unassigned",IF(OR(ISNUMBER(SEARCH(",",$C1782)),ISNUMBER(SEARCH(";",$C1782))),"Multiple assignees",IF(COUNTIF('Team Setup'!$B$10:$B$34,$C1782)=1,"Matched","Unmatched")))))</x:f>
      </x:c>
      <x:c r="G1782" s="13" t="str">
        <x:f>IF($A1782="","",IF($D1782&lt;&gt;'Team Setup'!$B$4,"Other sprint",IF($E1782="","Unestimated",IF(NOT(ISNUMBER($E1782)),"Check estimate in hours",IF($E1782&lt;0,"Check estimate in hours",IF($E1782=0,"Unestimated","Estimated"))))))</x:f>
      </x:c>
    </x:row>
    <x:row r="1783">
      <x:c r="A1783" s="12"/>
      <x:c r="B1783" s="12"/>
      <x:c r="C1783" s="12"/>
      <x:c r="D1783" s="12"/>
      <x:c r="E1783" s="14"/>
      <x:c r="F1783" s="13" t="str">
        <x:f>IF($A1783="","",IF($D1783&lt;&gt;'Team Setup'!$B$4,"Other sprint",IF($C1783="","Unassigned",IF(OR(ISNUMBER(SEARCH(",",$C1783)),ISNUMBER(SEARCH(";",$C1783))),"Multiple assignees",IF(COUNTIF('Team Setup'!$B$10:$B$34,$C1783)=1,"Matched","Unmatched")))))</x:f>
      </x:c>
      <x:c r="G1783" s="13" t="str">
        <x:f>IF($A1783="","",IF($D1783&lt;&gt;'Team Setup'!$B$4,"Other sprint",IF($E1783="","Unestimated",IF(NOT(ISNUMBER($E1783)),"Check estimate in hours",IF($E1783&lt;0,"Check estimate in hours",IF($E1783=0,"Unestimated","Estimated"))))))</x:f>
      </x:c>
    </x:row>
    <x:row r="1784">
      <x:c r="A1784" s="12"/>
      <x:c r="B1784" s="12"/>
      <x:c r="C1784" s="12"/>
      <x:c r="D1784" s="12"/>
      <x:c r="E1784" s="14"/>
      <x:c r="F1784" s="13" t="str">
        <x:f>IF($A1784="","",IF($D1784&lt;&gt;'Team Setup'!$B$4,"Other sprint",IF($C1784="","Unassigned",IF(OR(ISNUMBER(SEARCH(",",$C1784)),ISNUMBER(SEARCH(";",$C1784))),"Multiple assignees",IF(COUNTIF('Team Setup'!$B$10:$B$34,$C1784)=1,"Matched","Unmatched")))))</x:f>
      </x:c>
      <x:c r="G1784" s="13" t="str">
        <x:f>IF($A1784="","",IF($D1784&lt;&gt;'Team Setup'!$B$4,"Other sprint",IF($E1784="","Unestimated",IF(NOT(ISNUMBER($E1784)),"Check estimate in hours",IF($E1784&lt;0,"Check estimate in hours",IF($E1784=0,"Unestimated","Estimated"))))))</x:f>
      </x:c>
    </x:row>
    <x:row r="1785">
      <x:c r="A1785" s="12"/>
      <x:c r="B1785" s="12"/>
      <x:c r="C1785" s="12"/>
      <x:c r="D1785" s="12"/>
      <x:c r="E1785" s="14"/>
      <x:c r="F1785" s="13" t="str">
        <x:f>IF($A1785="","",IF($D1785&lt;&gt;'Team Setup'!$B$4,"Other sprint",IF($C1785="","Unassigned",IF(OR(ISNUMBER(SEARCH(",",$C1785)),ISNUMBER(SEARCH(";",$C1785))),"Multiple assignees",IF(COUNTIF('Team Setup'!$B$10:$B$34,$C1785)=1,"Matched","Unmatched")))))</x:f>
      </x:c>
      <x:c r="G1785" s="13" t="str">
        <x:f>IF($A1785="","",IF($D1785&lt;&gt;'Team Setup'!$B$4,"Other sprint",IF($E1785="","Unestimated",IF(NOT(ISNUMBER($E1785)),"Check estimate in hours",IF($E1785&lt;0,"Check estimate in hours",IF($E1785=0,"Unestimated","Estimated"))))))</x:f>
      </x:c>
    </x:row>
    <x:row r="1786">
      <x:c r="A1786" s="12"/>
      <x:c r="B1786" s="12"/>
      <x:c r="C1786" s="12"/>
      <x:c r="D1786" s="12"/>
      <x:c r="E1786" s="14"/>
      <x:c r="F1786" s="13" t="str">
        <x:f>IF($A1786="","",IF($D1786&lt;&gt;'Team Setup'!$B$4,"Other sprint",IF($C1786="","Unassigned",IF(OR(ISNUMBER(SEARCH(",",$C1786)),ISNUMBER(SEARCH(";",$C1786))),"Multiple assignees",IF(COUNTIF('Team Setup'!$B$10:$B$34,$C1786)=1,"Matched","Unmatched")))))</x:f>
      </x:c>
      <x:c r="G1786" s="13" t="str">
        <x:f>IF($A1786="","",IF($D1786&lt;&gt;'Team Setup'!$B$4,"Other sprint",IF($E1786="","Unestimated",IF(NOT(ISNUMBER($E1786)),"Check estimate in hours",IF($E1786&lt;0,"Check estimate in hours",IF($E1786=0,"Unestimated","Estimated"))))))</x:f>
      </x:c>
    </x:row>
    <x:row r="1787">
      <x:c r="A1787" s="12"/>
      <x:c r="B1787" s="12"/>
      <x:c r="C1787" s="12"/>
      <x:c r="D1787" s="12"/>
      <x:c r="E1787" s="14"/>
      <x:c r="F1787" s="13" t="str">
        <x:f>IF($A1787="","",IF($D1787&lt;&gt;'Team Setup'!$B$4,"Other sprint",IF($C1787="","Unassigned",IF(OR(ISNUMBER(SEARCH(",",$C1787)),ISNUMBER(SEARCH(";",$C1787))),"Multiple assignees",IF(COUNTIF('Team Setup'!$B$10:$B$34,$C1787)=1,"Matched","Unmatched")))))</x:f>
      </x:c>
      <x:c r="G1787" s="13" t="str">
        <x:f>IF($A1787="","",IF($D1787&lt;&gt;'Team Setup'!$B$4,"Other sprint",IF($E1787="","Unestimated",IF(NOT(ISNUMBER($E1787)),"Check estimate in hours",IF($E1787&lt;0,"Check estimate in hours",IF($E1787=0,"Unestimated","Estimated"))))))</x:f>
      </x:c>
    </x:row>
    <x:row r="1788">
      <x:c r="A1788" s="12"/>
      <x:c r="B1788" s="12"/>
      <x:c r="C1788" s="12"/>
      <x:c r="D1788" s="12"/>
      <x:c r="E1788" s="14"/>
      <x:c r="F1788" s="13" t="str">
        <x:f>IF($A1788="","",IF($D1788&lt;&gt;'Team Setup'!$B$4,"Other sprint",IF($C1788="","Unassigned",IF(OR(ISNUMBER(SEARCH(",",$C1788)),ISNUMBER(SEARCH(";",$C1788))),"Multiple assignees",IF(COUNTIF('Team Setup'!$B$10:$B$34,$C1788)=1,"Matched","Unmatched")))))</x:f>
      </x:c>
      <x:c r="G1788" s="13" t="str">
        <x:f>IF($A1788="","",IF($D1788&lt;&gt;'Team Setup'!$B$4,"Other sprint",IF($E1788="","Unestimated",IF(NOT(ISNUMBER($E1788)),"Check estimate in hours",IF($E1788&lt;0,"Check estimate in hours",IF($E1788=0,"Unestimated","Estimated"))))))</x:f>
      </x:c>
    </x:row>
    <x:row r="1789">
      <x:c r="A1789" s="12"/>
      <x:c r="B1789" s="12"/>
      <x:c r="C1789" s="12"/>
      <x:c r="D1789" s="12"/>
      <x:c r="E1789" s="14"/>
      <x:c r="F1789" s="13" t="str">
        <x:f>IF($A1789="","",IF($D1789&lt;&gt;'Team Setup'!$B$4,"Other sprint",IF($C1789="","Unassigned",IF(OR(ISNUMBER(SEARCH(",",$C1789)),ISNUMBER(SEARCH(";",$C1789))),"Multiple assignees",IF(COUNTIF('Team Setup'!$B$10:$B$34,$C1789)=1,"Matched","Unmatched")))))</x:f>
      </x:c>
      <x:c r="G1789" s="13" t="str">
        <x:f>IF($A1789="","",IF($D1789&lt;&gt;'Team Setup'!$B$4,"Other sprint",IF($E1789="","Unestimated",IF(NOT(ISNUMBER($E1789)),"Check estimate in hours",IF($E1789&lt;0,"Check estimate in hours",IF($E1789=0,"Unestimated","Estimated"))))))</x:f>
      </x:c>
    </x:row>
    <x:row r="1790">
      <x:c r="A1790" s="12"/>
      <x:c r="B1790" s="12"/>
      <x:c r="C1790" s="12"/>
      <x:c r="D1790" s="12"/>
      <x:c r="E1790" s="14"/>
      <x:c r="F1790" s="13" t="str">
        <x:f>IF($A1790="","",IF($D1790&lt;&gt;'Team Setup'!$B$4,"Other sprint",IF($C1790="","Unassigned",IF(OR(ISNUMBER(SEARCH(",",$C1790)),ISNUMBER(SEARCH(";",$C1790))),"Multiple assignees",IF(COUNTIF('Team Setup'!$B$10:$B$34,$C1790)=1,"Matched","Unmatched")))))</x:f>
      </x:c>
      <x:c r="G1790" s="13" t="str">
        <x:f>IF($A1790="","",IF($D1790&lt;&gt;'Team Setup'!$B$4,"Other sprint",IF($E1790="","Unestimated",IF(NOT(ISNUMBER($E1790)),"Check estimate in hours",IF($E1790&lt;0,"Check estimate in hours",IF($E1790=0,"Unestimated","Estimated"))))))</x:f>
      </x:c>
    </x:row>
    <x:row r="1791">
      <x:c r="A1791" s="12"/>
      <x:c r="B1791" s="12"/>
      <x:c r="C1791" s="12"/>
      <x:c r="D1791" s="12"/>
      <x:c r="E1791" s="14"/>
      <x:c r="F1791" s="13" t="str">
        <x:f>IF($A1791="","",IF($D1791&lt;&gt;'Team Setup'!$B$4,"Other sprint",IF($C1791="","Unassigned",IF(OR(ISNUMBER(SEARCH(",",$C1791)),ISNUMBER(SEARCH(";",$C1791))),"Multiple assignees",IF(COUNTIF('Team Setup'!$B$10:$B$34,$C1791)=1,"Matched","Unmatched")))))</x:f>
      </x:c>
      <x:c r="G1791" s="13" t="str">
        <x:f>IF($A1791="","",IF($D1791&lt;&gt;'Team Setup'!$B$4,"Other sprint",IF($E1791="","Unestimated",IF(NOT(ISNUMBER($E1791)),"Check estimate in hours",IF($E1791&lt;0,"Check estimate in hours",IF($E1791=0,"Unestimated","Estimated"))))))</x:f>
      </x:c>
    </x:row>
    <x:row r="1792">
      <x:c r="A1792" s="12"/>
      <x:c r="B1792" s="12"/>
      <x:c r="C1792" s="12"/>
      <x:c r="D1792" s="12"/>
      <x:c r="E1792" s="14"/>
      <x:c r="F1792" s="13" t="str">
        <x:f>IF($A1792="","",IF($D1792&lt;&gt;'Team Setup'!$B$4,"Other sprint",IF($C1792="","Unassigned",IF(OR(ISNUMBER(SEARCH(",",$C1792)),ISNUMBER(SEARCH(";",$C1792))),"Multiple assignees",IF(COUNTIF('Team Setup'!$B$10:$B$34,$C1792)=1,"Matched","Unmatched")))))</x:f>
      </x:c>
      <x:c r="G1792" s="13" t="str">
        <x:f>IF($A1792="","",IF($D1792&lt;&gt;'Team Setup'!$B$4,"Other sprint",IF($E1792="","Unestimated",IF(NOT(ISNUMBER($E1792)),"Check estimate in hours",IF($E1792&lt;0,"Check estimate in hours",IF($E1792=0,"Unestimated","Estimated"))))))</x:f>
      </x:c>
    </x:row>
    <x:row r="1793">
      <x:c r="A1793" s="12"/>
      <x:c r="B1793" s="12"/>
      <x:c r="C1793" s="12"/>
      <x:c r="D1793" s="12"/>
      <x:c r="E1793" s="14"/>
      <x:c r="F1793" s="13" t="str">
        <x:f>IF($A1793="","",IF($D1793&lt;&gt;'Team Setup'!$B$4,"Other sprint",IF($C1793="","Unassigned",IF(OR(ISNUMBER(SEARCH(",",$C1793)),ISNUMBER(SEARCH(";",$C1793))),"Multiple assignees",IF(COUNTIF('Team Setup'!$B$10:$B$34,$C1793)=1,"Matched","Unmatched")))))</x:f>
      </x:c>
      <x:c r="G1793" s="13" t="str">
        <x:f>IF($A1793="","",IF($D1793&lt;&gt;'Team Setup'!$B$4,"Other sprint",IF($E1793="","Unestimated",IF(NOT(ISNUMBER($E1793)),"Check estimate in hours",IF($E1793&lt;0,"Check estimate in hours",IF($E1793=0,"Unestimated","Estimated"))))))</x:f>
      </x:c>
    </x:row>
    <x:row r="1794">
      <x:c r="A1794" s="12"/>
      <x:c r="B1794" s="12"/>
      <x:c r="C1794" s="12"/>
      <x:c r="D1794" s="12"/>
      <x:c r="E1794" s="14"/>
      <x:c r="F1794" s="13" t="str">
        <x:f>IF($A1794="","",IF($D1794&lt;&gt;'Team Setup'!$B$4,"Other sprint",IF($C1794="","Unassigned",IF(OR(ISNUMBER(SEARCH(",",$C1794)),ISNUMBER(SEARCH(";",$C1794))),"Multiple assignees",IF(COUNTIF('Team Setup'!$B$10:$B$34,$C1794)=1,"Matched","Unmatched")))))</x:f>
      </x:c>
      <x:c r="G1794" s="13" t="str">
        <x:f>IF($A1794="","",IF($D1794&lt;&gt;'Team Setup'!$B$4,"Other sprint",IF($E1794="","Unestimated",IF(NOT(ISNUMBER($E1794)),"Check estimate in hours",IF($E1794&lt;0,"Check estimate in hours",IF($E1794=0,"Unestimated","Estimated"))))))</x:f>
      </x:c>
    </x:row>
    <x:row r="1795">
      <x:c r="A1795" s="12"/>
      <x:c r="B1795" s="12"/>
      <x:c r="C1795" s="12"/>
      <x:c r="D1795" s="12"/>
      <x:c r="E1795" s="14"/>
      <x:c r="F1795" s="13" t="str">
        <x:f>IF($A1795="","",IF($D1795&lt;&gt;'Team Setup'!$B$4,"Other sprint",IF($C1795="","Unassigned",IF(OR(ISNUMBER(SEARCH(",",$C1795)),ISNUMBER(SEARCH(";",$C1795))),"Multiple assignees",IF(COUNTIF('Team Setup'!$B$10:$B$34,$C1795)=1,"Matched","Unmatched")))))</x:f>
      </x:c>
      <x:c r="G1795" s="13" t="str">
        <x:f>IF($A1795="","",IF($D1795&lt;&gt;'Team Setup'!$B$4,"Other sprint",IF($E1795="","Unestimated",IF(NOT(ISNUMBER($E1795)),"Check estimate in hours",IF($E1795&lt;0,"Check estimate in hours",IF($E1795=0,"Unestimated","Estimated"))))))</x:f>
      </x:c>
    </x:row>
    <x:row r="1796">
      <x:c r="A1796" s="12"/>
      <x:c r="B1796" s="12"/>
      <x:c r="C1796" s="12"/>
      <x:c r="D1796" s="12"/>
      <x:c r="E1796" s="14"/>
      <x:c r="F1796" s="13" t="str">
        <x:f>IF($A1796="","",IF($D1796&lt;&gt;'Team Setup'!$B$4,"Other sprint",IF($C1796="","Unassigned",IF(OR(ISNUMBER(SEARCH(",",$C1796)),ISNUMBER(SEARCH(";",$C1796))),"Multiple assignees",IF(COUNTIF('Team Setup'!$B$10:$B$34,$C1796)=1,"Matched","Unmatched")))))</x:f>
      </x:c>
      <x:c r="G1796" s="13" t="str">
        <x:f>IF($A1796="","",IF($D1796&lt;&gt;'Team Setup'!$B$4,"Other sprint",IF($E1796="","Unestimated",IF(NOT(ISNUMBER($E1796)),"Check estimate in hours",IF($E1796&lt;0,"Check estimate in hours",IF($E1796=0,"Unestimated","Estimated"))))))</x:f>
      </x:c>
    </x:row>
    <x:row r="1797">
      <x:c r="A1797" s="12"/>
      <x:c r="B1797" s="12"/>
      <x:c r="C1797" s="12"/>
      <x:c r="D1797" s="12"/>
      <x:c r="E1797" s="14"/>
      <x:c r="F1797" s="13" t="str">
        <x:f>IF($A1797="","",IF($D1797&lt;&gt;'Team Setup'!$B$4,"Other sprint",IF($C1797="","Unassigned",IF(OR(ISNUMBER(SEARCH(",",$C1797)),ISNUMBER(SEARCH(";",$C1797))),"Multiple assignees",IF(COUNTIF('Team Setup'!$B$10:$B$34,$C1797)=1,"Matched","Unmatched")))))</x:f>
      </x:c>
      <x:c r="G1797" s="13" t="str">
        <x:f>IF($A1797="","",IF($D1797&lt;&gt;'Team Setup'!$B$4,"Other sprint",IF($E1797="","Unestimated",IF(NOT(ISNUMBER($E1797)),"Check estimate in hours",IF($E1797&lt;0,"Check estimate in hours",IF($E1797=0,"Unestimated","Estimated"))))))</x:f>
      </x:c>
    </x:row>
    <x:row r="1798">
      <x:c r="A1798" s="12"/>
      <x:c r="B1798" s="12"/>
      <x:c r="C1798" s="12"/>
      <x:c r="D1798" s="12"/>
      <x:c r="E1798" s="14"/>
      <x:c r="F1798" s="13" t="str">
        <x:f>IF($A1798="","",IF($D1798&lt;&gt;'Team Setup'!$B$4,"Other sprint",IF($C1798="","Unassigned",IF(OR(ISNUMBER(SEARCH(",",$C1798)),ISNUMBER(SEARCH(";",$C1798))),"Multiple assignees",IF(COUNTIF('Team Setup'!$B$10:$B$34,$C1798)=1,"Matched","Unmatched")))))</x:f>
      </x:c>
      <x:c r="G1798" s="13" t="str">
        <x:f>IF($A1798="","",IF($D1798&lt;&gt;'Team Setup'!$B$4,"Other sprint",IF($E1798="","Unestimated",IF(NOT(ISNUMBER($E1798)),"Check estimate in hours",IF($E1798&lt;0,"Check estimate in hours",IF($E1798=0,"Unestimated","Estimated"))))))</x:f>
      </x:c>
    </x:row>
    <x:row r="1799">
      <x:c r="A1799" s="12"/>
      <x:c r="B1799" s="12"/>
      <x:c r="C1799" s="12"/>
      <x:c r="D1799" s="12"/>
      <x:c r="E1799" s="14"/>
      <x:c r="F1799" s="13" t="str">
        <x:f>IF($A1799="","",IF($D1799&lt;&gt;'Team Setup'!$B$4,"Other sprint",IF($C1799="","Unassigned",IF(OR(ISNUMBER(SEARCH(",",$C1799)),ISNUMBER(SEARCH(";",$C1799))),"Multiple assignees",IF(COUNTIF('Team Setup'!$B$10:$B$34,$C1799)=1,"Matched","Unmatched")))))</x:f>
      </x:c>
      <x:c r="G1799" s="13" t="str">
        <x:f>IF($A1799="","",IF($D1799&lt;&gt;'Team Setup'!$B$4,"Other sprint",IF($E1799="","Unestimated",IF(NOT(ISNUMBER($E1799)),"Check estimate in hours",IF($E1799&lt;0,"Check estimate in hours",IF($E1799=0,"Unestimated","Estimated"))))))</x:f>
      </x:c>
    </x:row>
    <x:row r="1800">
      <x:c r="A1800" s="12"/>
      <x:c r="B1800" s="12"/>
      <x:c r="C1800" s="12"/>
      <x:c r="D1800" s="12"/>
      <x:c r="E1800" s="14"/>
      <x:c r="F1800" s="13" t="str">
        <x:f>IF($A1800="","",IF($D1800&lt;&gt;'Team Setup'!$B$4,"Other sprint",IF($C1800="","Unassigned",IF(OR(ISNUMBER(SEARCH(",",$C1800)),ISNUMBER(SEARCH(";",$C1800))),"Multiple assignees",IF(COUNTIF('Team Setup'!$B$10:$B$34,$C1800)=1,"Matched","Unmatched")))))</x:f>
      </x:c>
      <x:c r="G1800" s="13" t="str">
        <x:f>IF($A1800="","",IF($D1800&lt;&gt;'Team Setup'!$B$4,"Other sprint",IF($E1800="","Unestimated",IF(NOT(ISNUMBER($E1800)),"Check estimate in hours",IF($E1800&lt;0,"Check estimate in hours",IF($E1800=0,"Unestimated","Estimated"))))))</x:f>
      </x:c>
    </x:row>
    <x:row r="1801">
      <x:c r="A1801" s="12"/>
      <x:c r="B1801" s="12"/>
      <x:c r="C1801" s="12"/>
      <x:c r="D1801" s="12"/>
      <x:c r="E1801" s="14"/>
      <x:c r="F1801" s="13" t="str">
        <x:f>IF($A1801="","",IF($D1801&lt;&gt;'Team Setup'!$B$4,"Other sprint",IF($C1801="","Unassigned",IF(OR(ISNUMBER(SEARCH(",",$C1801)),ISNUMBER(SEARCH(";",$C1801))),"Multiple assignees",IF(COUNTIF('Team Setup'!$B$10:$B$34,$C1801)=1,"Matched","Unmatched")))))</x:f>
      </x:c>
      <x:c r="G1801" s="13" t="str">
        <x:f>IF($A1801="","",IF($D1801&lt;&gt;'Team Setup'!$B$4,"Other sprint",IF($E1801="","Unestimated",IF(NOT(ISNUMBER($E1801)),"Check estimate in hours",IF($E1801&lt;0,"Check estimate in hours",IF($E1801=0,"Unestimated","Estimated"))))))</x:f>
      </x:c>
    </x:row>
    <x:row r="1802">
      <x:c r="A1802" s="12"/>
      <x:c r="B1802" s="12"/>
      <x:c r="C1802" s="12"/>
      <x:c r="D1802" s="12"/>
      <x:c r="E1802" s="14"/>
      <x:c r="F1802" s="13" t="str">
        <x:f>IF($A1802="","",IF($D1802&lt;&gt;'Team Setup'!$B$4,"Other sprint",IF($C1802="","Unassigned",IF(OR(ISNUMBER(SEARCH(",",$C1802)),ISNUMBER(SEARCH(";",$C1802))),"Multiple assignees",IF(COUNTIF('Team Setup'!$B$10:$B$34,$C1802)=1,"Matched","Unmatched")))))</x:f>
      </x:c>
      <x:c r="G1802" s="13" t="str">
        <x:f>IF($A1802="","",IF($D1802&lt;&gt;'Team Setup'!$B$4,"Other sprint",IF($E1802="","Unestimated",IF(NOT(ISNUMBER($E1802)),"Check estimate in hours",IF($E1802&lt;0,"Check estimate in hours",IF($E1802=0,"Unestimated","Estimated"))))))</x:f>
      </x:c>
    </x:row>
    <x:row r="1803">
      <x:c r="A1803" s="12"/>
      <x:c r="B1803" s="12"/>
      <x:c r="C1803" s="12"/>
      <x:c r="D1803" s="12"/>
      <x:c r="E1803" s="14"/>
      <x:c r="F1803" s="13" t="str">
        <x:f>IF($A1803="","",IF($D1803&lt;&gt;'Team Setup'!$B$4,"Other sprint",IF($C1803="","Unassigned",IF(OR(ISNUMBER(SEARCH(",",$C1803)),ISNUMBER(SEARCH(";",$C1803))),"Multiple assignees",IF(COUNTIF('Team Setup'!$B$10:$B$34,$C1803)=1,"Matched","Unmatched")))))</x:f>
      </x:c>
      <x:c r="G1803" s="13" t="str">
        <x:f>IF($A1803="","",IF($D1803&lt;&gt;'Team Setup'!$B$4,"Other sprint",IF($E1803="","Unestimated",IF(NOT(ISNUMBER($E1803)),"Check estimate in hours",IF($E1803&lt;0,"Check estimate in hours",IF($E1803=0,"Unestimated","Estimated"))))))</x:f>
      </x:c>
    </x:row>
    <x:row r="1804">
      <x:c r="A1804" s="12"/>
      <x:c r="B1804" s="12"/>
      <x:c r="C1804" s="12"/>
      <x:c r="D1804" s="12"/>
      <x:c r="E1804" s="14"/>
      <x:c r="F1804" s="13" t="str">
        <x:f>IF($A1804="","",IF($D1804&lt;&gt;'Team Setup'!$B$4,"Other sprint",IF($C1804="","Unassigned",IF(OR(ISNUMBER(SEARCH(",",$C1804)),ISNUMBER(SEARCH(";",$C1804))),"Multiple assignees",IF(COUNTIF('Team Setup'!$B$10:$B$34,$C1804)=1,"Matched","Unmatched")))))</x:f>
      </x:c>
      <x:c r="G1804" s="13" t="str">
        <x:f>IF($A1804="","",IF($D1804&lt;&gt;'Team Setup'!$B$4,"Other sprint",IF($E1804="","Unestimated",IF(NOT(ISNUMBER($E1804)),"Check estimate in hours",IF($E1804&lt;0,"Check estimate in hours",IF($E1804=0,"Unestimated","Estimated"))))))</x:f>
      </x:c>
    </x:row>
    <x:row r="1805">
      <x:c r="A1805" s="12"/>
      <x:c r="B1805" s="12"/>
      <x:c r="C1805" s="12"/>
      <x:c r="D1805" s="12"/>
      <x:c r="E1805" s="14"/>
      <x:c r="F1805" s="13" t="str">
        <x:f>IF($A1805="","",IF($D1805&lt;&gt;'Team Setup'!$B$4,"Other sprint",IF($C1805="","Unassigned",IF(OR(ISNUMBER(SEARCH(",",$C1805)),ISNUMBER(SEARCH(";",$C1805))),"Multiple assignees",IF(COUNTIF('Team Setup'!$B$10:$B$34,$C1805)=1,"Matched","Unmatched")))))</x:f>
      </x:c>
      <x:c r="G1805" s="13" t="str">
        <x:f>IF($A1805="","",IF($D1805&lt;&gt;'Team Setup'!$B$4,"Other sprint",IF($E1805="","Unestimated",IF(NOT(ISNUMBER($E1805)),"Check estimate in hours",IF($E1805&lt;0,"Check estimate in hours",IF($E1805=0,"Unestimated","Estimated"))))))</x:f>
      </x:c>
    </x:row>
    <x:row r="1806">
      <x:c r="A1806" s="12"/>
      <x:c r="B1806" s="12"/>
      <x:c r="C1806" s="12"/>
      <x:c r="D1806" s="12"/>
      <x:c r="E1806" s="14"/>
      <x:c r="F1806" s="13" t="str">
        <x:f>IF($A1806="","",IF($D1806&lt;&gt;'Team Setup'!$B$4,"Other sprint",IF($C1806="","Unassigned",IF(OR(ISNUMBER(SEARCH(",",$C1806)),ISNUMBER(SEARCH(";",$C1806))),"Multiple assignees",IF(COUNTIF('Team Setup'!$B$10:$B$34,$C1806)=1,"Matched","Unmatched")))))</x:f>
      </x:c>
      <x:c r="G1806" s="13" t="str">
        <x:f>IF($A1806="","",IF($D1806&lt;&gt;'Team Setup'!$B$4,"Other sprint",IF($E1806="","Unestimated",IF(NOT(ISNUMBER($E1806)),"Check estimate in hours",IF($E1806&lt;0,"Check estimate in hours",IF($E1806=0,"Unestimated","Estimated"))))))</x:f>
      </x:c>
    </x:row>
    <x:row r="1807">
      <x:c r="A1807" s="12"/>
      <x:c r="B1807" s="12"/>
      <x:c r="C1807" s="12"/>
      <x:c r="D1807" s="12"/>
      <x:c r="E1807" s="14"/>
      <x:c r="F1807" s="13" t="str">
        <x:f>IF($A1807="","",IF($D1807&lt;&gt;'Team Setup'!$B$4,"Other sprint",IF($C1807="","Unassigned",IF(OR(ISNUMBER(SEARCH(",",$C1807)),ISNUMBER(SEARCH(";",$C1807))),"Multiple assignees",IF(COUNTIF('Team Setup'!$B$10:$B$34,$C1807)=1,"Matched","Unmatched")))))</x:f>
      </x:c>
      <x:c r="G1807" s="13" t="str">
        <x:f>IF($A1807="","",IF($D1807&lt;&gt;'Team Setup'!$B$4,"Other sprint",IF($E1807="","Unestimated",IF(NOT(ISNUMBER($E1807)),"Check estimate in hours",IF($E1807&lt;0,"Check estimate in hours",IF($E1807=0,"Unestimated","Estimated"))))))</x:f>
      </x:c>
    </x:row>
    <x:row r="1808">
      <x:c r="A1808" s="12"/>
      <x:c r="B1808" s="12"/>
      <x:c r="C1808" s="12"/>
      <x:c r="D1808" s="12"/>
      <x:c r="E1808" s="14"/>
      <x:c r="F1808" s="13" t="str">
        <x:f>IF($A1808="","",IF($D1808&lt;&gt;'Team Setup'!$B$4,"Other sprint",IF($C1808="","Unassigned",IF(OR(ISNUMBER(SEARCH(",",$C1808)),ISNUMBER(SEARCH(";",$C1808))),"Multiple assignees",IF(COUNTIF('Team Setup'!$B$10:$B$34,$C1808)=1,"Matched","Unmatched")))))</x:f>
      </x:c>
      <x:c r="G1808" s="13" t="str">
        <x:f>IF($A1808="","",IF($D1808&lt;&gt;'Team Setup'!$B$4,"Other sprint",IF($E1808="","Unestimated",IF(NOT(ISNUMBER($E1808)),"Check estimate in hours",IF($E1808&lt;0,"Check estimate in hours",IF($E1808=0,"Unestimated","Estimated"))))))</x:f>
      </x:c>
    </x:row>
    <x:row r="1809">
      <x:c r="A1809" s="12"/>
      <x:c r="B1809" s="12"/>
      <x:c r="C1809" s="12"/>
      <x:c r="D1809" s="12"/>
      <x:c r="E1809" s="14"/>
      <x:c r="F1809" s="13" t="str">
        <x:f>IF($A1809="","",IF($D1809&lt;&gt;'Team Setup'!$B$4,"Other sprint",IF($C1809="","Unassigned",IF(OR(ISNUMBER(SEARCH(",",$C1809)),ISNUMBER(SEARCH(";",$C1809))),"Multiple assignees",IF(COUNTIF('Team Setup'!$B$10:$B$34,$C1809)=1,"Matched","Unmatched")))))</x:f>
      </x:c>
      <x:c r="G1809" s="13" t="str">
        <x:f>IF($A1809="","",IF($D1809&lt;&gt;'Team Setup'!$B$4,"Other sprint",IF($E1809="","Unestimated",IF(NOT(ISNUMBER($E1809)),"Check estimate in hours",IF($E1809&lt;0,"Check estimate in hours",IF($E1809=0,"Unestimated","Estimated"))))))</x:f>
      </x:c>
    </x:row>
    <x:row r="1810">
      <x:c r="A1810" s="12"/>
      <x:c r="B1810" s="12"/>
      <x:c r="C1810" s="12"/>
      <x:c r="D1810" s="12"/>
      <x:c r="E1810" s="14"/>
      <x:c r="F1810" s="13" t="str">
        <x:f>IF($A1810="","",IF($D1810&lt;&gt;'Team Setup'!$B$4,"Other sprint",IF($C1810="","Unassigned",IF(OR(ISNUMBER(SEARCH(",",$C1810)),ISNUMBER(SEARCH(";",$C1810))),"Multiple assignees",IF(COUNTIF('Team Setup'!$B$10:$B$34,$C1810)=1,"Matched","Unmatched")))))</x:f>
      </x:c>
      <x:c r="G1810" s="13" t="str">
        <x:f>IF($A1810="","",IF($D1810&lt;&gt;'Team Setup'!$B$4,"Other sprint",IF($E1810="","Unestimated",IF(NOT(ISNUMBER($E1810)),"Check estimate in hours",IF($E1810&lt;0,"Check estimate in hours",IF($E1810=0,"Unestimated","Estimated"))))))</x:f>
      </x:c>
    </x:row>
    <x:row r="1811">
      <x:c r="A1811" s="12"/>
      <x:c r="B1811" s="12"/>
      <x:c r="C1811" s="12"/>
      <x:c r="D1811" s="12"/>
      <x:c r="E1811" s="14"/>
      <x:c r="F1811" s="13" t="str">
        <x:f>IF($A1811="","",IF($D1811&lt;&gt;'Team Setup'!$B$4,"Other sprint",IF($C1811="","Unassigned",IF(OR(ISNUMBER(SEARCH(",",$C1811)),ISNUMBER(SEARCH(";",$C1811))),"Multiple assignees",IF(COUNTIF('Team Setup'!$B$10:$B$34,$C1811)=1,"Matched","Unmatched")))))</x:f>
      </x:c>
      <x:c r="G1811" s="13" t="str">
        <x:f>IF($A1811="","",IF($D1811&lt;&gt;'Team Setup'!$B$4,"Other sprint",IF($E1811="","Unestimated",IF(NOT(ISNUMBER($E1811)),"Check estimate in hours",IF($E1811&lt;0,"Check estimate in hours",IF($E1811=0,"Unestimated","Estimated"))))))</x:f>
      </x:c>
    </x:row>
    <x:row r="1812">
      <x:c r="A1812" s="12"/>
      <x:c r="B1812" s="12"/>
      <x:c r="C1812" s="12"/>
      <x:c r="D1812" s="12"/>
      <x:c r="E1812" s="14"/>
      <x:c r="F1812" s="13" t="str">
        <x:f>IF($A1812="","",IF($D1812&lt;&gt;'Team Setup'!$B$4,"Other sprint",IF($C1812="","Unassigned",IF(OR(ISNUMBER(SEARCH(",",$C1812)),ISNUMBER(SEARCH(";",$C1812))),"Multiple assignees",IF(COUNTIF('Team Setup'!$B$10:$B$34,$C1812)=1,"Matched","Unmatched")))))</x:f>
      </x:c>
      <x:c r="G1812" s="13" t="str">
        <x:f>IF($A1812="","",IF($D1812&lt;&gt;'Team Setup'!$B$4,"Other sprint",IF($E1812="","Unestimated",IF(NOT(ISNUMBER($E1812)),"Check estimate in hours",IF($E1812&lt;0,"Check estimate in hours",IF($E1812=0,"Unestimated","Estimated"))))))</x:f>
      </x:c>
    </x:row>
    <x:row r="1813">
      <x:c r="A1813" s="12"/>
      <x:c r="B1813" s="12"/>
      <x:c r="C1813" s="12"/>
      <x:c r="D1813" s="12"/>
      <x:c r="E1813" s="14"/>
      <x:c r="F1813" s="13" t="str">
        <x:f>IF($A1813="","",IF($D1813&lt;&gt;'Team Setup'!$B$4,"Other sprint",IF($C1813="","Unassigned",IF(OR(ISNUMBER(SEARCH(",",$C1813)),ISNUMBER(SEARCH(";",$C1813))),"Multiple assignees",IF(COUNTIF('Team Setup'!$B$10:$B$34,$C1813)=1,"Matched","Unmatched")))))</x:f>
      </x:c>
      <x:c r="G1813" s="13" t="str">
        <x:f>IF($A1813="","",IF($D1813&lt;&gt;'Team Setup'!$B$4,"Other sprint",IF($E1813="","Unestimated",IF(NOT(ISNUMBER($E1813)),"Check estimate in hours",IF($E1813&lt;0,"Check estimate in hours",IF($E1813=0,"Unestimated","Estimated"))))))</x:f>
      </x:c>
    </x:row>
    <x:row r="1814">
      <x:c r="A1814" s="12"/>
      <x:c r="B1814" s="12"/>
      <x:c r="C1814" s="12"/>
      <x:c r="D1814" s="12"/>
      <x:c r="E1814" s="14"/>
      <x:c r="F1814" s="13" t="str">
        <x:f>IF($A1814="","",IF($D1814&lt;&gt;'Team Setup'!$B$4,"Other sprint",IF($C1814="","Unassigned",IF(OR(ISNUMBER(SEARCH(",",$C1814)),ISNUMBER(SEARCH(";",$C1814))),"Multiple assignees",IF(COUNTIF('Team Setup'!$B$10:$B$34,$C1814)=1,"Matched","Unmatched")))))</x:f>
      </x:c>
      <x:c r="G1814" s="13" t="str">
        <x:f>IF($A1814="","",IF($D1814&lt;&gt;'Team Setup'!$B$4,"Other sprint",IF($E1814="","Unestimated",IF(NOT(ISNUMBER($E1814)),"Check estimate in hours",IF($E1814&lt;0,"Check estimate in hours",IF($E1814=0,"Unestimated","Estimated"))))))</x:f>
      </x:c>
    </x:row>
    <x:row r="1815">
      <x:c r="A1815" s="12"/>
      <x:c r="B1815" s="12"/>
      <x:c r="C1815" s="12"/>
      <x:c r="D1815" s="12"/>
      <x:c r="E1815" s="14"/>
      <x:c r="F1815" s="13" t="str">
        <x:f>IF($A1815="","",IF($D1815&lt;&gt;'Team Setup'!$B$4,"Other sprint",IF($C1815="","Unassigned",IF(OR(ISNUMBER(SEARCH(",",$C1815)),ISNUMBER(SEARCH(";",$C1815))),"Multiple assignees",IF(COUNTIF('Team Setup'!$B$10:$B$34,$C1815)=1,"Matched","Unmatched")))))</x:f>
      </x:c>
      <x:c r="G1815" s="13" t="str">
        <x:f>IF($A1815="","",IF($D1815&lt;&gt;'Team Setup'!$B$4,"Other sprint",IF($E1815="","Unestimated",IF(NOT(ISNUMBER($E1815)),"Check estimate in hours",IF($E1815&lt;0,"Check estimate in hours",IF($E1815=0,"Unestimated","Estimated"))))))</x:f>
      </x:c>
    </x:row>
    <x:row r="1816">
      <x:c r="A1816" s="12"/>
      <x:c r="B1816" s="12"/>
      <x:c r="C1816" s="12"/>
      <x:c r="D1816" s="12"/>
      <x:c r="E1816" s="14"/>
      <x:c r="F1816" s="13" t="str">
        <x:f>IF($A1816="","",IF($D1816&lt;&gt;'Team Setup'!$B$4,"Other sprint",IF($C1816="","Unassigned",IF(OR(ISNUMBER(SEARCH(",",$C1816)),ISNUMBER(SEARCH(";",$C1816))),"Multiple assignees",IF(COUNTIF('Team Setup'!$B$10:$B$34,$C1816)=1,"Matched","Unmatched")))))</x:f>
      </x:c>
      <x:c r="G1816" s="13" t="str">
        <x:f>IF($A1816="","",IF($D1816&lt;&gt;'Team Setup'!$B$4,"Other sprint",IF($E1816="","Unestimated",IF(NOT(ISNUMBER($E1816)),"Check estimate in hours",IF($E1816&lt;0,"Check estimate in hours",IF($E1816=0,"Unestimated","Estimated"))))))</x:f>
      </x:c>
    </x:row>
    <x:row r="1817">
      <x:c r="A1817" s="12"/>
      <x:c r="B1817" s="12"/>
      <x:c r="C1817" s="12"/>
      <x:c r="D1817" s="12"/>
      <x:c r="E1817" s="14"/>
      <x:c r="F1817" s="13" t="str">
        <x:f>IF($A1817="","",IF($D1817&lt;&gt;'Team Setup'!$B$4,"Other sprint",IF($C1817="","Unassigned",IF(OR(ISNUMBER(SEARCH(",",$C1817)),ISNUMBER(SEARCH(";",$C1817))),"Multiple assignees",IF(COUNTIF('Team Setup'!$B$10:$B$34,$C1817)=1,"Matched","Unmatched")))))</x:f>
      </x:c>
      <x:c r="G1817" s="13" t="str">
        <x:f>IF($A1817="","",IF($D1817&lt;&gt;'Team Setup'!$B$4,"Other sprint",IF($E1817="","Unestimated",IF(NOT(ISNUMBER($E1817)),"Check estimate in hours",IF($E1817&lt;0,"Check estimate in hours",IF($E1817=0,"Unestimated","Estimated"))))))</x:f>
      </x:c>
    </x:row>
    <x:row r="1818">
      <x:c r="A1818" s="12"/>
      <x:c r="B1818" s="12"/>
      <x:c r="C1818" s="12"/>
      <x:c r="D1818" s="12"/>
      <x:c r="E1818" s="14"/>
      <x:c r="F1818" s="13" t="str">
        <x:f>IF($A1818="","",IF($D1818&lt;&gt;'Team Setup'!$B$4,"Other sprint",IF($C1818="","Unassigned",IF(OR(ISNUMBER(SEARCH(",",$C1818)),ISNUMBER(SEARCH(";",$C1818))),"Multiple assignees",IF(COUNTIF('Team Setup'!$B$10:$B$34,$C1818)=1,"Matched","Unmatched")))))</x:f>
      </x:c>
      <x:c r="G1818" s="13" t="str">
        <x:f>IF($A1818="","",IF($D1818&lt;&gt;'Team Setup'!$B$4,"Other sprint",IF($E1818="","Unestimated",IF(NOT(ISNUMBER($E1818)),"Check estimate in hours",IF($E1818&lt;0,"Check estimate in hours",IF($E1818=0,"Unestimated","Estimated"))))))</x:f>
      </x:c>
    </x:row>
    <x:row r="1819">
      <x:c r="A1819" s="12"/>
      <x:c r="B1819" s="12"/>
      <x:c r="C1819" s="12"/>
      <x:c r="D1819" s="12"/>
      <x:c r="E1819" s="14"/>
      <x:c r="F1819" s="13" t="str">
        <x:f>IF($A1819="","",IF($D1819&lt;&gt;'Team Setup'!$B$4,"Other sprint",IF($C1819="","Unassigned",IF(OR(ISNUMBER(SEARCH(",",$C1819)),ISNUMBER(SEARCH(";",$C1819))),"Multiple assignees",IF(COUNTIF('Team Setup'!$B$10:$B$34,$C1819)=1,"Matched","Unmatched")))))</x:f>
      </x:c>
      <x:c r="G1819" s="13" t="str">
        <x:f>IF($A1819="","",IF($D1819&lt;&gt;'Team Setup'!$B$4,"Other sprint",IF($E1819="","Unestimated",IF(NOT(ISNUMBER($E1819)),"Check estimate in hours",IF($E1819&lt;0,"Check estimate in hours",IF($E1819=0,"Unestimated","Estimated"))))))</x:f>
      </x:c>
    </x:row>
    <x:row r="1820">
      <x:c r="A1820" s="12"/>
      <x:c r="B1820" s="12"/>
      <x:c r="C1820" s="12"/>
      <x:c r="D1820" s="12"/>
      <x:c r="E1820" s="14"/>
      <x:c r="F1820" s="13" t="str">
        <x:f>IF($A1820="","",IF($D1820&lt;&gt;'Team Setup'!$B$4,"Other sprint",IF($C1820="","Unassigned",IF(OR(ISNUMBER(SEARCH(",",$C1820)),ISNUMBER(SEARCH(";",$C1820))),"Multiple assignees",IF(COUNTIF('Team Setup'!$B$10:$B$34,$C1820)=1,"Matched","Unmatched")))))</x:f>
      </x:c>
      <x:c r="G1820" s="13" t="str">
        <x:f>IF($A1820="","",IF($D1820&lt;&gt;'Team Setup'!$B$4,"Other sprint",IF($E1820="","Unestimated",IF(NOT(ISNUMBER($E1820)),"Check estimate in hours",IF($E1820&lt;0,"Check estimate in hours",IF($E1820=0,"Unestimated","Estimated"))))))</x:f>
      </x:c>
    </x:row>
    <x:row r="1821">
      <x:c r="A1821" s="12"/>
      <x:c r="B1821" s="12"/>
      <x:c r="C1821" s="12"/>
      <x:c r="D1821" s="12"/>
      <x:c r="E1821" s="14"/>
      <x:c r="F1821" s="13" t="str">
        <x:f>IF($A1821="","",IF($D1821&lt;&gt;'Team Setup'!$B$4,"Other sprint",IF($C1821="","Unassigned",IF(OR(ISNUMBER(SEARCH(",",$C1821)),ISNUMBER(SEARCH(";",$C1821))),"Multiple assignees",IF(COUNTIF('Team Setup'!$B$10:$B$34,$C1821)=1,"Matched","Unmatched")))))</x:f>
      </x:c>
      <x:c r="G1821" s="13" t="str">
        <x:f>IF($A1821="","",IF($D1821&lt;&gt;'Team Setup'!$B$4,"Other sprint",IF($E1821="","Unestimated",IF(NOT(ISNUMBER($E1821)),"Check estimate in hours",IF($E1821&lt;0,"Check estimate in hours",IF($E1821=0,"Unestimated","Estimated"))))))</x:f>
      </x:c>
    </x:row>
    <x:row r="1822">
      <x:c r="A1822" s="12"/>
      <x:c r="B1822" s="12"/>
      <x:c r="C1822" s="12"/>
      <x:c r="D1822" s="12"/>
      <x:c r="E1822" s="14"/>
      <x:c r="F1822" s="13" t="str">
        <x:f>IF($A1822="","",IF($D1822&lt;&gt;'Team Setup'!$B$4,"Other sprint",IF($C1822="","Unassigned",IF(OR(ISNUMBER(SEARCH(",",$C1822)),ISNUMBER(SEARCH(";",$C1822))),"Multiple assignees",IF(COUNTIF('Team Setup'!$B$10:$B$34,$C1822)=1,"Matched","Unmatched")))))</x:f>
      </x:c>
      <x:c r="G1822" s="13" t="str">
        <x:f>IF($A1822="","",IF($D1822&lt;&gt;'Team Setup'!$B$4,"Other sprint",IF($E1822="","Unestimated",IF(NOT(ISNUMBER($E1822)),"Check estimate in hours",IF($E1822&lt;0,"Check estimate in hours",IF($E1822=0,"Unestimated","Estimated"))))))</x:f>
      </x:c>
    </x:row>
    <x:row r="1823">
      <x:c r="A1823" s="12"/>
      <x:c r="B1823" s="12"/>
      <x:c r="C1823" s="12"/>
      <x:c r="D1823" s="12"/>
      <x:c r="E1823" s="14"/>
      <x:c r="F1823" s="13" t="str">
        <x:f>IF($A1823="","",IF($D1823&lt;&gt;'Team Setup'!$B$4,"Other sprint",IF($C1823="","Unassigned",IF(OR(ISNUMBER(SEARCH(",",$C1823)),ISNUMBER(SEARCH(";",$C1823))),"Multiple assignees",IF(COUNTIF('Team Setup'!$B$10:$B$34,$C1823)=1,"Matched","Unmatched")))))</x:f>
      </x:c>
      <x:c r="G1823" s="13" t="str">
        <x:f>IF($A1823="","",IF($D1823&lt;&gt;'Team Setup'!$B$4,"Other sprint",IF($E1823="","Unestimated",IF(NOT(ISNUMBER($E1823)),"Check estimate in hours",IF($E1823&lt;0,"Check estimate in hours",IF($E1823=0,"Unestimated","Estimated"))))))</x:f>
      </x:c>
    </x:row>
    <x:row r="1824">
      <x:c r="A1824" s="12"/>
      <x:c r="B1824" s="12"/>
      <x:c r="C1824" s="12"/>
      <x:c r="D1824" s="12"/>
      <x:c r="E1824" s="14"/>
      <x:c r="F1824" s="13" t="str">
        <x:f>IF($A1824="","",IF($D1824&lt;&gt;'Team Setup'!$B$4,"Other sprint",IF($C1824="","Unassigned",IF(OR(ISNUMBER(SEARCH(",",$C1824)),ISNUMBER(SEARCH(";",$C1824))),"Multiple assignees",IF(COUNTIF('Team Setup'!$B$10:$B$34,$C1824)=1,"Matched","Unmatched")))))</x:f>
      </x:c>
      <x:c r="G1824" s="13" t="str">
        <x:f>IF($A1824="","",IF($D1824&lt;&gt;'Team Setup'!$B$4,"Other sprint",IF($E1824="","Unestimated",IF(NOT(ISNUMBER($E1824)),"Check estimate in hours",IF($E1824&lt;0,"Check estimate in hours",IF($E1824=0,"Unestimated","Estimated"))))))</x:f>
      </x:c>
    </x:row>
    <x:row r="1825">
      <x:c r="A1825" s="12"/>
      <x:c r="B1825" s="12"/>
      <x:c r="C1825" s="12"/>
      <x:c r="D1825" s="12"/>
      <x:c r="E1825" s="14"/>
      <x:c r="F1825" s="13" t="str">
        <x:f>IF($A1825="","",IF($D1825&lt;&gt;'Team Setup'!$B$4,"Other sprint",IF($C1825="","Unassigned",IF(OR(ISNUMBER(SEARCH(",",$C1825)),ISNUMBER(SEARCH(";",$C1825))),"Multiple assignees",IF(COUNTIF('Team Setup'!$B$10:$B$34,$C1825)=1,"Matched","Unmatched")))))</x:f>
      </x:c>
      <x:c r="G1825" s="13" t="str">
        <x:f>IF($A1825="","",IF($D1825&lt;&gt;'Team Setup'!$B$4,"Other sprint",IF($E1825="","Unestimated",IF(NOT(ISNUMBER($E1825)),"Check estimate in hours",IF($E1825&lt;0,"Check estimate in hours",IF($E1825=0,"Unestimated","Estimated"))))))</x:f>
      </x:c>
    </x:row>
    <x:row r="1826">
      <x:c r="A1826" s="12"/>
      <x:c r="B1826" s="12"/>
      <x:c r="C1826" s="12"/>
      <x:c r="D1826" s="12"/>
      <x:c r="E1826" s="14"/>
      <x:c r="F1826" s="13" t="str">
        <x:f>IF($A1826="","",IF($D1826&lt;&gt;'Team Setup'!$B$4,"Other sprint",IF($C1826="","Unassigned",IF(OR(ISNUMBER(SEARCH(",",$C1826)),ISNUMBER(SEARCH(";",$C1826))),"Multiple assignees",IF(COUNTIF('Team Setup'!$B$10:$B$34,$C1826)=1,"Matched","Unmatched")))))</x:f>
      </x:c>
      <x:c r="G1826" s="13" t="str">
        <x:f>IF($A1826="","",IF($D1826&lt;&gt;'Team Setup'!$B$4,"Other sprint",IF($E1826="","Unestimated",IF(NOT(ISNUMBER($E1826)),"Check estimate in hours",IF($E1826&lt;0,"Check estimate in hours",IF($E1826=0,"Unestimated","Estimated"))))))</x:f>
      </x:c>
    </x:row>
    <x:row r="1827">
      <x:c r="A1827" s="12"/>
      <x:c r="B1827" s="12"/>
      <x:c r="C1827" s="12"/>
      <x:c r="D1827" s="12"/>
      <x:c r="E1827" s="14"/>
      <x:c r="F1827" s="13" t="str">
        <x:f>IF($A1827="","",IF($D1827&lt;&gt;'Team Setup'!$B$4,"Other sprint",IF($C1827="","Unassigned",IF(OR(ISNUMBER(SEARCH(",",$C1827)),ISNUMBER(SEARCH(";",$C1827))),"Multiple assignees",IF(COUNTIF('Team Setup'!$B$10:$B$34,$C1827)=1,"Matched","Unmatched")))))</x:f>
      </x:c>
      <x:c r="G1827" s="13" t="str">
        <x:f>IF($A1827="","",IF($D1827&lt;&gt;'Team Setup'!$B$4,"Other sprint",IF($E1827="","Unestimated",IF(NOT(ISNUMBER($E1827)),"Check estimate in hours",IF($E1827&lt;0,"Check estimate in hours",IF($E1827=0,"Unestimated","Estimated"))))))</x:f>
      </x:c>
    </x:row>
    <x:row r="1828">
      <x:c r="A1828" s="12"/>
      <x:c r="B1828" s="12"/>
      <x:c r="C1828" s="12"/>
      <x:c r="D1828" s="12"/>
      <x:c r="E1828" s="14"/>
      <x:c r="F1828" s="13" t="str">
        <x:f>IF($A1828="","",IF($D1828&lt;&gt;'Team Setup'!$B$4,"Other sprint",IF($C1828="","Unassigned",IF(OR(ISNUMBER(SEARCH(",",$C1828)),ISNUMBER(SEARCH(";",$C1828))),"Multiple assignees",IF(COUNTIF('Team Setup'!$B$10:$B$34,$C1828)=1,"Matched","Unmatched")))))</x:f>
      </x:c>
      <x:c r="G1828" s="13" t="str">
        <x:f>IF($A1828="","",IF($D1828&lt;&gt;'Team Setup'!$B$4,"Other sprint",IF($E1828="","Unestimated",IF(NOT(ISNUMBER($E1828)),"Check estimate in hours",IF($E1828&lt;0,"Check estimate in hours",IF($E1828=0,"Unestimated","Estimated"))))))</x:f>
      </x:c>
    </x:row>
    <x:row r="1829">
      <x:c r="A1829" s="12"/>
      <x:c r="B1829" s="12"/>
      <x:c r="C1829" s="12"/>
      <x:c r="D1829" s="12"/>
      <x:c r="E1829" s="14"/>
      <x:c r="F1829" s="13" t="str">
        <x:f>IF($A1829="","",IF($D1829&lt;&gt;'Team Setup'!$B$4,"Other sprint",IF($C1829="","Unassigned",IF(OR(ISNUMBER(SEARCH(",",$C1829)),ISNUMBER(SEARCH(";",$C1829))),"Multiple assignees",IF(COUNTIF('Team Setup'!$B$10:$B$34,$C1829)=1,"Matched","Unmatched")))))</x:f>
      </x:c>
      <x:c r="G1829" s="13" t="str">
        <x:f>IF($A1829="","",IF($D1829&lt;&gt;'Team Setup'!$B$4,"Other sprint",IF($E1829="","Unestimated",IF(NOT(ISNUMBER($E1829)),"Check estimate in hours",IF($E1829&lt;0,"Check estimate in hours",IF($E1829=0,"Unestimated","Estimated"))))))</x:f>
      </x:c>
    </x:row>
    <x:row r="1830">
      <x:c r="A1830" s="12"/>
      <x:c r="B1830" s="12"/>
      <x:c r="C1830" s="12"/>
      <x:c r="D1830" s="12"/>
      <x:c r="E1830" s="14"/>
      <x:c r="F1830" s="13" t="str">
        <x:f>IF($A1830="","",IF($D1830&lt;&gt;'Team Setup'!$B$4,"Other sprint",IF($C1830="","Unassigned",IF(OR(ISNUMBER(SEARCH(",",$C1830)),ISNUMBER(SEARCH(";",$C1830))),"Multiple assignees",IF(COUNTIF('Team Setup'!$B$10:$B$34,$C1830)=1,"Matched","Unmatched")))))</x:f>
      </x:c>
      <x:c r="G1830" s="13" t="str">
        <x:f>IF($A1830="","",IF($D1830&lt;&gt;'Team Setup'!$B$4,"Other sprint",IF($E1830="","Unestimated",IF(NOT(ISNUMBER($E1830)),"Check estimate in hours",IF($E1830&lt;0,"Check estimate in hours",IF($E1830=0,"Unestimated","Estimated"))))))</x:f>
      </x:c>
    </x:row>
    <x:row r="1831">
      <x:c r="A1831" s="12"/>
      <x:c r="B1831" s="12"/>
      <x:c r="C1831" s="12"/>
      <x:c r="D1831" s="12"/>
      <x:c r="E1831" s="14"/>
      <x:c r="F1831" s="13" t="str">
        <x:f>IF($A1831="","",IF($D1831&lt;&gt;'Team Setup'!$B$4,"Other sprint",IF($C1831="","Unassigned",IF(OR(ISNUMBER(SEARCH(",",$C1831)),ISNUMBER(SEARCH(";",$C1831))),"Multiple assignees",IF(COUNTIF('Team Setup'!$B$10:$B$34,$C1831)=1,"Matched","Unmatched")))))</x:f>
      </x:c>
      <x:c r="G1831" s="13" t="str">
        <x:f>IF($A1831="","",IF($D1831&lt;&gt;'Team Setup'!$B$4,"Other sprint",IF($E1831="","Unestimated",IF(NOT(ISNUMBER($E1831)),"Check estimate in hours",IF($E1831&lt;0,"Check estimate in hours",IF($E1831=0,"Unestimated","Estimated"))))))</x:f>
      </x:c>
    </x:row>
    <x:row r="1832">
      <x:c r="A1832" s="12"/>
      <x:c r="B1832" s="12"/>
      <x:c r="C1832" s="12"/>
      <x:c r="D1832" s="12"/>
      <x:c r="E1832" s="14"/>
      <x:c r="F1832" s="13" t="str">
        <x:f>IF($A1832="","",IF($D1832&lt;&gt;'Team Setup'!$B$4,"Other sprint",IF($C1832="","Unassigned",IF(OR(ISNUMBER(SEARCH(",",$C1832)),ISNUMBER(SEARCH(";",$C1832))),"Multiple assignees",IF(COUNTIF('Team Setup'!$B$10:$B$34,$C1832)=1,"Matched","Unmatched")))))</x:f>
      </x:c>
      <x:c r="G1832" s="13" t="str">
        <x:f>IF($A1832="","",IF($D1832&lt;&gt;'Team Setup'!$B$4,"Other sprint",IF($E1832="","Unestimated",IF(NOT(ISNUMBER($E1832)),"Check estimate in hours",IF($E1832&lt;0,"Check estimate in hours",IF($E1832=0,"Unestimated","Estimated"))))))</x:f>
      </x:c>
    </x:row>
    <x:row r="1833">
      <x:c r="A1833" s="12"/>
      <x:c r="B1833" s="12"/>
      <x:c r="C1833" s="12"/>
      <x:c r="D1833" s="12"/>
      <x:c r="E1833" s="14"/>
      <x:c r="F1833" s="13" t="str">
        <x:f>IF($A1833="","",IF($D1833&lt;&gt;'Team Setup'!$B$4,"Other sprint",IF($C1833="","Unassigned",IF(OR(ISNUMBER(SEARCH(",",$C1833)),ISNUMBER(SEARCH(";",$C1833))),"Multiple assignees",IF(COUNTIF('Team Setup'!$B$10:$B$34,$C1833)=1,"Matched","Unmatched")))))</x:f>
      </x:c>
      <x:c r="G1833" s="13" t="str">
        <x:f>IF($A1833="","",IF($D1833&lt;&gt;'Team Setup'!$B$4,"Other sprint",IF($E1833="","Unestimated",IF(NOT(ISNUMBER($E1833)),"Check estimate in hours",IF($E1833&lt;0,"Check estimate in hours",IF($E1833=0,"Unestimated","Estimated"))))))</x:f>
      </x:c>
    </x:row>
    <x:row r="1834">
      <x:c r="A1834" s="12"/>
      <x:c r="B1834" s="12"/>
      <x:c r="C1834" s="12"/>
      <x:c r="D1834" s="12"/>
      <x:c r="E1834" s="14"/>
      <x:c r="F1834" s="13" t="str">
        <x:f>IF($A1834="","",IF($D1834&lt;&gt;'Team Setup'!$B$4,"Other sprint",IF($C1834="","Unassigned",IF(OR(ISNUMBER(SEARCH(",",$C1834)),ISNUMBER(SEARCH(";",$C1834))),"Multiple assignees",IF(COUNTIF('Team Setup'!$B$10:$B$34,$C1834)=1,"Matched","Unmatched")))))</x:f>
      </x:c>
      <x:c r="G1834" s="13" t="str">
        <x:f>IF($A1834="","",IF($D1834&lt;&gt;'Team Setup'!$B$4,"Other sprint",IF($E1834="","Unestimated",IF(NOT(ISNUMBER($E1834)),"Check estimate in hours",IF($E1834&lt;0,"Check estimate in hours",IF($E1834=0,"Unestimated","Estimated"))))))</x:f>
      </x:c>
    </x:row>
    <x:row r="1835">
      <x:c r="A1835" s="12"/>
      <x:c r="B1835" s="12"/>
      <x:c r="C1835" s="12"/>
      <x:c r="D1835" s="12"/>
      <x:c r="E1835" s="14"/>
      <x:c r="F1835" s="13" t="str">
        <x:f>IF($A1835="","",IF($D1835&lt;&gt;'Team Setup'!$B$4,"Other sprint",IF($C1835="","Unassigned",IF(OR(ISNUMBER(SEARCH(",",$C1835)),ISNUMBER(SEARCH(";",$C1835))),"Multiple assignees",IF(COUNTIF('Team Setup'!$B$10:$B$34,$C1835)=1,"Matched","Unmatched")))))</x:f>
      </x:c>
      <x:c r="G1835" s="13" t="str">
        <x:f>IF($A1835="","",IF($D1835&lt;&gt;'Team Setup'!$B$4,"Other sprint",IF($E1835="","Unestimated",IF(NOT(ISNUMBER($E1835)),"Check estimate in hours",IF($E1835&lt;0,"Check estimate in hours",IF($E1835=0,"Unestimated","Estimated"))))))</x:f>
      </x:c>
    </x:row>
    <x:row r="1836">
      <x:c r="A1836" s="12"/>
      <x:c r="B1836" s="12"/>
      <x:c r="C1836" s="12"/>
      <x:c r="D1836" s="12"/>
      <x:c r="E1836" s="14"/>
      <x:c r="F1836" s="13" t="str">
        <x:f>IF($A1836="","",IF($D1836&lt;&gt;'Team Setup'!$B$4,"Other sprint",IF($C1836="","Unassigned",IF(OR(ISNUMBER(SEARCH(",",$C1836)),ISNUMBER(SEARCH(";",$C1836))),"Multiple assignees",IF(COUNTIF('Team Setup'!$B$10:$B$34,$C1836)=1,"Matched","Unmatched")))))</x:f>
      </x:c>
      <x:c r="G1836" s="13" t="str">
        <x:f>IF($A1836="","",IF($D1836&lt;&gt;'Team Setup'!$B$4,"Other sprint",IF($E1836="","Unestimated",IF(NOT(ISNUMBER($E1836)),"Check estimate in hours",IF($E1836&lt;0,"Check estimate in hours",IF($E1836=0,"Unestimated","Estimated"))))))</x:f>
      </x:c>
    </x:row>
    <x:row r="1837">
      <x:c r="A1837" s="12"/>
      <x:c r="B1837" s="12"/>
      <x:c r="C1837" s="12"/>
      <x:c r="D1837" s="12"/>
      <x:c r="E1837" s="14"/>
      <x:c r="F1837" s="13" t="str">
        <x:f>IF($A1837="","",IF($D1837&lt;&gt;'Team Setup'!$B$4,"Other sprint",IF($C1837="","Unassigned",IF(OR(ISNUMBER(SEARCH(",",$C1837)),ISNUMBER(SEARCH(";",$C1837))),"Multiple assignees",IF(COUNTIF('Team Setup'!$B$10:$B$34,$C1837)=1,"Matched","Unmatched")))))</x:f>
      </x:c>
      <x:c r="G1837" s="13" t="str">
        <x:f>IF($A1837="","",IF($D1837&lt;&gt;'Team Setup'!$B$4,"Other sprint",IF($E1837="","Unestimated",IF(NOT(ISNUMBER($E1837)),"Check estimate in hours",IF($E1837&lt;0,"Check estimate in hours",IF($E1837=0,"Unestimated","Estimated"))))))</x:f>
      </x:c>
    </x:row>
    <x:row r="1838">
      <x:c r="A1838" s="12"/>
      <x:c r="B1838" s="12"/>
      <x:c r="C1838" s="12"/>
      <x:c r="D1838" s="12"/>
      <x:c r="E1838" s="14"/>
      <x:c r="F1838" s="13" t="str">
        <x:f>IF($A1838="","",IF($D1838&lt;&gt;'Team Setup'!$B$4,"Other sprint",IF($C1838="","Unassigned",IF(OR(ISNUMBER(SEARCH(",",$C1838)),ISNUMBER(SEARCH(";",$C1838))),"Multiple assignees",IF(COUNTIF('Team Setup'!$B$10:$B$34,$C1838)=1,"Matched","Unmatched")))))</x:f>
      </x:c>
      <x:c r="G1838" s="13" t="str">
        <x:f>IF($A1838="","",IF($D1838&lt;&gt;'Team Setup'!$B$4,"Other sprint",IF($E1838="","Unestimated",IF(NOT(ISNUMBER($E1838)),"Check estimate in hours",IF($E1838&lt;0,"Check estimate in hours",IF($E1838=0,"Unestimated","Estimated"))))))</x:f>
      </x:c>
    </x:row>
    <x:row r="1839">
      <x:c r="A1839" s="12"/>
      <x:c r="B1839" s="12"/>
      <x:c r="C1839" s="12"/>
      <x:c r="D1839" s="12"/>
      <x:c r="E1839" s="14"/>
      <x:c r="F1839" s="13" t="str">
        <x:f>IF($A1839="","",IF($D1839&lt;&gt;'Team Setup'!$B$4,"Other sprint",IF($C1839="","Unassigned",IF(OR(ISNUMBER(SEARCH(",",$C1839)),ISNUMBER(SEARCH(";",$C1839))),"Multiple assignees",IF(COUNTIF('Team Setup'!$B$10:$B$34,$C1839)=1,"Matched","Unmatched")))))</x:f>
      </x:c>
      <x:c r="G1839" s="13" t="str">
        <x:f>IF($A1839="","",IF($D1839&lt;&gt;'Team Setup'!$B$4,"Other sprint",IF($E1839="","Unestimated",IF(NOT(ISNUMBER($E1839)),"Check estimate in hours",IF($E1839&lt;0,"Check estimate in hours",IF($E1839=0,"Unestimated","Estimated"))))))</x:f>
      </x:c>
    </x:row>
    <x:row r="1840">
      <x:c r="A1840" s="12"/>
      <x:c r="B1840" s="12"/>
      <x:c r="C1840" s="12"/>
      <x:c r="D1840" s="12"/>
      <x:c r="E1840" s="14"/>
      <x:c r="F1840" s="13" t="str">
        <x:f>IF($A1840="","",IF($D1840&lt;&gt;'Team Setup'!$B$4,"Other sprint",IF($C1840="","Unassigned",IF(OR(ISNUMBER(SEARCH(",",$C1840)),ISNUMBER(SEARCH(";",$C1840))),"Multiple assignees",IF(COUNTIF('Team Setup'!$B$10:$B$34,$C1840)=1,"Matched","Unmatched")))))</x:f>
      </x:c>
      <x:c r="G1840" s="13" t="str">
        <x:f>IF($A1840="","",IF($D1840&lt;&gt;'Team Setup'!$B$4,"Other sprint",IF($E1840="","Unestimated",IF(NOT(ISNUMBER($E1840)),"Check estimate in hours",IF($E1840&lt;0,"Check estimate in hours",IF($E1840=0,"Unestimated","Estimated"))))))</x:f>
      </x:c>
    </x:row>
    <x:row r="1841">
      <x:c r="A1841" s="12"/>
      <x:c r="B1841" s="12"/>
      <x:c r="C1841" s="12"/>
      <x:c r="D1841" s="12"/>
      <x:c r="E1841" s="14"/>
      <x:c r="F1841" s="13" t="str">
        <x:f>IF($A1841="","",IF($D1841&lt;&gt;'Team Setup'!$B$4,"Other sprint",IF($C1841="","Unassigned",IF(OR(ISNUMBER(SEARCH(",",$C1841)),ISNUMBER(SEARCH(";",$C1841))),"Multiple assignees",IF(COUNTIF('Team Setup'!$B$10:$B$34,$C1841)=1,"Matched","Unmatched")))))</x:f>
      </x:c>
      <x:c r="G1841" s="13" t="str">
        <x:f>IF($A1841="","",IF($D1841&lt;&gt;'Team Setup'!$B$4,"Other sprint",IF($E1841="","Unestimated",IF(NOT(ISNUMBER($E1841)),"Check estimate in hours",IF($E1841&lt;0,"Check estimate in hours",IF($E1841=0,"Unestimated","Estimated"))))))</x:f>
      </x:c>
    </x:row>
    <x:row r="1842">
      <x:c r="A1842" s="12"/>
      <x:c r="B1842" s="12"/>
      <x:c r="C1842" s="12"/>
      <x:c r="D1842" s="12"/>
      <x:c r="E1842" s="14"/>
      <x:c r="F1842" s="13" t="str">
        <x:f>IF($A1842="","",IF($D1842&lt;&gt;'Team Setup'!$B$4,"Other sprint",IF($C1842="","Unassigned",IF(OR(ISNUMBER(SEARCH(",",$C1842)),ISNUMBER(SEARCH(";",$C1842))),"Multiple assignees",IF(COUNTIF('Team Setup'!$B$10:$B$34,$C1842)=1,"Matched","Unmatched")))))</x:f>
      </x:c>
      <x:c r="G1842" s="13" t="str">
        <x:f>IF($A1842="","",IF($D1842&lt;&gt;'Team Setup'!$B$4,"Other sprint",IF($E1842="","Unestimated",IF(NOT(ISNUMBER($E1842)),"Check estimate in hours",IF($E1842&lt;0,"Check estimate in hours",IF($E1842=0,"Unestimated","Estimated"))))))</x:f>
      </x:c>
    </x:row>
    <x:row r="1843">
      <x:c r="A1843" s="12"/>
      <x:c r="B1843" s="12"/>
      <x:c r="C1843" s="12"/>
      <x:c r="D1843" s="12"/>
      <x:c r="E1843" s="14"/>
      <x:c r="F1843" s="13" t="str">
        <x:f>IF($A1843="","",IF($D1843&lt;&gt;'Team Setup'!$B$4,"Other sprint",IF($C1843="","Unassigned",IF(OR(ISNUMBER(SEARCH(",",$C1843)),ISNUMBER(SEARCH(";",$C1843))),"Multiple assignees",IF(COUNTIF('Team Setup'!$B$10:$B$34,$C1843)=1,"Matched","Unmatched")))))</x:f>
      </x:c>
      <x:c r="G1843" s="13" t="str">
        <x:f>IF($A1843="","",IF($D1843&lt;&gt;'Team Setup'!$B$4,"Other sprint",IF($E1843="","Unestimated",IF(NOT(ISNUMBER($E1843)),"Check estimate in hours",IF($E1843&lt;0,"Check estimate in hours",IF($E1843=0,"Unestimated","Estimated"))))))</x:f>
      </x:c>
    </x:row>
    <x:row r="1844">
      <x:c r="A1844" s="12"/>
      <x:c r="B1844" s="12"/>
      <x:c r="C1844" s="12"/>
      <x:c r="D1844" s="12"/>
      <x:c r="E1844" s="14"/>
      <x:c r="F1844" s="13" t="str">
        <x:f>IF($A1844="","",IF($D1844&lt;&gt;'Team Setup'!$B$4,"Other sprint",IF($C1844="","Unassigned",IF(OR(ISNUMBER(SEARCH(",",$C1844)),ISNUMBER(SEARCH(";",$C1844))),"Multiple assignees",IF(COUNTIF('Team Setup'!$B$10:$B$34,$C1844)=1,"Matched","Unmatched")))))</x:f>
      </x:c>
      <x:c r="G1844" s="13" t="str">
        <x:f>IF($A1844="","",IF($D1844&lt;&gt;'Team Setup'!$B$4,"Other sprint",IF($E1844="","Unestimated",IF(NOT(ISNUMBER($E1844)),"Check estimate in hours",IF($E1844&lt;0,"Check estimate in hours",IF($E1844=0,"Unestimated","Estimated"))))))</x:f>
      </x:c>
    </x:row>
    <x:row r="1845">
      <x:c r="A1845" s="12"/>
      <x:c r="B1845" s="12"/>
      <x:c r="C1845" s="12"/>
      <x:c r="D1845" s="12"/>
      <x:c r="E1845" s="14"/>
      <x:c r="F1845" s="13" t="str">
        <x:f>IF($A1845="","",IF($D1845&lt;&gt;'Team Setup'!$B$4,"Other sprint",IF($C1845="","Unassigned",IF(OR(ISNUMBER(SEARCH(",",$C1845)),ISNUMBER(SEARCH(";",$C1845))),"Multiple assignees",IF(COUNTIF('Team Setup'!$B$10:$B$34,$C1845)=1,"Matched","Unmatched")))))</x:f>
      </x:c>
      <x:c r="G1845" s="13" t="str">
        <x:f>IF($A1845="","",IF($D1845&lt;&gt;'Team Setup'!$B$4,"Other sprint",IF($E1845="","Unestimated",IF(NOT(ISNUMBER($E1845)),"Check estimate in hours",IF($E1845&lt;0,"Check estimate in hours",IF($E1845=0,"Unestimated","Estimated"))))))</x:f>
      </x:c>
    </x:row>
    <x:row r="1846">
      <x:c r="A1846" s="12"/>
      <x:c r="B1846" s="12"/>
      <x:c r="C1846" s="12"/>
      <x:c r="D1846" s="12"/>
      <x:c r="E1846" s="14"/>
      <x:c r="F1846" s="13" t="str">
        <x:f>IF($A1846="","",IF($D1846&lt;&gt;'Team Setup'!$B$4,"Other sprint",IF($C1846="","Unassigned",IF(OR(ISNUMBER(SEARCH(",",$C1846)),ISNUMBER(SEARCH(";",$C1846))),"Multiple assignees",IF(COUNTIF('Team Setup'!$B$10:$B$34,$C1846)=1,"Matched","Unmatched")))))</x:f>
      </x:c>
      <x:c r="G1846" s="13" t="str">
        <x:f>IF($A1846="","",IF($D1846&lt;&gt;'Team Setup'!$B$4,"Other sprint",IF($E1846="","Unestimated",IF(NOT(ISNUMBER($E1846)),"Check estimate in hours",IF($E1846&lt;0,"Check estimate in hours",IF($E1846=0,"Unestimated","Estimated"))))))</x:f>
      </x:c>
    </x:row>
    <x:row r="1847">
      <x:c r="A1847" s="12"/>
      <x:c r="B1847" s="12"/>
      <x:c r="C1847" s="12"/>
      <x:c r="D1847" s="12"/>
      <x:c r="E1847" s="14"/>
      <x:c r="F1847" s="13" t="str">
        <x:f>IF($A1847="","",IF($D1847&lt;&gt;'Team Setup'!$B$4,"Other sprint",IF($C1847="","Unassigned",IF(OR(ISNUMBER(SEARCH(",",$C1847)),ISNUMBER(SEARCH(";",$C1847))),"Multiple assignees",IF(COUNTIF('Team Setup'!$B$10:$B$34,$C1847)=1,"Matched","Unmatched")))))</x:f>
      </x:c>
      <x:c r="G1847" s="13" t="str">
        <x:f>IF($A1847="","",IF($D1847&lt;&gt;'Team Setup'!$B$4,"Other sprint",IF($E1847="","Unestimated",IF(NOT(ISNUMBER($E1847)),"Check estimate in hours",IF($E1847&lt;0,"Check estimate in hours",IF($E1847=0,"Unestimated","Estimated"))))))</x:f>
      </x:c>
    </x:row>
    <x:row r="1848">
      <x:c r="A1848" s="12"/>
      <x:c r="B1848" s="12"/>
      <x:c r="C1848" s="12"/>
      <x:c r="D1848" s="12"/>
      <x:c r="E1848" s="14"/>
      <x:c r="F1848" s="13" t="str">
        <x:f>IF($A1848="","",IF($D1848&lt;&gt;'Team Setup'!$B$4,"Other sprint",IF($C1848="","Unassigned",IF(OR(ISNUMBER(SEARCH(",",$C1848)),ISNUMBER(SEARCH(";",$C1848))),"Multiple assignees",IF(COUNTIF('Team Setup'!$B$10:$B$34,$C1848)=1,"Matched","Unmatched")))))</x:f>
      </x:c>
      <x:c r="G1848" s="13" t="str">
        <x:f>IF($A1848="","",IF($D1848&lt;&gt;'Team Setup'!$B$4,"Other sprint",IF($E1848="","Unestimated",IF(NOT(ISNUMBER($E1848)),"Check estimate in hours",IF($E1848&lt;0,"Check estimate in hours",IF($E1848=0,"Unestimated","Estimated"))))))</x:f>
      </x:c>
    </x:row>
    <x:row r="1849">
      <x:c r="A1849" s="12"/>
      <x:c r="B1849" s="12"/>
      <x:c r="C1849" s="12"/>
      <x:c r="D1849" s="12"/>
      <x:c r="E1849" s="14"/>
      <x:c r="F1849" s="13" t="str">
        <x:f>IF($A1849="","",IF($D1849&lt;&gt;'Team Setup'!$B$4,"Other sprint",IF($C1849="","Unassigned",IF(OR(ISNUMBER(SEARCH(",",$C1849)),ISNUMBER(SEARCH(";",$C1849))),"Multiple assignees",IF(COUNTIF('Team Setup'!$B$10:$B$34,$C1849)=1,"Matched","Unmatched")))))</x:f>
      </x:c>
      <x:c r="G1849" s="13" t="str">
        <x:f>IF($A1849="","",IF($D1849&lt;&gt;'Team Setup'!$B$4,"Other sprint",IF($E1849="","Unestimated",IF(NOT(ISNUMBER($E1849)),"Check estimate in hours",IF($E1849&lt;0,"Check estimate in hours",IF($E1849=0,"Unestimated","Estimated"))))))</x:f>
      </x:c>
    </x:row>
    <x:row r="1850">
      <x:c r="A1850" s="12"/>
      <x:c r="B1850" s="12"/>
      <x:c r="C1850" s="12"/>
      <x:c r="D1850" s="12"/>
      <x:c r="E1850" s="14"/>
      <x:c r="F1850" s="13" t="str">
        <x:f>IF($A1850="","",IF($D1850&lt;&gt;'Team Setup'!$B$4,"Other sprint",IF($C1850="","Unassigned",IF(OR(ISNUMBER(SEARCH(",",$C1850)),ISNUMBER(SEARCH(";",$C1850))),"Multiple assignees",IF(COUNTIF('Team Setup'!$B$10:$B$34,$C1850)=1,"Matched","Unmatched")))))</x:f>
      </x:c>
      <x:c r="G1850" s="13" t="str">
        <x:f>IF($A1850="","",IF($D1850&lt;&gt;'Team Setup'!$B$4,"Other sprint",IF($E1850="","Unestimated",IF(NOT(ISNUMBER($E1850)),"Check estimate in hours",IF($E1850&lt;0,"Check estimate in hours",IF($E1850=0,"Unestimated","Estimated"))))))</x:f>
      </x:c>
    </x:row>
    <x:row r="1851">
      <x:c r="A1851" s="12"/>
      <x:c r="B1851" s="12"/>
      <x:c r="C1851" s="12"/>
      <x:c r="D1851" s="12"/>
      <x:c r="E1851" s="14"/>
      <x:c r="F1851" s="13" t="str">
        <x:f>IF($A1851="","",IF($D1851&lt;&gt;'Team Setup'!$B$4,"Other sprint",IF($C1851="","Unassigned",IF(OR(ISNUMBER(SEARCH(",",$C1851)),ISNUMBER(SEARCH(";",$C1851))),"Multiple assignees",IF(COUNTIF('Team Setup'!$B$10:$B$34,$C1851)=1,"Matched","Unmatched")))))</x:f>
      </x:c>
      <x:c r="G1851" s="13" t="str">
        <x:f>IF($A1851="","",IF($D1851&lt;&gt;'Team Setup'!$B$4,"Other sprint",IF($E1851="","Unestimated",IF(NOT(ISNUMBER($E1851)),"Check estimate in hours",IF($E1851&lt;0,"Check estimate in hours",IF($E1851=0,"Unestimated","Estimated"))))))</x:f>
      </x:c>
    </x:row>
    <x:row r="1852">
      <x:c r="A1852" s="12"/>
      <x:c r="B1852" s="12"/>
      <x:c r="C1852" s="12"/>
      <x:c r="D1852" s="12"/>
      <x:c r="E1852" s="14"/>
      <x:c r="F1852" s="13" t="str">
        <x:f>IF($A1852="","",IF($D1852&lt;&gt;'Team Setup'!$B$4,"Other sprint",IF($C1852="","Unassigned",IF(OR(ISNUMBER(SEARCH(",",$C1852)),ISNUMBER(SEARCH(";",$C1852))),"Multiple assignees",IF(COUNTIF('Team Setup'!$B$10:$B$34,$C1852)=1,"Matched","Unmatched")))))</x:f>
      </x:c>
      <x:c r="G1852" s="13" t="str">
        <x:f>IF($A1852="","",IF($D1852&lt;&gt;'Team Setup'!$B$4,"Other sprint",IF($E1852="","Unestimated",IF(NOT(ISNUMBER($E1852)),"Check estimate in hours",IF($E1852&lt;0,"Check estimate in hours",IF($E1852=0,"Unestimated","Estimated"))))))</x:f>
      </x:c>
    </x:row>
    <x:row r="1853">
      <x:c r="A1853" s="12"/>
      <x:c r="B1853" s="12"/>
      <x:c r="C1853" s="12"/>
      <x:c r="D1853" s="12"/>
      <x:c r="E1853" s="14"/>
      <x:c r="F1853" s="13" t="str">
        <x:f>IF($A1853="","",IF($D1853&lt;&gt;'Team Setup'!$B$4,"Other sprint",IF($C1853="","Unassigned",IF(OR(ISNUMBER(SEARCH(",",$C1853)),ISNUMBER(SEARCH(";",$C1853))),"Multiple assignees",IF(COUNTIF('Team Setup'!$B$10:$B$34,$C1853)=1,"Matched","Unmatched")))))</x:f>
      </x:c>
      <x:c r="G1853" s="13" t="str">
        <x:f>IF($A1853="","",IF($D1853&lt;&gt;'Team Setup'!$B$4,"Other sprint",IF($E1853="","Unestimated",IF(NOT(ISNUMBER($E1853)),"Check estimate in hours",IF($E1853&lt;0,"Check estimate in hours",IF($E1853=0,"Unestimated","Estimated"))))))</x:f>
      </x:c>
    </x:row>
    <x:row r="1854">
      <x:c r="A1854" s="12"/>
      <x:c r="B1854" s="12"/>
      <x:c r="C1854" s="12"/>
      <x:c r="D1854" s="12"/>
      <x:c r="E1854" s="14"/>
      <x:c r="F1854" s="13" t="str">
        <x:f>IF($A1854="","",IF($D1854&lt;&gt;'Team Setup'!$B$4,"Other sprint",IF($C1854="","Unassigned",IF(OR(ISNUMBER(SEARCH(",",$C1854)),ISNUMBER(SEARCH(";",$C1854))),"Multiple assignees",IF(COUNTIF('Team Setup'!$B$10:$B$34,$C1854)=1,"Matched","Unmatched")))))</x:f>
      </x:c>
      <x:c r="G1854" s="13" t="str">
        <x:f>IF($A1854="","",IF($D1854&lt;&gt;'Team Setup'!$B$4,"Other sprint",IF($E1854="","Unestimated",IF(NOT(ISNUMBER($E1854)),"Check estimate in hours",IF($E1854&lt;0,"Check estimate in hours",IF($E1854=0,"Unestimated","Estimated"))))))</x:f>
      </x:c>
    </x:row>
    <x:row r="1855">
      <x:c r="A1855" s="12"/>
      <x:c r="B1855" s="12"/>
      <x:c r="C1855" s="12"/>
      <x:c r="D1855" s="12"/>
      <x:c r="E1855" s="14"/>
      <x:c r="F1855" s="13" t="str">
        <x:f>IF($A1855="","",IF($D1855&lt;&gt;'Team Setup'!$B$4,"Other sprint",IF($C1855="","Unassigned",IF(OR(ISNUMBER(SEARCH(",",$C1855)),ISNUMBER(SEARCH(";",$C1855))),"Multiple assignees",IF(COUNTIF('Team Setup'!$B$10:$B$34,$C1855)=1,"Matched","Unmatched")))))</x:f>
      </x:c>
      <x:c r="G1855" s="13" t="str">
        <x:f>IF($A1855="","",IF($D1855&lt;&gt;'Team Setup'!$B$4,"Other sprint",IF($E1855="","Unestimated",IF(NOT(ISNUMBER($E1855)),"Check estimate in hours",IF($E1855&lt;0,"Check estimate in hours",IF($E1855=0,"Unestimated","Estimated"))))))</x:f>
      </x:c>
    </x:row>
    <x:row r="1856">
      <x:c r="A1856" s="12"/>
      <x:c r="B1856" s="12"/>
      <x:c r="C1856" s="12"/>
      <x:c r="D1856" s="12"/>
      <x:c r="E1856" s="14"/>
      <x:c r="F1856" s="13" t="str">
        <x:f>IF($A1856="","",IF($D1856&lt;&gt;'Team Setup'!$B$4,"Other sprint",IF($C1856="","Unassigned",IF(OR(ISNUMBER(SEARCH(",",$C1856)),ISNUMBER(SEARCH(";",$C1856))),"Multiple assignees",IF(COUNTIF('Team Setup'!$B$10:$B$34,$C1856)=1,"Matched","Unmatched")))))</x:f>
      </x:c>
      <x:c r="G1856" s="13" t="str">
        <x:f>IF($A1856="","",IF($D1856&lt;&gt;'Team Setup'!$B$4,"Other sprint",IF($E1856="","Unestimated",IF(NOT(ISNUMBER($E1856)),"Check estimate in hours",IF($E1856&lt;0,"Check estimate in hours",IF($E1856=0,"Unestimated","Estimated"))))))</x:f>
      </x:c>
    </x:row>
    <x:row r="1857">
      <x:c r="A1857" s="12"/>
      <x:c r="B1857" s="12"/>
      <x:c r="C1857" s="12"/>
      <x:c r="D1857" s="12"/>
      <x:c r="E1857" s="14"/>
      <x:c r="F1857" s="13" t="str">
        <x:f>IF($A1857="","",IF($D1857&lt;&gt;'Team Setup'!$B$4,"Other sprint",IF($C1857="","Unassigned",IF(OR(ISNUMBER(SEARCH(",",$C1857)),ISNUMBER(SEARCH(";",$C1857))),"Multiple assignees",IF(COUNTIF('Team Setup'!$B$10:$B$34,$C1857)=1,"Matched","Unmatched")))))</x:f>
      </x:c>
      <x:c r="G1857" s="13" t="str">
        <x:f>IF($A1857="","",IF($D1857&lt;&gt;'Team Setup'!$B$4,"Other sprint",IF($E1857="","Unestimated",IF(NOT(ISNUMBER($E1857)),"Check estimate in hours",IF($E1857&lt;0,"Check estimate in hours",IF($E1857=0,"Unestimated","Estimated"))))))</x:f>
      </x:c>
    </x:row>
    <x:row r="1858">
      <x:c r="A1858" s="12"/>
      <x:c r="B1858" s="12"/>
      <x:c r="C1858" s="12"/>
      <x:c r="D1858" s="12"/>
      <x:c r="E1858" s="14"/>
      <x:c r="F1858" s="13" t="str">
        <x:f>IF($A1858="","",IF($D1858&lt;&gt;'Team Setup'!$B$4,"Other sprint",IF($C1858="","Unassigned",IF(OR(ISNUMBER(SEARCH(",",$C1858)),ISNUMBER(SEARCH(";",$C1858))),"Multiple assignees",IF(COUNTIF('Team Setup'!$B$10:$B$34,$C1858)=1,"Matched","Unmatched")))))</x:f>
      </x:c>
      <x:c r="G1858" s="13" t="str">
        <x:f>IF($A1858="","",IF($D1858&lt;&gt;'Team Setup'!$B$4,"Other sprint",IF($E1858="","Unestimated",IF(NOT(ISNUMBER($E1858)),"Check estimate in hours",IF($E1858&lt;0,"Check estimate in hours",IF($E1858=0,"Unestimated","Estimated"))))))</x:f>
      </x:c>
    </x:row>
    <x:row r="1859">
      <x:c r="A1859" s="12"/>
      <x:c r="B1859" s="12"/>
      <x:c r="C1859" s="12"/>
      <x:c r="D1859" s="12"/>
      <x:c r="E1859" s="14"/>
      <x:c r="F1859" s="13" t="str">
        <x:f>IF($A1859="","",IF($D1859&lt;&gt;'Team Setup'!$B$4,"Other sprint",IF($C1859="","Unassigned",IF(OR(ISNUMBER(SEARCH(",",$C1859)),ISNUMBER(SEARCH(";",$C1859))),"Multiple assignees",IF(COUNTIF('Team Setup'!$B$10:$B$34,$C1859)=1,"Matched","Unmatched")))))</x:f>
      </x:c>
      <x:c r="G1859" s="13" t="str">
        <x:f>IF($A1859="","",IF($D1859&lt;&gt;'Team Setup'!$B$4,"Other sprint",IF($E1859="","Unestimated",IF(NOT(ISNUMBER($E1859)),"Check estimate in hours",IF($E1859&lt;0,"Check estimate in hours",IF($E1859=0,"Unestimated","Estimated"))))))</x:f>
      </x:c>
    </x:row>
    <x:row r="1860">
      <x:c r="A1860" s="12"/>
      <x:c r="B1860" s="12"/>
      <x:c r="C1860" s="12"/>
      <x:c r="D1860" s="12"/>
      <x:c r="E1860" s="14"/>
      <x:c r="F1860" s="13" t="str">
        <x:f>IF($A1860="","",IF($D1860&lt;&gt;'Team Setup'!$B$4,"Other sprint",IF($C1860="","Unassigned",IF(OR(ISNUMBER(SEARCH(",",$C1860)),ISNUMBER(SEARCH(";",$C1860))),"Multiple assignees",IF(COUNTIF('Team Setup'!$B$10:$B$34,$C1860)=1,"Matched","Unmatched")))))</x:f>
      </x:c>
      <x:c r="G1860" s="13" t="str">
        <x:f>IF($A1860="","",IF($D1860&lt;&gt;'Team Setup'!$B$4,"Other sprint",IF($E1860="","Unestimated",IF(NOT(ISNUMBER($E1860)),"Check estimate in hours",IF($E1860&lt;0,"Check estimate in hours",IF($E1860=0,"Unestimated","Estimated"))))))</x:f>
      </x:c>
    </x:row>
    <x:row r="1861">
      <x:c r="A1861" s="12"/>
      <x:c r="B1861" s="12"/>
      <x:c r="C1861" s="12"/>
      <x:c r="D1861" s="12"/>
      <x:c r="E1861" s="14"/>
      <x:c r="F1861" s="13" t="str">
        <x:f>IF($A1861="","",IF($D1861&lt;&gt;'Team Setup'!$B$4,"Other sprint",IF($C1861="","Unassigned",IF(OR(ISNUMBER(SEARCH(",",$C1861)),ISNUMBER(SEARCH(";",$C1861))),"Multiple assignees",IF(COUNTIF('Team Setup'!$B$10:$B$34,$C1861)=1,"Matched","Unmatched")))))</x:f>
      </x:c>
      <x:c r="G1861" s="13" t="str">
        <x:f>IF($A1861="","",IF($D1861&lt;&gt;'Team Setup'!$B$4,"Other sprint",IF($E1861="","Unestimated",IF(NOT(ISNUMBER($E1861)),"Check estimate in hours",IF($E1861&lt;0,"Check estimate in hours",IF($E1861=0,"Unestimated","Estimated"))))))</x:f>
      </x:c>
    </x:row>
    <x:row r="1862">
      <x:c r="A1862" s="12"/>
      <x:c r="B1862" s="12"/>
      <x:c r="C1862" s="12"/>
      <x:c r="D1862" s="12"/>
      <x:c r="E1862" s="14"/>
      <x:c r="F1862" s="13" t="str">
        <x:f>IF($A1862="","",IF($D1862&lt;&gt;'Team Setup'!$B$4,"Other sprint",IF($C1862="","Unassigned",IF(OR(ISNUMBER(SEARCH(",",$C1862)),ISNUMBER(SEARCH(";",$C1862))),"Multiple assignees",IF(COUNTIF('Team Setup'!$B$10:$B$34,$C1862)=1,"Matched","Unmatched")))))</x:f>
      </x:c>
      <x:c r="G1862" s="13" t="str">
        <x:f>IF($A1862="","",IF($D1862&lt;&gt;'Team Setup'!$B$4,"Other sprint",IF($E1862="","Unestimated",IF(NOT(ISNUMBER($E1862)),"Check estimate in hours",IF($E1862&lt;0,"Check estimate in hours",IF($E1862=0,"Unestimated","Estimated"))))))</x:f>
      </x:c>
    </x:row>
    <x:row r="1863">
      <x:c r="A1863" s="12"/>
      <x:c r="B1863" s="12"/>
      <x:c r="C1863" s="12"/>
      <x:c r="D1863" s="12"/>
      <x:c r="E1863" s="14"/>
      <x:c r="F1863" s="13" t="str">
        <x:f>IF($A1863="","",IF($D1863&lt;&gt;'Team Setup'!$B$4,"Other sprint",IF($C1863="","Unassigned",IF(OR(ISNUMBER(SEARCH(",",$C1863)),ISNUMBER(SEARCH(";",$C1863))),"Multiple assignees",IF(COUNTIF('Team Setup'!$B$10:$B$34,$C1863)=1,"Matched","Unmatched")))))</x:f>
      </x:c>
      <x:c r="G1863" s="13" t="str">
        <x:f>IF($A1863="","",IF($D1863&lt;&gt;'Team Setup'!$B$4,"Other sprint",IF($E1863="","Unestimated",IF(NOT(ISNUMBER($E1863)),"Check estimate in hours",IF($E1863&lt;0,"Check estimate in hours",IF($E1863=0,"Unestimated","Estimated"))))))</x:f>
      </x:c>
    </x:row>
    <x:row r="1864">
      <x:c r="A1864" s="12"/>
      <x:c r="B1864" s="12"/>
      <x:c r="C1864" s="12"/>
      <x:c r="D1864" s="12"/>
      <x:c r="E1864" s="14"/>
      <x:c r="F1864" s="13" t="str">
        <x:f>IF($A1864="","",IF($D1864&lt;&gt;'Team Setup'!$B$4,"Other sprint",IF($C1864="","Unassigned",IF(OR(ISNUMBER(SEARCH(",",$C1864)),ISNUMBER(SEARCH(";",$C1864))),"Multiple assignees",IF(COUNTIF('Team Setup'!$B$10:$B$34,$C1864)=1,"Matched","Unmatched")))))</x:f>
      </x:c>
      <x:c r="G1864" s="13" t="str">
        <x:f>IF($A1864="","",IF($D1864&lt;&gt;'Team Setup'!$B$4,"Other sprint",IF($E1864="","Unestimated",IF(NOT(ISNUMBER($E1864)),"Check estimate in hours",IF($E1864&lt;0,"Check estimate in hours",IF($E1864=0,"Unestimated","Estimated"))))))</x:f>
      </x:c>
    </x:row>
    <x:row r="1865">
      <x:c r="A1865" s="12"/>
      <x:c r="B1865" s="12"/>
      <x:c r="C1865" s="12"/>
      <x:c r="D1865" s="12"/>
      <x:c r="E1865" s="14"/>
      <x:c r="F1865" s="13" t="str">
        <x:f>IF($A1865="","",IF($D1865&lt;&gt;'Team Setup'!$B$4,"Other sprint",IF($C1865="","Unassigned",IF(OR(ISNUMBER(SEARCH(",",$C1865)),ISNUMBER(SEARCH(";",$C1865))),"Multiple assignees",IF(COUNTIF('Team Setup'!$B$10:$B$34,$C1865)=1,"Matched","Unmatched")))))</x:f>
      </x:c>
      <x:c r="G1865" s="13" t="str">
        <x:f>IF($A1865="","",IF($D1865&lt;&gt;'Team Setup'!$B$4,"Other sprint",IF($E1865="","Unestimated",IF(NOT(ISNUMBER($E1865)),"Check estimate in hours",IF($E1865&lt;0,"Check estimate in hours",IF($E1865=0,"Unestimated","Estimated"))))))</x:f>
      </x:c>
    </x:row>
    <x:row r="1866">
      <x:c r="A1866" s="12"/>
      <x:c r="B1866" s="12"/>
      <x:c r="C1866" s="12"/>
      <x:c r="D1866" s="12"/>
      <x:c r="E1866" s="14"/>
      <x:c r="F1866" s="13" t="str">
        <x:f>IF($A1866="","",IF($D1866&lt;&gt;'Team Setup'!$B$4,"Other sprint",IF($C1866="","Unassigned",IF(OR(ISNUMBER(SEARCH(",",$C1866)),ISNUMBER(SEARCH(";",$C1866))),"Multiple assignees",IF(COUNTIF('Team Setup'!$B$10:$B$34,$C1866)=1,"Matched","Unmatched")))))</x:f>
      </x:c>
      <x:c r="G1866" s="13" t="str">
        <x:f>IF($A1866="","",IF($D1866&lt;&gt;'Team Setup'!$B$4,"Other sprint",IF($E1866="","Unestimated",IF(NOT(ISNUMBER($E1866)),"Check estimate in hours",IF($E1866&lt;0,"Check estimate in hours",IF($E1866=0,"Unestimated","Estimated"))))))</x:f>
      </x:c>
    </x:row>
    <x:row r="1867">
      <x:c r="A1867" s="12"/>
      <x:c r="B1867" s="12"/>
      <x:c r="C1867" s="12"/>
      <x:c r="D1867" s="12"/>
      <x:c r="E1867" s="14"/>
      <x:c r="F1867" s="13" t="str">
        <x:f>IF($A1867="","",IF($D1867&lt;&gt;'Team Setup'!$B$4,"Other sprint",IF($C1867="","Unassigned",IF(OR(ISNUMBER(SEARCH(",",$C1867)),ISNUMBER(SEARCH(";",$C1867))),"Multiple assignees",IF(COUNTIF('Team Setup'!$B$10:$B$34,$C1867)=1,"Matched","Unmatched")))))</x:f>
      </x:c>
      <x:c r="G1867" s="13" t="str">
        <x:f>IF($A1867="","",IF($D1867&lt;&gt;'Team Setup'!$B$4,"Other sprint",IF($E1867="","Unestimated",IF(NOT(ISNUMBER($E1867)),"Check estimate in hours",IF($E1867&lt;0,"Check estimate in hours",IF($E1867=0,"Unestimated","Estimated"))))))</x:f>
      </x:c>
    </x:row>
    <x:row r="1868">
      <x:c r="A1868" s="12"/>
      <x:c r="B1868" s="12"/>
      <x:c r="C1868" s="12"/>
      <x:c r="D1868" s="12"/>
      <x:c r="E1868" s="14"/>
      <x:c r="F1868" s="13" t="str">
        <x:f>IF($A1868="","",IF($D1868&lt;&gt;'Team Setup'!$B$4,"Other sprint",IF($C1868="","Unassigned",IF(OR(ISNUMBER(SEARCH(",",$C1868)),ISNUMBER(SEARCH(";",$C1868))),"Multiple assignees",IF(COUNTIF('Team Setup'!$B$10:$B$34,$C1868)=1,"Matched","Unmatched")))))</x:f>
      </x:c>
      <x:c r="G1868" s="13" t="str">
        <x:f>IF($A1868="","",IF($D1868&lt;&gt;'Team Setup'!$B$4,"Other sprint",IF($E1868="","Unestimated",IF(NOT(ISNUMBER($E1868)),"Check estimate in hours",IF($E1868&lt;0,"Check estimate in hours",IF($E1868=0,"Unestimated","Estimated"))))))</x:f>
      </x:c>
    </x:row>
    <x:row r="1869">
      <x:c r="A1869" s="12"/>
      <x:c r="B1869" s="12"/>
      <x:c r="C1869" s="12"/>
      <x:c r="D1869" s="12"/>
      <x:c r="E1869" s="14"/>
      <x:c r="F1869" s="13" t="str">
        <x:f>IF($A1869="","",IF($D1869&lt;&gt;'Team Setup'!$B$4,"Other sprint",IF($C1869="","Unassigned",IF(OR(ISNUMBER(SEARCH(",",$C1869)),ISNUMBER(SEARCH(";",$C1869))),"Multiple assignees",IF(COUNTIF('Team Setup'!$B$10:$B$34,$C1869)=1,"Matched","Unmatched")))))</x:f>
      </x:c>
      <x:c r="G1869" s="13" t="str">
        <x:f>IF($A1869="","",IF($D1869&lt;&gt;'Team Setup'!$B$4,"Other sprint",IF($E1869="","Unestimated",IF(NOT(ISNUMBER($E1869)),"Check estimate in hours",IF($E1869&lt;0,"Check estimate in hours",IF($E1869=0,"Unestimated","Estimated"))))))</x:f>
      </x:c>
    </x:row>
    <x:row r="1870">
      <x:c r="A1870" s="12"/>
      <x:c r="B1870" s="12"/>
      <x:c r="C1870" s="12"/>
      <x:c r="D1870" s="12"/>
      <x:c r="E1870" s="14"/>
      <x:c r="F1870" s="13" t="str">
        <x:f>IF($A1870="","",IF($D1870&lt;&gt;'Team Setup'!$B$4,"Other sprint",IF($C1870="","Unassigned",IF(OR(ISNUMBER(SEARCH(",",$C1870)),ISNUMBER(SEARCH(";",$C1870))),"Multiple assignees",IF(COUNTIF('Team Setup'!$B$10:$B$34,$C1870)=1,"Matched","Unmatched")))))</x:f>
      </x:c>
      <x:c r="G1870" s="13" t="str">
        <x:f>IF($A1870="","",IF($D1870&lt;&gt;'Team Setup'!$B$4,"Other sprint",IF($E1870="","Unestimated",IF(NOT(ISNUMBER($E1870)),"Check estimate in hours",IF($E1870&lt;0,"Check estimate in hours",IF($E1870=0,"Unestimated","Estimated"))))))</x:f>
      </x:c>
    </x:row>
    <x:row r="1871">
      <x:c r="A1871" s="12"/>
      <x:c r="B1871" s="12"/>
      <x:c r="C1871" s="12"/>
      <x:c r="D1871" s="12"/>
      <x:c r="E1871" s="14"/>
      <x:c r="F1871" s="13" t="str">
        <x:f>IF($A1871="","",IF($D1871&lt;&gt;'Team Setup'!$B$4,"Other sprint",IF($C1871="","Unassigned",IF(OR(ISNUMBER(SEARCH(",",$C1871)),ISNUMBER(SEARCH(";",$C1871))),"Multiple assignees",IF(COUNTIF('Team Setup'!$B$10:$B$34,$C1871)=1,"Matched","Unmatched")))))</x:f>
      </x:c>
      <x:c r="G1871" s="13" t="str">
        <x:f>IF($A1871="","",IF($D1871&lt;&gt;'Team Setup'!$B$4,"Other sprint",IF($E1871="","Unestimated",IF(NOT(ISNUMBER($E1871)),"Check estimate in hours",IF($E1871&lt;0,"Check estimate in hours",IF($E1871=0,"Unestimated","Estimated"))))))</x:f>
      </x:c>
    </x:row>
    <x:row r="1872">
      <x:c r="A1872" s="12"/>
      <x:c r="B1872" s="12"/>
      <x:c r="C1872" s="12"/>
      <x:c r="D1872" s="12"/>
      <x:c r="E1872" s="14"/>
      <x:c r="F1872" s="13" t="str">
        <x:f>IF($A1872="","",IF($D1872&lt;&gt;'Team Setup'!$B$4,"Other sprint",IF($C1872="","Unassigned",IF(OR(ISNUMBER(SEARCH(",",$C1872)),ISNUMBER(SEARCH(";",$C1872))),"Multiple assignees",IF(COUNTIF('Team Setup'!$B$10:$B$34,$C1872)=1,"Matched","Unmatched")))))</x:f>
      </x:c>
      <x:c r="G1872" s="13" t="str">
        <x:f>IF($A1872="","",IF($D1872&lt;&gt;'Team Setup'!$B$4,"Other sprint",IF($E1872="","Unestimated",IF(NOT(ISNUMBER($E1872)),"Check estimate in hours",IF($E1872&lt;0,"Check estimate in hours",IF($E1872=0,"Unestimated","Estimated"))))))</x:f>
      </x:c>
    </x:row>
    <x:row r="1873">
      <x:c r="A1873" s="12"/>
      <x:c r="B1873" s="12"/>
      <x:c r="C1873" s="12"/>
      <x:c r="D1873" s="12"/>
      <x:c r="E1873" s="14"/>
      <x:c r="F1873" s="13" t="str">
        <x:f>IF($A1873="","",IF($D1873&lt;&gt;'Team Setup'!$B$4,"Other sprint",IF($C1873="","Unassigned",IF(OR(ISNUMBER(SEARCH(",",$C1873)),ISNUMBER(SEARCH(";",$C1873))),"Multiple assignees",IF(COUNTIF('Team Setup'!$B$10:$B$34,$C1873)=1,"Matched","Unmatched")))))</x:f>
      </x:c>
      <x:c r="G1873" s="13" t="str">
        <x:f>IF($A1873="","",IF($D1873&lt;&gt;'Team Setup'!$B$4,"Other sprint",IF($E1873="","Unestimated",IF(NOT(ISNUMBER($E1873)),"Check estimate in hours",IF($E1873&lt;0,"Check estimate in hours",IF($E1873=0,"Unestimated","Estimated"))))))</x:f>
      </x:c>
    </x:row>
    <x:row r="1874">
      <x:c r="A1874" s="12"/>
      <x:c r="B1874" s="12"/>
      <x:c r="C1874" s="12"/>
      <x:c r="D1874" s="12"/>
      <x:c r="E1874" s="14"/>
      <x:c r="F1874" s="13" t="str">
        <x:f>IF($A1874="","",IF($D1874&lt;&gt;'Team Setup'!$B$4,"Other sprint",IF($C1874="","Unassigned",IF(OR(ISNUMBER(SEARCH(",",$C1874)),ISNUMBER(SEARCH(";",$C1874))),"Multiple assignees",IF(COUNTIF('Team Setup'!$B$10:$B$34,$C1874)=1,"Matched","Unmatched")))))</x:f>
      </x:c>
      <x:c r="G1874" s="13" t="str">
        <x:f>IF($A1874="","",IF($D1874&lt;&gt;'Team Setup'!$B$4,"Other sprint",IF($E1874="","Unestimated",IF(NOT(ISNUMBER($E1874)),"Check estimate in hours",IF($E1874&lt;0,"Check estimate in hours",IF($E1874=0,"Unestimated","Estimated"))))))</x:f>
      </x:c>
    </x:row>
    <x:row r="1875">
      <x:c r="A1875" s="12"/>
      <x:c r="B1875" s="12"/>
      <x:c r="C1875" s="12"/>
      <x:c r="D1875" s="12"/>
      <x:c r="E1875" s="14"/>
      <x:c r="F1875" s="13" t="str">
        <x:f>IF($A1875="","",IF($D1875&lt;&gt;'Team Setup'!$B$4,"Other sprint",IF($C1875="","Unassigned",IF(OR(ISNUMBER(SEARCH(",",$C1875)),ISNUMBER(SEARCH(";",$C1875))),"Multiple assignees",IF(COUNTIF('Team Setup'!$B$10:$B$34,$C1875)=1,"Matched","Unmatched")))))</x:f>
      </x:c>
      <x:c r="G1875" s="13" t="str">
        <x:f>IF($A1875="","",IF($D1875&lt;&gt;'Team Setup'!$B$4,"Other sprint",IF($E1875="","Unestimated",IF(NOT(ISNUMBER($E1875)),"Check estimate in hours",IF($E1875&lt;0,"Check estimate in hours",IF($E1875=0,"Unestimated","Estimated"))))))</x:f>
      </x:c>
    </x:row>
    <x:row r="1876">
      <x:c r="A1876" s="12"/>
      <x:c r="B1876" s="12"/>
      <x:c r="C1876" s="12"/>
      <x:c r="D1876" s="12"/>
      <x:c r="E1876" s="14"/>
      <x:c r="F1876" s="13" t="str">
        <x:f>IF($A1876="","",IF($D1876&lt;&gt;'Team Setup'!$B$4,"Other sprint",IF($C1876="","Unassigned",IF(OR(ISNUMBER(SEARCH(",",$C1876)),ISNUMBER(SEARCH(";",$C1876))),"Multiple assignees",IF(COUNTIF('Team Setup'!$B$10:$B$34,$C1876)=1,"Matched","Unmatched")))))</x:f>
      </x:c>
      <x:c r="G1876" s="13" t="str">
        <x:f>IF($A1876="","",IF($D1876&lt;&gt;'Team Setup'!$B$4,"Other sprint",IF($E1876="","Unestimated",IF(NOT(ISNUMBER($E1876)),"Check estimate in hours",IF($E1876&lt;0,"Check estimate in hours",IF($E1876=0,"Unestimated","Estimated"))))))</x:f>
      </x:c>
    </x:row>
    <x:row r="1877">
      <x:c r="A1877" s="12"/>
      <x:c r="B1877" s="12"/>
      <x:c r="C1877" s="12"/>
      <x:c r="D1877" s="12"/>
      <x:c r="E1877" s="14"/>
      <x:c r="F1877" s="13" t="str">
        <x:f>IF($A1877="","",IF($D1877&lt;&gt;'Team Setup'!$B$4,"Other sprint",IF($C1877="","Unassigned",IF(OR(ISNUMBER(SEARCH(",",$C1877)),ISNUMBER(SEARCH(";",$C1877))),"Multiple assignees",IF(COUNTIF('Team Setup'!$B$10:$B$34,$C1877)=1,"Matched","Unmatched")))))</x:f>
      </x:c>
      <x:c r="G1877" s="13" t="str">
        <x:f>IF($A1877="","",IF($D1877&lt;&gt;'Team Setup'!$B$4,"Other sprint",IF($E1877="","Unestimated",IF(NOT(ISNUMBER($E1877)),"Check estimate in hours",IF($E1877&lt;0,"Check estimate in hours",IF($E1877=0,"Unestimated","Estimated"))))))</x:f>
      </x:c>
    </x:row>
    <x:row r="1878">
      <x:c r="A1878" s="12"/>
      <x:c r="B1878" s="12"/>
      <x:c r="C1878" s="12"/>
      <x:c r="D1878" s="12"/>
      <x:c r="E1878" s="14"/>
      <x:c r="F1878" s="13" t="str">
        <x:f>IF($A1878="","",IF($D1878&lt;&gt;'Team Setup'!$B$4,"Other sprint",IF($C1878="","Unassigned",IF(OR(ISNUMBER(SEARCH(",",$C1878)),ISNUMBER(SEARCH(";",$C1878))),"Multiple assignees",IF(COUNTIF('Team Setup'!$B$10:$B$34,$C1878)=1,"Matched","Unmatched")))))</x:f>
      </x:c>
      <x:c r="G1878" s="13" t="str">
        <x:f>IF($A1878="","",IF($D1878&lt;&gt;'Team Setup'!$B$4,"Other sprint",IF($E1878="","Unestimated",IF(NOT(ISNUMBER($E1878)),"Check estimate in hours",IF($E1878&lt;0,"Check estimate in hours",IF($E1878=0,"Unestimated","Estimated"))))))</x:f>
      </x:c>
    </x:row>
    <x:row r="1879">
      <x:c r="A1879" s="12"/>
      <x:c r="B1879" s="12"/>
      <x:c r="C1879" s="12"/>
      <x:c r="D1879" s="12"/>
      <x:c r="E1879" s="14"/>
      <x:c r="F1879" s="13" t="str">
        <x:f>IF($A1879="","",IF($D1879&lt;&gt;'Team Setup'!$B$4,"Other sprint",IF($C1879="","Unassigned",IF(OR(ISNUMBER(SEARCH(",",$C1879)),ISNUMBER(SEARCH(";",$C1879))),"Multiple assignees",IF(COUNTIF('Team Setup'!$B$10:$B$34,$C1879)=1,"Matched","Unmatched")))))</x:f>
      </x:c>
      <x:c r="G1879" s="13" t="str">
        <x:f>IF($A1879="","",IF($D1879&lt;&gt;'Team Setup'!$B$4,"Other sprint",IF($E1879="","Unestimated",IF(NOT(ISNUMBER($E1879)),"Check estimate in hours",IF($E1879&lt;0,"Check estimate in hours",IF($E1879=0,"Unestimated","Estimated"))))))</x:f>
      </x:c>
    </x:row>
    <x:row r="1880">
      <x:c r="A1880" s="12"/>
      <x:c r="B1880" s="12"/>
      <x:c r="C1880" s="12"/>
      <x:c r="D1880" s="12"/>
      <x:c r="E1880" s="14"/>
      <x:c r="F1880" s="13" t="str">
        <x:f>IF($A1880="","",IF($D1880&lt;&gt;'Team Setup'!$B$4,"Other sprint",IF($C1880="","Unassigned",IF(OR(ISNUMBER(SEARCH(",",$C1880)),ISNUMBER(SEARCH(";",$C1880))),"Multiple assignees",IF(COUNTIF('Team Setup'!$B$10:$B$34,$C1880)=1,"Matched","Unmatched")))))</x:f>
      </x:c>
      <x:c r="G1880" s="13" t="str">
        <x:f>IF($A1880="","",IF($D1880&lt;&gt;'Team Setup'!$B$4,"Other sprint",IF($E1880="","Unestimated",IF(NOT(ISNUMBER($E1880)),"Check estimate in hours",IF($E1880&lt;0,"Check estimate in hours",IF($E1880=0,"Unestimated","Estimated"))))))</x:f>
      </x:c>
    </x:row>
    <x:row r="1881">
      <x:c r="A1881" s="12"/>
      <x:c r="B1881" s="12"/>
      <x:c r="C1881" s="12"/>
      <x:c r="D1881" s="12"/>
      <x:c r="E1881" s="14"/>
      <x:c r="F1881" s="13" t="str">
        <x:f>IF($A1881="","",IF($D1881&lt;&gt;'Team Setup'!$B$4,"Other sprint",IF($C1881="","Unassigned",IF(OR(ISNUMBER(SEARCH(",",$C1881)),ISNUMBER(SEARCH(";",$C1881))),"Multiple assignees",IF(COUNTIF('Team Setup'!$B$10:$B$34,$C1881)=1,"Matched","Unmatched")))))</x:f>
      </x:c>
      <x:c r="G1881" s="13" t="str">
        <x:f>IF($A1881="","",IF($D1881&lt;&gt;'Team Setup'!$B$4,"Other sprint",IF($E1881="","Unestimated",IF(NOT(ISNUMBER($E1881)),"Check estimate in hours",IF($E1881&lt;0,"Check estimate in hours",IF($E1881=0,"Unestimated","Estimated"))))))</x:f>
      </x:c>
    </x:row>
    <x:row r="1882">
      <x:c r="A1882" s="12"/>
      <x:c r="B1882" s="12"/>
      <x:c r="C1882" s="12"/>
      <x:c r="D1882" s="12"/>
      <x:c r="E1882" s="14"/>
      <x:c r="F1882" s="13" t="str">
        <x:f>IF($A1882="","",IF($D1882&lt;&gt;'Team Setup'!$B$4,"Other sprint",IF($C1882="","Unassigned",IF(OR(ISNUMBER(SEARCH(",",$C1882)),ISNUMBER(SEARCH(";",$C1882))),"Multiple assignees",IF(COUNTIF('Team Setup'!$B$10:$B$34,$C1882)=1,"Matched","Unmatched")))))</x:f>
      </x:c>
      <x:c r="G1882" s="13" t="str">
        <x:f>IF($A1882="","",IF($D1882&lt;&gt;'Team Setup'!$B$4,"Other sprint",IF($E1882="","Unestimated",IF(NOT(ISNUMBER($E1882)),"Check estimate in hours",IF($E1882&lt;0,"Check estimate in hours",IF($E1882=0,"Unestimated","Estimated"))))))</x:f>
      </x:c>
    </x:row>
    <x:row r="1883">
      <x:c r="A1883" s="12"/>
      <x:c r="B1883" s="12"/>
      <x:c r="C1883" s="12"/>
      <x:c r="D1883" s="12"/>
      <x:c r="E1883" s="14"/>
      <x:c r="F1883" s="13" t="str">
        <x:f>IF($A1883="","",IF($D1883&lt;&gt;'Team Setup'!$B$4,"Other sprint",IF($C1883="","Unassigned",IF(OR(ISNUMBER(SEARCH(",",$C1883)),ISNUMBER(SEARCH(";",$C1883))),"Multiple assignees",IF(COUNTIF('Team Setup'!$B$10:$B$34,$C1883)=1,"Matched","Unmatched")))))</x:f>
      </x:c>
      <x:c r="G1883" s="13" t="str">
        <x:f>IF($A1883="","",IF($D1883&lt;&gt;'Team Setup'!$B$4,"Other sprint",IF($E1883="","Unestimated",IF(NOT(ISNUMBER($E1883)),"Check estimate in hours",IF($E1883&lt;0,"Check estimate in hours",IF($E1883=0,"Unestimated","Estimated"))))))</x:f>
      </x:c>
    </x:row>
    <x:row r="1884">
      <x:c r="A1884" s="12"/>
      <x:c r="B1884" s="12"/>
      <x:c r="C1884" s="12"/>
      <x:c r="D1884" s="12"/>
      <x:c r="E1884" s="14"/>
      <x:c r="F1884" s="13" t="str">
        <x:f>IF($A1884="","",IF($D1884&lt;&gt;'Team Setup'!$B$4,"Other sprint",IF($C1884="","Unassigned",IF(OR(ISNUMBER(SEARCH(",",$C1884)),ISNUMBER(SEARCH(";",$C1884))),"Multiple assignees",IF(COUNTIF('Team Setup'!$B$10:$B$34,$C1884)=1,"Matched","Unmatched")))))</x:f>
      </x:c>
      <x:c r="G1884" s="13" t="str">
        <x:f>IF($A1884="","",IF($D1884&lt;&gt;'Team Setup'!$B$4,"Other sprint",IF($E1884="","Unestimated",IF(NOT(ISNUMBER($E1884)),"Check estimate in hours",IF($E1884&lt;0,"Check estimate in hours",IF($E1884=0,"Unestimated","Estimated"))))))</x:f>
      </x:c>
    </x:row>
    <x:row r="1885">
      <x:c r="A1885" s="12"/>
      <x:c r="B1885" s="12"/>
      <x:c r="C1885" s="12"/>
      <x:c r="D1885" s="12"/>
      <x:c r="E1885" s="14"/>
      <x:c r="F1885" s="13" t="str">
        <x:f>IF($A1885="","",IF($D1885&lt;&gt;'Team Setup'!$B$4,"Other sprint",IF($C1885="","Unassigned",IF(OR(ISNUMBER(SEARCH(",",$C1885)),ISNUMBER(SEARCH(";",$C1885))),"Multiple assignees",IF(COUNTIF('Team Setup'!$B$10:$B$34,$C1885)=1,"Matched","Unmatched")))))</x:f>
      </x:c>
      <x:c r="G1885" s="13" t="str">
        <x:f>IF($A1885="","",IF($D1885&lt;&gt;'Team Setup'!$B$4,"Other sprint",IF($E1885="","Unestimated",IF(NOT(ISNUMBER($E1885)),"Check estimate in hours",IF($E1885&lt;0,"Check estimate in hours",IF($E1885=0,"Unestimated","Estimated"))))))</x:f>
      </x:c>
    </x:row>
    <x:row r="1886">
      <x:c r="A1886" s="12"/>
      <x:c r="B1886" s="12"/>
      <x:c r="C1886" s="12"/>
      <x:c r="D1886" s="12"/>
      <x:c r="E1886" s="14"/>
      <x:c r="F1886" s="13" t="str">
        <x:f>IF($A1886="","",IF($D1886&lt;&gt;'Team Setup'!$B$4,"Other sprint",IF($C1886="","Unassigned",IF(OR(ISNUMBER(SEARCH(",",$C1886)),ISNUMBER(SEARCH(";",$C1886))),"Multiple assignees",IF(COUNTIF('Team Setup'!$B$10:$B$34,$C1886)=1,"Matched","Unmatched")))))</x:f>
      </x:c>
      <x:c r="G1886" s="13" t="str">
        <x:f>IF($A1886="","",IF($D1886&lt;&gt;'Team Setup'!$B$4,"Other sprint",IF($E1886="","Unestimated",IF(NOT(ISNUMBER($E1886)),"Check estimate in hours",IF($E1886&lt;0,"Check estimate in hours",IF($E1886=0,"Unestimated","Estimated"))))))</x:f>
      </x:c>
    </x:row>
    <x:row r="1887">
      <x:c r="A1887" s="12"/>
      <x:c r="B1887" s="12"/>
      <x:c r="C1887" s="12"/>
      <x:c r="D1887" s="12"/>
      <x:c r="E1887" s="14"/>
      <x:c r="F1887" s="13" t="str">
        <x:f>IF($A1887="","",IF($D1887&lt;&gt;'Team Setup'!$B$4,"Other sprint",IF($C1887="","Unassigned",IF(OR(ISNUMBER(SEARCH(",",$C1887)),ISNUMBER(SEARCH(";",$C1887))),"Multiple assignees",IF(COUNTIF('Team Setup'!$B$10:$B$34,$C1887)=1,"Matched","Unmatched")))))</x:f>
      </x:c>
      <x:c r="G1887" s="13" t="str">
        <x:f>IF($A1887="","",IF($D1887&lt;&gt;'Team Setup'!$B$4,"Other sprint",IF($E1887="","Unestimated",IF(NOT(ISNUMBER($E1887)),"Check estimate in hours",IF($E1887&lt;0,"Check estimate in hours",IF($E1887=0,"Unestimated","Estimated"))))))</x:f>
      </x:c>
    </x:row>
    <x:row r="1888">
      <x:c r="A1888" s="12"/>
      <x:c r="B1888" s="12"/>
      <x:c r="C1888" s="12"/>
      <x:c r="D1888" s="12"/>
      <x:c r="E1888" s="14"/>
      <x:c r="F1888" s="13" t="str">
        <x:f>IF($A1888="","",IF($D1888&lt;&gt;'Team Setup'!$B$4,"Other sprint",IF($C1888="","Unassigned",IF(OR(ISNUMBER(SEARCH(",",$C1888)),ISNUMBER(SEARCH(";",$C1888))),"Multiple assignees",IF(COUNTIF('Team Setup'!$B$10:$B$34,$C1888)=1,"Matched","Unmatched")))))</x:f>
      </x:c>
      <x:c r="G1888" s="13" t="str">
        <x:f>IF($A1888="","",IF($D1888&lt;&gt;'Team Setup'!$B$4,"Other sprint",IF($E1888="","Unestimated",IF(NOT(ISNUMBER($E1888)),"Check estimate in hours",IF($E1888&lt;0,"Check estimate in hours",IF($E1888=0,"Unestimated","Estimated"))))))</x:f>
      </x:c>
    </x:row>
    <x:row r="1889">
      <x:c r="A1889" s="12"/>
      <x:c r="B1889" s="12"/>
      <x:c r="C1889" s="12"/>
      <x:c r="D1889" s="12"/>
      <x:c r="E1889" s="14"/>
      <x:c r="F1889" s="13" t="str">
        <x:f>IF($A1889="","",IF($D1889&lt;&gt;'Team Setup'!$B$4,"Other sprint",IF($C1889="","Unassigned",IF(OR(ISNUMBER(SEARCH(",",$C1889)),ISNUMBER(SEARCH(";",$C1889))),"Multiple assignees",IF(COUNTIF('Team Setup'!$B$10:$B$34,$C1889)=1,"Matched","Unmatched")))))</x:f>
      </x:c>
      <x:c r="G1889" s="13" t="str">
        <x:f>IF($A1889="","",IF($D1889&lt;&gt;'Team Setup'!$B$4,"Other sprint",IF($E1889="","Unestimated",IF(NOT(ISNUMBER($E1889)),"Check estimate in hours",IF($E1889&lt;0,"Check estimate in hours",IF($E1889=0,"Unestimated","Estimated"))))))</x:f>
      </x:c>
    </x:row>
    <x:row r="1890">
      <x:c r="A1890" s="12"/>
      <x:c r="B1890" s="12"/>
      <x:c r="C1890" s="12"/>
      <x:c r="D1890" s="12"/>
      <x:c r="E1890" s="14"/>
      <x:c r="F1890" s="13" t="str">
        <x:f>IF($A1890="","",IF($D1890&lt;&gt;'Team Setup'!$B$4,"Other sprint",IF($C1890="","Unassigned",IF(OR(ISNUMBER(SEARCH(",",$C1890)),ISNUMBER(SEARCH(";",$C1890))),"Multiple assignees",IF(COUNTIF('Team Setup'!$B$10:$B$34,$C1890)=1,"Matched","Unmatched")))))</x:f>
      </x:c>
      <x:c r="G1890" s="13" t="str">
        <x:f>IF($A1890="","",IF($D1890&lt;&gt;'Team Setup'!$B$4,"Other sprint",IF($E1890="","Unestimated",IF(NOT(ISNUMBER($E1890)),"Check estimate in hours",IF($E1890&lt;0,"Check estimate in hours",IF($E1890=0,"Unestimated","Estimated"))))))</x:f>
      </x:c>
    </x:row>
    <x:row r="1891">
      <x:c r="A1891" s="12"/>
      <x:c r="B1891" s="12"/>
      <x:c r="C1891" s="12"/>
      <x:c r="D1891" s="12"/>
      <x:c r="E1891" s="14"/>
      <x:c r="F1891" s="13" t="str">
        <x:f>IF($A1891="","",IF($D1891&lt;&gt;'Team Setup'!$B$4,"Other sprint",IF($C1891="","Unassigned",IF(OR(ISNUMBER(SEARCH(",",$C1891)),ISNUMBER(SEARCH(";",$C1891))),"Multiple assignees",IF(COUNTIF('Team Setup'!$B$10:$B$34,$C1891)=1,"Matched","Unmatched")))))</x:f>
      </x:c>
      <x:c r="G1891" s="13" t="str">
        <x:f>IF($A1891="","",IF($D1891&lt;&gt;'Team Setup'!$B$4,"Other sprint",IF($E1891="","Unestimated",IF(NOT(ISNUMBER($E1891)),"Check estimate in hours",IF($E1891&lt;0,"Check estimate in hours",IF($E1891=0,"Unestimated","Estimated"))))))</x:f>
      </x:c>
    </x:row>
    <x:row r="1892">
      <x:c r="A1892" s="12"/>
      <x:c r="B1892" s="12"/>
      <x:c r="C1892" s="12"/>
      <x:c r="D1892" s="12"/>
      <x:c r="E1892" s="14"/>
      <x:c r="F1892" s="13" t="str">
        <x:f>IF($A1892="","",IF($D1892&lt;&gt;'Team Setup'!$B$4,"Other sprint",IF($C1892="","Unassigned",IF(OR(ISNUMBER(SEARCH(",",$C1892)),ISNUMBER(SEARCH(";",$C1892))),"Multiple assignees",IF(COUNTIF('Team Setup'!$B$10:$B$34,$C1892)=1,"Matched","Unmatched")))))</x:f>
      </x:c>
      <x:c r="G1892" s="13" t="str">
        <x:f>IF($A1892="","",IF($D1892&lt;&gt;'Team Setup'!$B$4,"Other sprint",IF($E1892="","Unestimated",IF(NOT(ISNUMBER($E1892)),"Check estimate in hours",IF($E1892&lt;0,"Check estimate in hours",IF($E1892=0,"Unestimated","Estimated"))))))</x:f>
      </x:c>
    </x:row>
    <x:row r="1893">
      <x:c r="A1893" s="12"/>
      <x:c r="B1893" s="12"/>
      <x:c r="C1893" s="12"/>
      <x:c r="D1893" s="12"/>
      <x:c r="E1893" s="14"/>
      <x:c r="F1893" s="13" t="str">
        <x:f>IF($A1893="","",IF($D1893&lt;&gt;'Team Setup'!$B$4,"Other sprint",IF($C1893="","Unassigned",IF(OR(ISNUMBER(SEARCH(",",$C1893)),ISNUMBER(SEARCH(";",$C1893))),"Multiple assignees",IF(COUNTIF('Team Setup'!$B$10:$B$34,$C1893)=1,"Matched","Unmatched")))))</x:f>
      </x:c>
      <x:c r="G1893" s="13" t="str">
        <x:f>IF($A1893="","",IF($D1893&lt;&gt;'Team Setup'!$B$4,"Other sprint",IF($E1893="","Unestimated",IF(NOT(ISNUMBER($E1893)),"Check estimate in hours",IF($E1893&lt;0,"Check estimate in hours",IF($E1893=0,"Unestimated","Estimated"))))))</x:f>
      </x:c>
    </x:row>
    <x:row r="1894">
      <x:c r="A1894" s="12"/>
      <x:c r="B1894" s="12"/>
      <x:c r="C1894" s="12"/>
      <x:c r="D1894" s="12"/>
      <x:c r="E1894" s="14"/>
      <x:c r="F1894" s="13" t="str">
        <x:f>IF($A1894="","",IF($D1894&lt;&gt;'Team Setup'!$B$4,"Other sprint",IF($C1894="","Unassigned",IF(OR(ISNUMBER(SEARCH(",",$C1894)),ISNUMBER(SEARCH(";",$C1894))),"Multiple assignees",IF(COUNTIF('Team Setup'!$B$10:$B$34,$C1894)=1,"Matched","Unmatched")))))</x:f>
      </x:c>
      <x:c r="G1894" s="13" t="str">
        <x:f>IF($A1894="","",IF($D1894&lt;&gt;'Team Setup'!$B$4,"Other sprint",IF($E1894="","Unestimated",IF(NOT(ISNUMBER($E1894)),"Check estimate in hours",IF($E1894&lt;0,"Check estimate in hours",IF($E1894=0,"Unestimated","Estimated"))))))</x:f>
      </x:c>
    </x:row>
    <x:row r="1895">
      <x:c r="A1895" s="12"/>
      <x:c r="B1895" s="12"/>
      <x:c r="C1895" s="12"/>
      <x:c r="D1895" s="12"/>
      <x:c r="E1895" s="14"/>
      <x:c r="F1895" s="13" t="str">
        <x:f>IF($A1895="","",IF($D1895&lt;&gt;'Team Setup'!$B$4,"Other sprint",IF($C1895="","Unassigned",IF(OR(ISNUMBER(SEARCH(",",$C1895)),ISNUMBER(SEARCH(";",$C1895))),"Multiple assignees",IF(COUNTIF('Team Setup'!$B$10:$B$34,$C1895)=1,"Matched","Unmatched")))))</x:f>
      </x:c>
      <x:c r="G1895" s="13" t="str">
        <x:f>IF($A1895="","",IF($D1895&lt;&gt;'Team Setup'!$B$4,"Other sprint",IF($E1895="","Unestimated",IF(NOT(ISNUMBER($E1895)),"Check estimate in hours",IF($E1895&lt;0,"Check estimate in hours",IF($E1895=0,"Unestimated","Estimated"))))))</x:f>
      </x:c>
    </x:row>
    <x:row r="1896">
      <x:c r="A1896" s="12"/>
      <x:c r="B1896" s="12"/>
      <x:c r="C1896" s="12"/>
      <x:c r="D1896" s="12"/>
      <x:c r="E1896" s="14"/>
      <x:c r="F1896" s="13" t="str">
        <x:f>IF($A1896="","",IF($D1896&lt;&gt;'Team Setup'!$B$4,"Other sprint",IF($C1896="","Unassigned",IF(OR(ISNUMBER(SEARCH(",",$C1896)),ISNUMBER(SEARCH(";",$C1896))),"Multiple assignees",IF(COUNTIF('Team Setup'!$B$10:$B$34,$C1896)=1,"Matched","Unmatched")))))</x:f>
      </x:c>
      <x:c r="G1896" s="13" t="str">
        <x:f>IF($A1896="","",IF($D1896&lt;&gt;'Team Setup'!$B$4,"Other sprint",IF($E1896="","Unestimated",IF(NOT(ISNUMBER($E1896)),"Check estimate in hours",IF($E1896&lt;0,"Check estimate in hours",IF($E1896=0,"Unestimated","Estimated"))))))</x:f>
      </x:c>
    </x:row>
    <x:row r="1897">
      <x:c r="A1897" s="12"/>
      <x:c r="B1897" s="12"/>
      <x:c r="C1897" s="12"/>
      <x:c r="D1897" s="12"/>
      <x:c r="E1897" s="14"/>
      <x:c r="F1897" s="13" t="str">
        <x:f>IF($A1897="","",IF($D1897&lt;&gt;'Team Setup'!$B$4,"Other sprint",IF($C1897="","Unassigned",IF(OR(ISNUMBER(SEARCH(",",$C1897)),ISNUMBER(SEARCH(";",$C1897))),"Multiple assignees",IF(COUNTIF('Team Setup'!$B$10:$B$34,$C1897)=1,"Matched","Unmatched")))))</x:f>
      </x:c>
      <x:c r="G1897" s="13" t="str">
        <x:f>IF($A1897="","",IF($D1897&lt;&gt;'Team Setup'!$B$4,"Other sprint",IF($E1897="","Unestimated",IF(NOT(ISNUMBER($E1897)),"Check estimate in hours",IF($E1897&lt;0,"Check estimate in hours",IF($E1897=0,"Unestimated","Estimated"))))))</x:f>
      </x:c>
    </x:row>
    <x:row r="1898">
      <x:c r="A1898" s="12"/>
      <x:c r="B1898" s="12"/>
      <x:c r="C1898" s="12"/>
      <x:c r="D1898" s="12"/>
      <x:c r="E1898" s="14"/>
      <x:c r="F1898" s="13" t="str">
        <x:f>IF($A1898="","",IF($D1898&lt;&gt;'Team Setup'!$B$4,"Other sprint",IF($C1898="","Unassigned",IF(OR(ISNUMBER(SEARCH(",",$C1898)),ISNUMBER(SEARCH(";",$C1898))),"Multiple assignees",IF(COUNTIF('Team Setup'!$B$10:$B$34,$C1898)=1,"Matched","Unmatched")))))</x:f>
      </x:c>
      <x:c r="G1898" s="13" t="str">
        <x:f>IF($A1898="","",IF($D1898&lt;&gt;'Team Setup'!$B$4,"Other sprint",IF($E1898="","Unestimated",IF(NOT(ISNUMBER($E1898)),"Check estimate in hours",IF($E1898&lt;0,"Check estimate in hours",IF($E1898=0,"Unestimated","Estimated"))))))</x:f>
      </x:c>
    </x:row>
    <x:row r="1899">
      <x:c r="A1899" s="12"/>
      <x:c r="B1899" s="12"/>
      <x:c r="C1899" s="12"/>
      <x:c r="D1899" s="12"/>
      <x:c r="E1899" s="14"/>
      <x:c r="F1899" s="13" t="str">
        <x:f>IF($A1899="","",IF($D1899&lt;&gt;'Team Setup'!$B$4,"Other sprint",IF($C1899="","Unassigned",IF(OR(ISNUMBER(SEARCH(",",$C1899)),ISNUMBER(SEARCH(";",$C1899))),"Multiple assignees",IF(COUNTIF('Team Setup'!$B$10:$B$34,$C1899)=1,"Matched","Unmatched")))))</x:f>
      </x:c>
      <x:c r="G1899" s="13" t="str">
        <x:f>IF($A1899="","",IF($D1899&lt;&gt;'Team Setup'!$B$4,"Other sprint",IF($E1899="","Unestimated",IF(NOT(ISNUMBER($E1899)),"Check estimate in hours",IF($E1899&lt;0,"Check estimate in hours",IF($E1899=0,"Unestimated","Estimated"))))))</x:f>
      </x:c>
    </x:row>
    <x:row r="1900">
      <x:c r="A1900" s="12"/>
      <x:c r="B1900" s="12"/>
      <x:c r="C1900" s="12"/>
      <x:c r="D1900" s="12"/>
      <x:c r="E1900" s="14"/>
      <x:c r="F1900" s="13" t="str">
        <x:f>IF($A1900="","",IF($D1900&lt;&gt;'Team Setup'!$B$4,"Other sprint",IF($C1900="","Unassigned",IF(OR(ISNUMBER(SEARCH(",",$C1900)),ISNUMBER(SEARCH(";",$C1900))),"Multiple assignees",IF(COUNTIF('Team Setup'!$B$10:$B$34,$C1900)=1,"Matched","Unmatched")))))</x:f>
      </x:c>
      <x:c r="G1900" s="13" t="str">
        <x:f>IF($A1900="","",IF($D1900&lt;&gt;'Team Setup'!$B$4,"Other sprint",IF($E1900="","Unestimated",IF(NOT(ISNUMBER($E1900)),"Check estimate in hours",IF($E1900&lt;0,"Check estimate in hours",IF($E1900=0,"Unestimated","Estimated"))))))</x:f>
      </x:c>
    </x:row>
    <x:row r="1901">
      <x:c r="A1901" s="12"/>
      <x:c r="B1901" s="12"/>
      <x:c r="C1901" s="12"/>
      <x:c r="D1901" s="12"/>
      <x:c r="E1901" s="14"/>
      <x:c r="F1901" s="13" t="str">
        <x:f>IF($A1901="","",IF($D1901&lt;&gt;'Team Setup'!$B$4,"Other sprint",IF($C1901="","Unassigned",IF(OR(ISNUMBER(SEARCH(",",$C1901)),ISNUMBER(SEARCH(";",$C1901))),"Multiple assignees",IF(COUNTIF('Team Setup'!$B$10:$B$34,$C1901)=1,"Matched","Unmatched")))))</x:f>
      </x:c>
      <x:c r="G1901" s="13" t="str">
        <x:f>IF($A1901="","",IF($D1901&lt;&gt;'Team Setup'!$B$4,"Other sprint",IF($E1901="","Unestimated",IF(NOT(ISNUMBER($E1901)),"Check estimate in hours",IF($E1901&lt;0,"Check estimate in hours",IF($E1901=0,"Unestimated","Estimated"))))))</x:f>
      </x:c>
    </x:row>
    <x:row r="1902">
      <x:c r="A1902" s="12"/>
      <x:c r="B1902" s="12"/>
      <x:c r="C1902" s="12"/>
      <x:c r="D1902" s="12"/>
      <x:c r="E1902" s="14"/>
      <x:c r="F1902" s="13" t="str">
        <x:f>IF($A1902="","",IF($D1902&lt;&gt;'Team Setup'!$B$4,"Other sprint",IF($C1902="","Unassigned",IF(OR(ISNUMBER(SEARCH(",",$C1902)),ISNUMBER(SEARCH(";",$C1902))),"Multiple assignees",IF(COUNTIF('Team Setup'!$B$10:$B$34,$C1902)=1,"Matched","Unmatched")))))</x:f>
      </x:c>
      <x:c r="G1902" s="13" t="str">
        <x:f>IF($A1902="","",IF($D1902&lt;&gt;'Team Setup'!$B$4,"Other sprint",IF($E1902="","Unestimated",IF(NOT(ISNUMBER($E1902)),"Check estimate in hours",IF($E1902&lt;0,"Check estimate in hours",IF($E1902=0,"Unestimated","Estimated"))))))</x:f>
      </x:c>
    </x:row>
    <x:row r="1903">
      <x:c r="A1903" s="12"/>
      <x:c r="B1903" s="12"/>
      <x:c r="C1903" s="12"/>
      <x:c r="D1903" s="12"/>
      <x:c r="E1903" s="14"/>
      <x:c r="F1903" s="13" t="str">
        <x:f>IF($A1903="","",IF($D1903&lt;&gt;'Team Setup'!$B$4,"Other sprint",IF($C1903="","Unassigned",IF(OR(ISNUMBER(SEARCH(",",$C1903)),ISNUMBER(SEARCH(";",$C1903))),"Multiple assignees",IF(COUNTIF('Team Setup'!$B$10:$B$34,$C1903)=1,"Matched","Unmatched")))))</x:f>
      </x:c>
      <x:c r="G1903" s="13" t="str">
        <x:f>IF($A1903="","",IF($D1903&lt;&gt;'Team Setup'!$B$4,"Other sprint",IF($E1903="","Unestimated",IF(NOT(ISNUMBER($E1903)),"Check estimate in hours",IF($E1903&lt;0,"Check estimate in hours",IF($E1903=0,"Unestimated","Estimated"))))))</x:f>
      </x:c>
    </x:row>
    <x:row r="1904">
      <x:c r="A1904" s="12"/>
      <x:c r="B1904" s="12"/>
      <x:c r="C1904" s="12"/>
      <x:c r="D1904" s="12"/>
      <x:c r="E1904" s="14"/>
      <x:c r="F1904" s="13" t="str">
        <x:f>IF($A1904="","",IF($D1904&lt;&gt;'Team Setup'!$B$4,"Other sprint",IF($C1904="","Unassigned",IF(OR(ISNUMBER(SEARCH(",",$C1904)),ISNUMBER(SEARCH(";",$C1904))),"Multiple assignees",IF(COUNTIF('Team Setup'!$B$10:$B$34,$C1904)=1,"Matched","Unmatched")))))</x:f>
      </x:c>
      <x:c r="G1904" s="13" t="str">
        <x:f>IF($A1904="","",IF($D1904&lt;&gt;'Team Setup'!$B$4,"Other sprint",IF($E1904="","Unestimated",IF(NOT(ISNUMBER($E1904)),"Check estimate in hours",IF($E1904&lt;0,"Check estimate in hours",IF($E1904=0,"Unestimated","Estimated"))))))</x:f>
      </x:c>
    </x:row>
    <x:row r="1905">
      <x:c r="A1905" s="12"/>
      <x:c r="B1905" s="12"/>
      <x:c r="C1905" s="12"/>
      <x:c r="D1905" s="12"/>
      <x:c r="E1905" s="14"/>
      <x:c r="F1905" s="13" t="str">
        <x:f>IF($A1905="","",IF($D1905&lt;&gt;'Team Setup'!$B$4,"Other sprint",IF($C1905="","Unassigned",IF(OR(ISNUMBER(SEARCH(",",$C1905)),ISNUMBER(SEARCH(";",$C1905))),"Multiple assignees",IF(COUNTIF('Team Setup'!$B$10:$B$34,$C1905)=1,"Matched","Unmatched")))))</x:f>
      </x:c>
      <x:c r="G1905" s="13" t="str">
        <x:f>IF($A1905="","",IF($D1905&lt;&gt;'Team Setup'!$B$4,"Other sprint",IF($E1905="","Unestimated",IF(NOT(ISNUMBER($E1905)),"Check estimate in hours",IF($E1905&lt;0,"Check estimate in hours",IF($E1905=0,"Unestimated","Estimated"))))))</x:f>
      </x:c>
    </x:row>
    <x:row r="1906">
      <x:c r="A1906" s="12"/>
      <x:c r="B1906" s="12"/>
      <x:c r="C1906" s="12"/>
      <x:c r="D1906" s="12"/>
      <x:c r="E1906" s="14"/>
      <x:c r="F1906" s="13" t="str">
        <x:f>IF($A1906="","",IF($D1906&lt;&gt;'Team Setup'!$B$4,"Other sprint",IF($C1906="","Unassigned",IF(OR(ISNUMBER(SEARCH(",",$C1906)),ISNUMBER(SEARCH(";",$C1906))),"Multiple assignees",IF(COUNTIF('Team Setup'!$B$10:$B$34,$C1906)=1,"Matched","Unmatched")))))</x:f>
      </x:c>
      <x:c r="G1906" s="13" t="str">
        <x:f>IF($A1906="","",IF($D1906&lt;&gt;'Team Setup'!$B$4,"Other sprint",IF($E1906="","Unestimated",IF(NOT(ISNUMBER($E1906)),"Check estimate in hours",IF($E1906&lt;0,"Check estimate in hours",IF($E1906=0,"Unestimated","Estimated"))))))</x:f>
      </x:c>
    </x:row>
    <x:row r="1907">
      <x:c r="A1907" s="12"/>
      <x:c r="B1907" s="12"/>
      <x:c r="C1907" s="12"/>
      <x:c r="D1907" s="12"/>
      <x:c r="E1907" s="14"/>
      <x:c r="F1907" s="13" t="str">
        <x:f>IF($A1907="","",IF($D1907&lt;&gt;'Team Setup'!$B$4,"Other sprint",IF($C1907="","Unassigned",IF(OR(ISNUMBER(SEARCH(",",$C1907)),ISNUMBER(SEARCH(";",$C1907))),"Multiple assignees",IF(COUNTIF('Team Setup'!$B$10:$B$34,$C1907)=1,"Matched","Unmatched")))))</x:f>
      </x:c>
      <x:c r="G1907" s="13" t="str">
        <x:f>IF($A1907="","",IF($D1907&lt;&gt;'Team Setup'!$B$4,"Other sprint",IF($E1907="","Unestimated",IF(NOT(ISNUMBER($E1907)),"Check estimate in hours",IF($E1907&lt;0,"Check estimate in hours",IF($E1907=0,"Unestimated","Estimated"))))))</x:f>
      </x:c>
    </x:row>
    <x:row r="1908">
      <x:c r="A1908" s="12"/>
      <x:c r="B1908" s="12"/>
      <x:c r="C1908" s="12"/>
      <x:c r="D1908" s="12"/>
      <x:c r="E1908" s="14"/>
      <x:c r="F1908" s="13" t="str">
        <x:f>IF($A1908="","",IF($D1908&lt;&gt;'Team Setup'!$B$4,"Other sprint",IF($C1908="","Unassigned",IF(OR(ISNUMBER(SEARCH(",",$C1908)),ISNUMBER(SEARCH(";",$C1908))),"Multiple assignees",IF(COUNTIF('Team Setup'!$B$10:$B$34,$C1908)=1,"Matched","Unmatched")))))</x:f>
      </x:c>
      <x:c r="G1908" s="13" t="str">
        <x:f>IF($A1908="","",IF($D1908&lt;&gt;'Team Setup'!$B$4,"Other sprint",IF($E1908="","Unestimated",IF(NOT(ISNUMBER($E1908)),"Check estimate in hours",IF($E1908&lt;0,"Check estimate in hours",IF($E1908=0,"Unestimated","Estimated"))))))</x:f>
      </x:c>
    </x:row>
    <x:row r="1909">
      <x:c r="A1909" s="12"/>
      <x:c r="B1909" s="12"/>
      <x:c r="C1909" s="12"/>
      <x:c r="D1909" s="12"/>
      <x:c r="E1909" s="14"/>
      <x:c r="F1909" s="13" t="str">
        <x:f>IF($A1909="","",IF($D1909&lt;&gt;'Team Setup'!$B$4,"Other sprint",IF($C1909="","Unassigned",IF(OR(ISNUMBER(SEARCH(",",$C1909)),ISNUMBER(SEARCH(";",$C1909))),"Multiple assignees",IF(COUNTIF('Team Setup'!$B$10:$B$34,$C1909)=1,"Matched","Unmatched")))))</x:f>
      </x:c>
      <x:c r="G1909" s="13" t="str">
        <x:f>IF($A1909="","",IF($D1909&lt;&gt;'Team Setup'!$B$4,"Other sprint",IF($E1909="","Unestimated",IF(NOT(ISNUMBER($E1909)),"Check estimate in hours",IF($E1909&lt;0,"Check estimate in hours",IF($E1909=0,"Unestimated","Estimated"))))))</x:f>
      </x:c>
    </x:row>
    <x:row r="1910">
      <x:c r="A1910" s="12"/>
      <x:c r="B1910" s="12"/>
      <x:c r="C1910" s="12"/>
      <x:c r="D1910" s="12"/>
      <x:c r="E1910" s="14"/>
      <x:c r="F1910" s="13" t="str">
        <x:f>IF($A1910="","",IF($D1910&lt;&gt;'Team Setup'!$B$4,"Other sprint",IF($C1910="","Unassigned",IF(OR(ISNUMBER(SEARCH(",",$C1910)),ISNUMBER(SEARCH(";",$C1910))),"Multiple assignees",IF(COUNTIF('Team Setup'!$B$10:$B$34,$C1910)=1,"Matched","Unmatched")))))</x:f>
      </x:c>
      <x:c r="G1910" s="13" t="str">
        <x:f>IF($A1910="","",IF($D1910&lt;&gt;'Team Setup'!$B$4,"Other sprint",IF($E1910="","Unestimated",IF(NOT(ISNUMBER($E1910)),"Check estimate in hours",IF($E1910&lt;0,"Check estimate in hours",IF($E1910=0,"Unestimated","Estimated"))))))</x:f>
      </x:c>
    </x:row>
    <x:row r="1911">
      <x:c r="A1911" s="12"/>
      <x:c r="B1911" s="12"/>
      <x:c r="C1911" s="12"/>
      <x:c r="D1911" s="12"/>
      <x:c r="E1911" s="14"/>
      <x:c r="F1911" s="13" t="str">
        <x:f>IF($A1911="","",IF($D1911&lt;&gt;'Team Setup'!$B$4,"Other sprint",IF($C1911="","Unassigned",IF(OR(ISNUMBER(SEARCH(",",$C1911)),ISNUMBER(SEARCH(";",$C1911))),"Multiple assignees",IF(COUNTIF('Team Setup'!$B$10:$B$34,$C1911)=1,"Matched","Unmatched")))))</x:f>
      </x:c>
      <x:c r="G1911" s="13" t="str">
        <x:f>IF($A1911="","",IF($D1911&lt;&gt;'Team Setup'!$B$4,"Other sprint",IF($E1911="","Unestimated",IF(NOT(ISNUMBER($E1911)),"Check estimate in hours",IF($E1911&lt;0,"Check estimate in hours",IF($E1911=0,"Unestimated","Estimated"))))))</x:f>
      </x:c>
    </x:row>
    <x:row r="1912">
      <x:c r="A1912" s="12"/>
      <x:c r="B1912" s="12"/>
      <x:c r="C1912" s="12"/>
      <x:c r="D1912" s="12"/>
      <x:c r="E1912" s="14"/>
      <x:c r="F1912" s="13" t="str">
        <x:f>IF($A1912="","",IF($D1912&lt;&gt;'Team Setup'!$B$4,"Other sprint",IF($C1912="","Unassigned",IF(OR(ISNUMBER(SEARCH(",",$C1912)),ISNUMBER(SEARCH(";",$C1912))),"Multiple assignees",IF(COUNTIF('Team Setup'!$B$10:$B$34,$C1912)=1,"Matched","Unmatched")))))</x:f>
      </x:c>
      <x:c r="G1912" s="13" t="str">
        <x:f>IF($A1912="","",IF($D1912&lt;&gt;'Team Setup'!$B$4,"Other sprint",IF($E1912="","Unestimated",IF(NOT(ISNUMBER($E1912)),"Check estimate in hours",IF($E1912&lt;0,"Check estimate in hours",IF($E1912=0,"Unestimated","Estimated"))))))</x:f>
      </x:c>
    </x:row>
    <x:row r="1913">
      <x:c r="A1913" s="12"/>
      <x:c r="B1913" s="12"/>
      <x:c r="C1913" s="12"/>
      <x:c r="D1913" s="12"/>
      <x:c r="E1913" s="14"/>
      <x:c r="F1913" s="13" t="str">
        <x:f>IF($A1913="","",IF($D1913&lt;&gt;'Team Setup'!$B$4,"Other sprint",IF($C1913="","Unassigned",IF(OR(ISNUMBER(SEARCH(",",$C1913)),ISNUMBER(SEARCH(";",$C1913))),"Multiple assignees",IF(COUNTIF('Team Setup'!$B$10:$B$34,$C1913)=1,"Matched","Unmatched")))))</x:f>
      </x:c>
      <x:c r="G1913" s="13" t="str">
        <x:f>IF($A1913="","",IF($D1913&lt;&gt;'Team Setup'!$B$4,"Other sprint",IF($E1913="","Unestimated",IF(NOT(ISNUMBER($E1913)),"Check estimate in hours",IF($E1913&lt;0,"Check estimate in hours",IF($E1913=0,"Unestimated","Estimated"))))))</x:f>
      </x:c>
    </x:row>
    <x:row r="1914">
      <x:c r="A1914" s="12"/>
      <x:c r="B1914" s="12"/>
      <x:c r="C1914" s="12"/>
      <x:c r="D1914" s="12"/>
      <x:c r="E1914" s="14"/>
      <x:c r="F1914" s="13" t="str">
        <x:f>IF($A1914="","",IF($D1914&lt;&gt;'Team Setup'!$B$4,"Other sprint",IF($C1914="","Unassigned",IF(OR(ISNUMBER(SEARCH(",",$C1914)),ISNUMBER(SEARCH(";",$C1914))),"Multiple assignees",IF(COUNTIF('Team Setup'!$B$10:$B$34,$C1914)=1,"Matched","Unmatched")))))</x:f>
      </x:c>
      <x:c r="G1914" s="13" t="str">
        <x:f>IF($A1914="","",IF($D1914&lt;&gt;'Team Setup'!$B$4,"Other sprint",IF($E1914="","Unestimated",IF(NOT(ISNUMBER($E1914)),"Check estimate in hours",IF($E1914&lt;0,"Check estimate in hours",IF($E1914=0,"Unestimated","Estimated"))))))</x:f>
      </x:c>
    </x:row>
    <x:row r="1915">
      <x:c r="A1915" s="12"/>
      <x:c r="B1915" s="12"/>
      <x:c r="C1915" s="12"/>
      <x:c r="D1915" s="12"/>
      <x:c r="E1915" s="14"/>
      <x:c r="F1915" s="13" t="str">
        <x:f>IF($A1915="","",IF($D1915&lt;&gt;'Team Setup'!$B$4,"Other sprint",IF($C1915="","Unassigned",IF(OR(ISNUMBER(SEARCH(",",$C1915)),ISNUMBER(SEARCH(";",$C1915))),"Multiple assignees",IF(COUNTIF('Team Setup'!$B$10:$B$34,$C1915)=1,"Matched","Unmatched")))))</x:f>
      </x:c>
      <x:c r="G1915" s="13" t="str">
        <x:f>IF($A1915="","",IF($D1915&lt;&gt;'Team Setup'!$B$4,"Other sprint",IF($E1915="","Unestimated",IF(NOT(ISNUMBER($E1915)),"Check estimate in hours",IF($E1915&lt;0,"Check estimate in hours",IF($E1915=0,"Unestimated","Estimated"))))))</x:f>
      </x:c>
    </x:row>
    <x:row r="1916">
      <x:c r="A1916" s="12"/>
      <x:c r="B1916" s="12"/>
      <x:c r="C1916" s="12"/>
      <x:c r="D1916" s="12"/>
      <x:c r="E1916" s="14"/>
      <x:c r="F1916" s="13" t="str">
        <x:f>IF($A1916="","",IF($D1916&lt;&gt;'Team Setup'!$B$4,"Other sprint",IF($C1916="","Unassigned",IF(OR(ISNUMBER(SEARCH(",",$C1916)),ISNUMBER(SEARCH(";",$C1916))),"Multiple assignees",IF(COUNTIF('Team Setup'!$B$10:$B$34,$C1916)=1,"Matched","Unmatched")))))</x:f>
      </x:c>
      <x:c r="G1916" s="13" t="str">
        <x:f>IF($A1916="","",IF($D1916&lt;&gt;'Team Setup'!$B$4,"Other sprint",IF($E1916="","Unestimated",IF(NOT(ISNUMBER($E1916)),"Check estimate in hours",IF($E1916&lt;0,"Check estimate in hours",IF($E1916=0,"Unestimated","Estimated"))))))</x:f>
      </x:c>
    </x:row>
    <x:row r="1917">
      <x:c r="A1917" s="12"/>
      <x:c r="B1917" s="12"/>
      <x:c r="C1917" s="12"/>
      <x:c r="D1917" s="12"/>
      <x:c r="E1917" s="14"/>
      <x:c r="F1917" s="13" t="str">
        <x:f>IF($A1917="","",IF($D1917&lt;&gt;'Team Setup'!$B$4,"Other sprint",IF($C1917="","Unassigned",IF(OR(ISNUMBER(SEARCH(",",$C1917)),ISNUMBER(SEARCH(";",$C1917))),"Multiple assignees",IF(COUNTIF('Team Setup'!$B$10:$B$34,$C1917)=1,"Matched","Unmatched")))))</x:f>
      </x:c>
      <x:c r="G1917" s="13" t="str">
        <x:f>IF($A1917="","",IF($D1917&lt;&gt;'Team Setup'!$B$4,"Other sprint",IF($E1917="","Unestimated",IF(NOT(ISNUMBER($E1917)),"Check estimate in hours",IF($E1917&lt;0,"Check estimate in hours",IF($E1917=0,"Unestimated","Estimated"))))))</x:f>
      </x:c>
    </x:row>
    <x:row r="1918">
      <x:c r="A1918" s="12"/>
      <x:c r="B1918" s="12"/>
      <x:c r="C1918" s="12"/>
      <x:c r="D1918" s="12"/>
      <x:c r="E1918" s="14"/>
      <x:c r="F1918" s="13" t="str">
        <x:f>IF($A1918="","",IF($D1918&lt;&gt;'Team Setup'!$B$4,"Other sprint",IF($C1918="","Unassigned",IF(OR(ISNUMBER(SEARCH(",",$C1918)),ISNUMBER(SEARCH(";",$C1918))),"Multiple assignees",IF(COUNTIF('Team Setup'!$B$10:$B$34,$C1918)=1,"Matched","Unmatched")))))</x:f>
      </x:c>
      <x:c r="G1918" s="13" t="str">
        <x:f>IF($A1918="","",IF($D1918&lt;&gt;'Team Setup'!$B$4,"Other sprint",IF($E1918="","Unestimated",IF(NOT(ISNUMBER($E1918)),"Check estimate in hours",IF($E1918&lt;0,"Check estimate in hours",IF($E1918=0,"Unestimated","Estimated"))))))</x:f>
      </x:c>
    </x:row>
    <x:row r="1919">
      <x:c r="A1919" s="12"/>
      <x:c r="B1919" s="12"/>
      <x:c r="C1919" s="12"/>
      <x:c r="D1919" s="12"/>
      <x:c r="E1919" s="14"/>
      <x:c r="F1919" s="13" t="str">
        <x:f>IF($A1919="","",IF($D1919&lt;&gt;'Team Setup'!$B$4,"Other sprint",IF($C1919="","Unassigned",IF(OR(ISNUMBER(SEARCH(",",$C1919)),ISNUMBER(SEARCH(";",$C1919))),"Multiple assignees",IF(COUNTIF('Team Setup'!$B$10:$B$34,$C1919)=1,"Matched","Unmatched")))))</x:f>
      </x:c>
      <x:c r="G1919" s="13" t="str">
        <x:f>IF($A1919="","",IF($D1919&lt;&gt;'Team Setup'!$B$4,"Other sprint",IF($E1919="","Unestimated",IF(NOT(ISNUMBER($E1919)),"Check estimate in hours",IF($E1919&lt;0,"Check estimate in hours",IF($E1919=0,"Unestimated","Estimated"))))))</x:f>
      </x:c>
    </x:row>
    <x:row r="1920">
      <x:c r="A1920" s="12"/>
      <x:c r="B1920" s="12"/>
      <x:c r="C1920" s="12"/>
      <x:c r="D1920" s="12"/>
      <x:c r="E1920" s="14"/>
      <x:c r="F1920" s="13" t="str">
        <x:f>IF($A1920="","",IF($D1920&lt;&gt;'Team Setup'!$B$4,"Other sprint",IF($C1920="","Unassigned",IF(OR(ISNUMBER(SEARCH(",",$C1920)),ISNUMBER(SEARCH(";",$C1920))),"Multiple assignees",IF(COUNTIF('Team Setup'!$B$10:$B$34,$C1920)=1,"Matched","Unmatched")))))</x:f>
      </x:c>
      <x:c r="G1920" s="13" t="str">
        <x:f>IF($A1920="","",IF($D1920&lt;&gt;'Team Setup'!$B$4,"Other sprint",IF($E1920="","Unestimated",IF(NOT(ISNUMBER($E1920)),"Check estimate in hours",IF($E1920&lt;0,"Check estimate in hours",IF($E1920=0,"Unestimated","Estimated"))))))</x:f>
      </x:c>
    </x:row>
    <x:row r="1921">
      <x:c r="A1921" s="12"/>
      <x:c r="B1921" s="12"/>
      <x:c r="C1921" s="12"/>
      <x:c r="D1921" s="12"/>
      <x:c r="E1921" s="14"/>
      <x:c r="F1921" s="13" t="str">
        <x:f>IF($A1921="","",IF($D1921&lt;&gt;'Team Setup'!$B$4,"Other sprint",IF($C1921="","Unassigned",IF(OR(ISNUMBER(SEARCH(",",$C1921)),ISNUMBER(SEARCH(";",$C1921))),"Multiple assignees",IF(COUNTIF('Team Setup'!$B$10:$B$34,$C1921)=1,"Matched","Unmatched")))))</x:f>
      </x:c>
      <x:c r="G1921" s="13" t="str">
        <x:f>IF($A1921="","",IF($D1921&lt;&gt;'Team Setup'!$B$4,"Other sprint",IF($E1921="","Unestimated",IF(NOT(ISNUMBER($E1921)),"Check estimate in hours",IF($E1921&lt;0,"Check estimate in hours",IF($E1921=0,"Unestimated","Estimated"))))))</x:f>
      </x:c>
    </x:row>
    <x:row r="1922">
      <x:c r="A1922" s="12"/>
      <x:c r="B1922" s="12"/>
      <x:c r="C1922" s="12"/>
      <x:c r="D1922" s="12"/>
      <x:c r="E1922" s="14"/>
      <x:c r="F1922" s="13" t="str">
        <x:f>IF($A1922="","",IF($D1922&lt;&gt;'Team Setup'!$B$4,"Other sprint",IF($C1922="","Unassigned",IF(OR(ISNUMBER(SEARCH(",",$C1922)),ISNUMBER(SEARCH(";",$C1922))),"Multiple assignees",IF(COUNTIF('Team Setup'!$B$10:$B$34,$C1922)=1,"Matched","Unmatched")))))</x:f>
      </x:c>
      <x:c r="G1922" s="13" t="str">
        <x:f>IF($A1922="","",IF($D1922&lt;&gt;'Team Setup'!$B$4,"Other sprint",IF($E1922="","Unestimated",IF(NOT(ISNUMBER($E1922)),"Check estimate in hours",IF($E1922&lt;0,"Check estimate in hours",IF($E1922=0,"Unestimated","Estimated"))))))</x:f>
      </x:c>
    </x:row>
    <x:row r="1923">
      <x:c r="A1923" s="12"/>
      <x:c r="B1923" s="12"/>
      <x:c r="C1923" s="12"/>
      <x:c r="D1923" s="12"/>
      <x:c r="E1923" s="14"/>
      <x:c r="F1923" s="13" t="str">
        <x:f>IF($A1923="","",IF($D1923&lt;&gt;'Team Setup'!$B$4,"Other sprint",IF($C1923="","Unassigned",IF(OR(ISNUMBER(SEARCH(",",$C1923)),ISNUMBER(SEARCH(";",$C1923))),"Multiple assignees",IF(COUNTIF('Team Setup'!$B$10:$B$34,$C1923)=1,"Matched","Unmatched")))))</x:f>
      </x:c>
      <x:c r="G1923" s="13" t="str">
        <x:f>IF($A1923="","",IF($D1923&lt;&gt;'Team Setup'!$B$4,"Other sprint",IF($E1923="","Unestimated",IF(NOT(ISNUMBER($E1923)),"Check estimate in hours",IF($E1923&lt;0,"Check estimate in hours",IF($E1923=0,"Unestimated","Estimated"))))))</x:f>
      </x:c>
    </x:row>
    <x:row r="1924">
      <x:c r="A1924" s="12"/>
      <x:c r="B1924" s="12"/>
      <x:c r="C1924" s="12"/>
      <x:c r="D1924" s="12"/>
      <x:c r="E1924" s="14"/>
      <x:c r="F1924" s="13" t="str">
        <x:f>IF($A1924="","",IF($D1924&lt;&gt;'Team Setup'!$B$4,"Other sprint",IF($C1924="","Unassigned",IF(OR(ISNUMBER(SEARCH(",",$C1924)),ISNUMBER(SEARCH(";",$C1924))),"Multiple assignees",IF(COUNTIF('Team Setup'!$B$10:$B$34,$C1924)=1,"Matched","Unmatched")))))</x:f>
      </x:c>
      <x:c r="G1924" s="13" t="str">
        <x:f>IF($A1924="","",IF($D1924&lt;&gt;'Team Setup'!$B$4,"Other sprint",IF($E1924="","Unestimated",IF(NOT(ISNUMBER($E1924)),"Check estimate in hours",IF($E1924&lt;0,"Check estimate in hours",IF($E1924=0,"Unestimated","Estimated"))))))</x:f>
      </x:c>
    </x:row>
    <x:row r="1925">
      <x:c r="A1925" s="12"/>
      <x:c r="B1925" s="12"/>
      <x:c r="C1925" s="12"/>
      <x:c r="D1925" s="12"/>
      <x:c r="E1925" s="14"/>
      <x:c r="F1925" s="13" t="str">
        <x:f>IF($A1925="","",IF($D1925&lt;&gt;'Team Setup'!$B$4,"Other sprint",IF($C1925="","Unassigned",IF(OR(ISNUMBER(SEARCH(",",$C1925)),ISNUMBER(SEARCH(";",$C1925))),"Multiple assignees",IF(COUNTIF('Team Setup'!$B$10:$B$34,$C1925)=1,"Matched","Unmatched")))))</x:f>
      </x:c>
      <x:c r="G1925" s="13" t="str">
        <x:f>IF($A1925="","",IF($D1925&lt;&gt;'Team Setup'!$B$4,"Other sprint",IF($E1925="","Unestimated",IF(NOT(ISNUMBER($E1925)),"Check estimate in hours",IF($E1925&lt;0,"Check estimate in hours",IF($E1925=0,"Unestimated","Estimated"))))))</x:f>
      </x:c>
    </x:row>
    <x:row r="1926">
      <x:c r="A1926" s="12"/>
      <x:c r="B1926" s="12"/>
      <x:c r="C1926" s="12"/>
      <x:c r="D1926" s="12"/>
      <x:c r="E1926" s="14"/>
      <x:c r="F1926" s="13" t="str">
        <x:f>IF($A1926="","",IF($D1926&lt;&gt;'Team Setup'!$B$4,"Other sprint",IF($C1926="","Unassigned",IF(OR(ISNUMBER(SEARCH(",",$C1926)),ISNUMBER(SEARCH(";",$C1926))),"Multiple assignees",IF(COUNTIF('Team Setup'!$B$10:$B$34,$C1926)=1,"Matched","Unmatched")))))</x:f>
      </x:c>
      <x:c r="G1926" s="13" t="str">
        <x:f>IF($A1926="","",IF($D1926&lt;&gt;'Team Setup'!$B$4,"Other sprint",IF($E1926="","Unestimated",IF(NOT(ISNUMBER($E1926)),"Check estimate in hours",IF($E1926&lt;0,"Check estimate in hours",IF($E1926=0,"Unestimated","Estimated"))))))</x:f>
      </x:c>
    </x:row>
    <x:row r="1927">
      <x:c r="A1927" s="12"/>
      <x:c r="B1927" s="12"/>
      <x:c r="C1927" s="12"/>
      <x:c r="D1927" s="12"/>
      <x:c r="E1927" s="14"/>
      <x:c r="F1927" s="13" t="str">
        <x:f>IF($A1927="","",IF($D1927&lt;&gt;'Team Setup'!$B$4,"Other sprint",IF($C1927="","Unassigned",IF(OR(ISNUMBER(SEARCH(",",$C1927)),ISNUMBER(SEARCH(";",$C1927))),"Multiple assignees",IF(COUNTIF('Team Setup'!$B$10:$B$34,$C1927)=1,"Matched","Unmatched")))))</x:f>
      </x:c>
      <x:c r="G1927" s="13" t="str">
        <x:f>IF($A1927="","",IF($D1927&lt;&gt;'Team Setup'!$B$4,"Other sprint",IF($E1927="","Unestimated",IF(NOT(ISNUMBER($E1927)),"Check estimate in hours",IF($E1927&lt;0,"Check estimate in hours",IF($E1927=0,"Unestimated","Estimated"))))))</x:f>
      </x:c>
    </x:row>
    <x:row r="1928">
      <x:c r="A1928" s="12"/>
      <x:c r="B1928" s="12"/>
      <x:c r="C1928" s="12"/>
      <x:c r="D1928" s="12"/>
      <x:c r="E1928" s="14"/>
      <x:c r="F1928" s="13" t="str">
        <x:f>IF($A1928="","",IF($D1928&lt;&gt;'Team Setup'!$B$4,"Other sprint",IF($C1928="","Unassigned",IF(OR(ISNUMBER(SEARCH(",",$C1928)),ISNUMBER(SEARCH(";",$C1928))),"Multiple assignees",IF(COUNTIF('Team Setup'!$B$10:$B$34,$C1928)=1,"Matched","Unmatched")))))</x:f>
      </x:c>
      <x:c r="G1928" s="13" t="str">
        <x:f>IF($A1928="","",IF($D1928&lt;&gt;'Team Setup'!$B$4,"Other sprint",IF($E1928="","Unestimated",IF(NOT(ISNUMBER($E1928)),"Check estimate in hours",IF($E1928&lt;0,"Check estimate in hours",IF($E1928=0,"Unestimated","Estimated"))))))</x:f>
      </x:c>
    </x:row>
    <x:row r="1929">
      <x:c r="A1929" s="12"/>
      <x:c r="B1929" s="12"/>
      <x:c r="C1929" s="12"/>
      <x:c r="D1929" s="12"/>
      <x:c r="E1929" s="14"/>
      <x:c r="F1929" s="13" t="str">
        <x:f>IF($A1929="","",IF($D1929&lt;&gt;'Team Setup'!$B$4,"Other sprint",IF($C1929="","Unassigned",IF(OR(ISNUMBER(SEARCH(",",$C1929)),ISNUMBER(SEARCH(";",$C1929))),"Multiple assignees",IF(COUNTIF('Team Setup'!$B$10:$B$34,$C1929)=1,"Matched","Unmatched")))))</x:f>
      </x:c>
      <x:c r="G1929" s="13" t="str">
        <x:f>IF($A1929="","",IF($D1929&lt;&gt;'Team Setup'!$B$4,"Other sprint",IF($E1929="","Unestimated",IF(NOT(ISNUMBER($E1929)),"Check estimate in hours",IF($E1929&lt;0,"Check estimate in hours",IF($E1929=0,"Unestimated","Estimated"))))))</x:f>
      </x:c>
    </x:row>
    <x:row r="1930">
      <x:c r="A1930" s="12"/>
      <x:c r="B1930" s="12"/>
      <x:c r="C1930" s="12"/>
      <x:c r="D1930" s="12"/>
      <x:c r="E1930" s="14"/>
      <x:c r="F1930" s="13" t="str">
        <x:f>IF($A1930="","",IF($D1930&lt;&gt;'Team Setup'!$B$4,"Other sprint",IF($C1930="","Unassigned",IF(OR(ISNUMBER(SEARCH(",",$C1930)),ISNUMBER(SEARCH(";",$C1930))),"Multiple assignees",IF(COUNTIF('Team Setup'!$B$10:$B$34,$C1930)=1,"Matched","Unmatched")))))</x:f>
      </x:c>
      <x:c r="G1930" s="13" t="str">
        <x:f>IF($A1930="","",IF($D1930&lt;&gt;'Team Setup'!$B$4,"Other sprint",IF($E1930="","Unestimated",IF(NOT(ISNUMBER($E1930)),"Check estimate in hours",IF($E1930&lt;0,"Check estimate in hours",IF($E1930=0,"Unestimated","Estimated"))))))</x:f>
      </x:c>
    </x:row>
    <x:row r="1931">
      <x:c r="A1931" s="12"/>
      <x:c r="B1931" s="12"/>
      <x:c r="C1931" s="12"/>
      <x:c r="D1931" s="12"/>
      <x:c r="E1931" s="14"/>
      <x:c r="F1931" s="13" t="str">
        <x:f>IF($A1931="","",IF($D1931&lt;&gt;'Team Setup'!$B$4,"Other sprint",IF($C1931="","Unassigned",IF(OR(ISNUMBER(SEARCH(",",$C1931)),ISNUMBER(SEARCH(";",$C1931))),"Multiple assignees",IF(COUNTIF('Team Setup'!$B$10:$B$34,$C1931)=1,"Matched","Unmatched")))))</x:f>
      </x:c>
      <x:c r="G1931" s="13" t="str">
        <x:f>IF($A1931="","",IF($D1931&lt;&gt;'Team Setup'!$B$4,"Other sprint",IF($E1931="","Unestimated",IF(NOT(ISNUMBER($E1931)),"Check estimate in hours",IF($E1931&lt;0,"Check estimate in hours",IF($E1931=0,"Unestimated","Estimated"))))))</x:f>
      </x:c>
    </x:row>
    <x:row r="1932">
      <x:c r="A1932" s="12"/>
      <x:c r="B1932" s="12"/>
      <x:c r="C1932" s="12"/>
      <x:c r="D1932" s="12"/>
      <x:c r="E1932" s="14"/>
      <x:c r="F1932" s="13" t="str">
        <x:f>IF($A1932="","",IF($D1932&lt;&gt;'Team Setup'!$B$4,"Other sprint",IF($C1932="","Unassigned",IF(OR(ISNUMBER(SEARCH(",",$C1932)),ISNUMBER(SEARCH(";",$C1932))),"Multiple assignees",IF(COUNTIF('Team Setup'!$B$10:$B$34,$C1932)=1,"Matched","Unmatched")))))</x:f>
      </x:c>
      <x:c r="G1932" s="13" t="str">
        <x:f>IF($A1932="","",IF($D1932&lt;&gt;'Team Setup'!$B$4,"Other sprint",IF($E1932="","Unestimated",IF(NOT(ISNUMBER($E1932)),"Check estimate in hours",IF($E1932&lt;0,"Check estimate in hours",IF($E1932=0,"Unestimated","Estimated"))))))</x:f>
      </x:c>
    </x:row>
    <x:row r="1933">
      <x:c r="A1933" s="12"/>
      <x:c r="B1933" s="12"/>
      <x:c r="C1933" s="12"/>
      <x:c r="D1933" s="12"/>
      <x:c r="E1933" s="14"/>
      <x:c r="F1933" s="13" t="str">
        <x:f>IF($A1933="","",IF($D1933&lt;&gt;'Team Setup'!$B$4,"Other sprint",IF($C1933="","Unassigned",IF(OR(ISNUMBER(SEARCH(",",$C1933)),ISNUMBER(SEARCH(";",$C1933))),"Multiple assignees",IF(COUNTIF('Team Setup'!$B$10:$B$34,$C1933)=1,"Matched","Unmatched")))))</x:f>
      </x:c>
      <x:c r="G1933" s="13" t="str">
        <x:f>IF($A1933="","",IF($D1933&lt;&gt;'Team Setup'!$B$4,"Other sprint",IF($E1933="","Unestimated",IF(NOT(ISNUMBER($E1933)),"Check estimate in hours",IF($E1933&lt;0,"Check estimate in hours",IF($E1933=0,"Unestimated","Estimated"))))))</x:f>
      </x:c>
    </x:row>
    <x:row r="1934">
      <x:c r="A1934" s="12"/>
      <x:c r="B1934" s="12"/>
      <x:c r="C1934" s="12"/>
      <x:c r="D1934" s="12"/>
      <x:c r="E1934" s="14"/>
      <x:c r="F1934" s="13" t="str">
        <x:f>IF($A1934="","",IF($D1934&lt;&gt;'Team Setup'!$B$4,"Other sprint",IF($C1934="","Unassigned",IF(OR(ISNUMBER(SEARCH(",",$C1934)),ISNUMBER(SEARCH(";",$C1934))),"Multiple assignees",IF(COUNTIF('Team Setup'!$B$10:$B$34,$C1934)=1,"Matched","Unmatched")))))</x:f>
      </x:c>
      <x:c r="G1934" s="13" t="str">
        <x:f>IF($A1934="","",IF($D1934&lt;&gt;'Team Setup'!$B$4,"Other sprint",IF($E1934="","Unestimated",IF(NOT(ISNUMBER($E1934)),"Check estimate in hours",IF($E1934&lt;0,"Check estimate in hours",IF($E1934=0,"Unestimated","Estimated"))))))</x:f>
      </x:c>
    </x:row>
    <x:row r="1935">
      <x:c r="A1935" s="12"/>
      <x:c r="B1935" s="12"/>
      <x:c r="C1935" s="12"/>
      <x:c r="D1935" s="12"/>
      <x:c r="E1935" s="14"/>
      <x:c r="F1935" s="13" t="str">
        <x:f>IF($A1935="","",IF($D1935&lt;&gt;'Team Setup'!$B$4,"Other sprint",IF($C1935="","Unassigned",IF(OR(ISNUMBER(SEARCH(",",$C1935)),ISNUMBER(SEARCH(";",$C1935))),"Multiple assignees",IF(COUNTIF('Team Setup'!$B$10:$B$34,$C1935)=1,"Matched","Unmatched")))))</x:f>
      </x:c>
      <x:c r="G1935" s="13" t="str">
        <x:f>IF($A1935="","",IF($D1935&lt;&gt;'Team Setup'!$B$4,"Other sprint",IF($E1935="","Unestimated",IF(NOT(ISNUMBER($E1935)),"Check estimate in hours",IF($E1935&lt;0,"Check estimate in hours",IF($E1935=0,"Unestimated","Estimated"))))))</x:f>
      </x:c>
    </x:row>
    <x:row r="1936">
      <x:c r="A1936" s="12"/>
      <x:c r="B1936" s="12"/>
      <x:c r="C1936" s="12"/>
      <x:c r="D1936" s="12"/>
      <x:c r="E1936" s="14"/>
      <x:c r="F1936" s="13" t="str">
        <x:f>IF($A1936="","",IF($D1936&lt;&gt;'Team Setup'!$B$4,"Other sprint",IF($C1936="","Unassigned",IF(OR(ISNUMBER(SEARCH(",",$C1936)),ISNUMBER(SEARCH(";",$C1936))),"Multiple assignees",IF(COUNTIF('Team Setup'!$B$10:$B$34,$C1936)=1,"Matched","Unmatched")))))</x:f>
      </x:c>
      <x:c r="G1936" s="13" t="str">
        <x:f>IF($A1936="","",IF($D1936&lt;&gt;'Team Setup'!$B$4,"Other sprint",IF($E1936="","Unestimated",IF(NOT(ISNUMBER($E1936)),"Check estimate in hours",IF($E1936&lt;0,"Check estimate in hours",IF($E1936=0,"Unestimated","Estimated"))))))</x:f>
      </x:c>
    </x:row>
    <x:row r="1937">
      <x:c r="A1937" s="12"/>
      <x:c r="B1937" s="12"/>
      <x:c r="C1937" s="12"/>
      <x:c r="D1937" s="12"/>
      <x:c r="E1937" s="14"/>
      <x:c r="F1937" s="13" t="str">
        <x:f>IF($A1937="","",IF($D1937&lt;&gt;'Team Setup'!$B$4,"Other sprint",IF($C1937="","Unassigned",IF(OR(ISNUMBER(SEARCH(",",$C1937)),ISNUMBER(SEARCH(";",$C1937))),"Multiple assignees",IF(COUNTIF('Team Setup'!$B$10:$B$34,$C1937)=1,"Matched","Unmatched")))))</x:f>
      </x:c>
      <x:c r="G1937" s="13" t="str">
        <x:f>IF($A1937="","",IF($D1937&lt;&gt;'Team Setup'!$B$4,"Other sprint",IF($E1937="","Unestimated",IF(NOT(ISNUMBER($E1937)),"Check estimate in hours",IF($E1937&lt;0,"Check estimate in hours",IF($E1937=0,"Unestimated","Estimated"))))))</x:f>
      </x:c>
    </x:row>
    <x:row r="1938">
      <x:c r="A1938" s="12"/>
      <x:c r="B1938" s="12"/>
      <x:c r="C1938" s="12"/>
      <x:c r="D1938" s="12"/>
      <x:c r="E1938" s="14"/>
      <x:c r="F1938" s="13" t="str">
        <x:f>IF($A1938="","",IF($D1938&lt;&gt;'Team Setup'!$B$4,"Other sprint",IF($C1938="","Unassigned",IF(OR(ISNUMBER(SEARCH(",",$C1938)),ISNUMBER(SEARCH(";",$C1938))),"Multiple assignees",IF(COUNTIF('Team Setup'!$B$10:$B$34,$C1938)=1,"Matched","Unmatched")))))</x:f>
      </x:c>
      <x:c r="G1938" s="13" t="str">
        <x:f>IF($A1938="","",IF($D1938&lt;&gt;'Team Setup'!$B$4,"Other sprint",IF($E1938="","Unestimated",IF(NOT(ISNUMBER($E1938)),"Check estimate in hours",IF($E1938&lt;0,"Check estimate in hours",IF($E1938=0,"Unestimated","Estimated"))))))</x:f>
      </x:c>
    </x:row>
    <x:row r="1939">
      <x:c r="A1939" s="12"/>
      <x:c r="B1939" s="12"/>
      <x:c r="C1939" s="12"/>
      <x:c r="D1939" s="12"/>
      <x:c r="E1939" s="14"/>
      <x:c r="F1939" s="13" t="str">
        <x:f>IF($A1939="","",IF($D1939&lt;&gt;'Team Setup'!$B$4,"Other sprint",IF($C1939="","Unassigned",IF(OR(ISNUMBER(SEARCH(",",$C1939)),ISNUMBER(SEARCH(";",$C1939))),"Multiple assignees",IF(COUNTIF('Team Setup'!$B$10:$B$34,$C1939)=1,"Matched","Unmatched")))))</x:f>
      </x:c>
      <x:c r="G1939" s="13" t="str">
        <x:f>IF($A1939="","",IF($D1939&lt;&gt;'Team Setup'!$B$4,"Other sprint",IF($E1939="","Unestimated",IF(NOT(ISNUMBER($E1939)),"Check estimate in hours",IF($E1939&lt;0,"Check estimate in hours",IF($E1939=0,"Unestimated","Estimated"))))))</x:f>
      </x:c>
    </x:row>
    <x:row r="1940">
      <x:c r="A1940" s="12"/>
      <x:c r="B1940" s="12"/>
      <x:c r="C1940" s="12"/>
      <x:c r="D1940" s="12"/>
      <x:c r="E1940" s="14"/>
      <x:c r="F1940" s="13" t="str">
        <x:f>IF($A1940="","",IF($D1940&lt;&gt;'Team Setup'!$B$4,"Other sprint",IF($C1940="","Unassigned",IF(OR(ISNUMBER(SEARCH(",",$C1940)),ISNUMBER(SEARCH(";",$C1940))),"Multiple assignees",IF(COUNTIF('Team Setup'!$B$10:$B$34,$C1940)=1,"Matched","Unmatched")))))</x:f>
      </x:c>
      <x:c r="G1940" s="13" t="str">
        <x:f>IF($A1940="","",IF($D1940&lt;&gt;'Team Setup'!$B$4,"Other sprint",IF($E1940="","Unestimated",IF(NOT(ISNUMBER($E1940)),"Check estimate in hours",IF($E1940&lt;0,"Check estimate in hours",IF($E1940=0,"Unestimated","Estimated"))))))</x:f>
      </x:c>
    </x:row>
    <x:row r="1941">
      <x:c r="A1941" s="12"/>
      <x:c r="B1941" s="12"/>
      <x:c r="C1941" s="12"/>
      <x:c r="D1941" s="12"/>
      <x:c r="E1941" s="14"/>
      <x:c r="F1941" s="13" t="str">
        <x:f>IF($A1941="","",IF($D1941&lt;&gt;'Team Setup'!$B$4,"Other sprint",IF($C1941="","Unassigned",IF(OR(ISNUMBER(SEARCH(",",$C1941)),ISNUMBER(SEARCH(";",$C1941))),"Multiple assignees",IF(COUNTIF('Team Setup'!$B$10:$B$34,$C1941)=1,"Matched","Unmatched")))))</x:f>
      </x:c>
      <x:c r="G1941" s="13" t="str">
        <x:f>IF($A1941="","",IF($D1941&lt;&gt;'Team Setup'!$B$4,"Other sprint",IF($E1941="","Unestimated",IF(NOT(ISNUMBER($E1941)),"Check estimate in hours",IF($E1941&lt;0,"Check estimate in hours",IF($E1941=0,"Unestimated","Estimated"))))))</x:f>
      </x:c>
    </x:row>
    <x:row r="1942">
      <x:c r="A1942" s="12"/>
      <x:c r="B1942" s="12"/>
      <x:c r="C1942" s="12"/>
      <x:c r="D1942" s="12"/>
      <x:c r="E1942" s="14"/>
      <x:c r="F1942" s="13" t="str">
        <x:f>IF($A1942="","",IF($D1942&lt;&gt;'Team Setup'!$B$4,"Other sprint",IF($C1942="","Unassigned",IF(OR(ISNUMBER(SEARCH(",",$C1942)),ISNUMBER(SEARCH(";",$C1942))),"Multiple assignees",IF(COUNTIF('Team Setup'!$B$10:$B$34,$C1942)=1,"Matched","Unmatched")))))</x:f>
      </x:c>
      <x:c r="G1942" s="13" t="str">
        <x:f>IF($A1942="","",IF($D1942&lt;&gt;'Team Setup'!$B$4,"Other sprint",IF($E1942="","Unestimated",IF(NOT(ISNUMBER($E1942)),"Check estimate in hours",IF($E1942&lt;0,"Check estimate in hours",IF($E1942=0,"Unestimated","Estimated"))))))</x:f>
      </x:c>
    </x:row>
    <x:row r="1943">
      <x:c r="A1943" s="12"/>
      <x:c r="B1943" s="12"/>
      <x:c r="C1943" s="12"/>
      <x:c r="D1943" s="12"/>
      <x:c r="E1943" s="14"/>
      <x:c r="F1943" s="13" t="str">
        <x:f>IF($A1943="","",IF($D1943&lt;&gt;'Team Setup'!$B$4,"Other sprint",IF($C1943="","Unassigned",IF(OR(ISNUMBER(SEARCH(",",$C1943)),ISNUMBER(SEARCH(";",$C1943))),"Multiple assignees",IF(COUNTIF('Team Setup'!$B$10:$B$34,$C1943)=1,"Matched","Unmatched")))))</x:f>
      </x:c>
      <x:c r="G1943" s="13" t="str">
        <x:f>IF($A1943="","",IF($D1943&lt;&gt;'Team Setup'!$B$4,"Other sprint",IF($E1943="","Unestimated",IF(NOT(ISNUMBER($E1943)),"Check estimate in hours",IF($E1943&lt;0,"Check estimate in hours",IF($E1943=0,"Unestimated","Estimated"))))))</x:f>
      </x:c>
    </x:row>
    <x:row r="1944">
      <x:c r="A1944" s="12"/>
      <x:c r="B1944" s="12"/>
      <x:c r="C1944" s="12"/>
      <x:c r="D1944" s="12"/>
      <x:c r="E1944" s="14"/>
      <x:c r="F1944" s="13" t="str">
        <x:f>IF($A1944="","",IF($D1944&lt;&gt;'Team Setup'!$B$4,"Other sprint",IF($C1944="","Unassigned",IF(OR(ISNUMBER(SEARCH(",",$C1944)),ISNUMBER(SEARCH(";",$C1944))),"Multiple assignees",IF(COUNTIF('Team Setup'!$B$10:$B$34,$C1944)=1,"Matched","Unmatched")))))</x:f>
      </x:c>
      <x:c r="G1944" s="13" t="str">
        <x:f>IF($A1944="","",IF($D1944&lt;&gt;'Team Setup'!$B$4,"Other sprint",IF($E1944="","Unestimated",IF(NOT(ISNUMBER($E1944)),"Check estimate in hours",IF($E1944&lt;0,"Check estimate in hours",IF($E1944=0,"Unestimated","Estimated"))))))</x:f>
      </x:c>
    </x:row>
    <x:row r="1945">
      <x:c r="A1945" s="12"/>
      <x:c r="B1945" s="12"/>
      <x:c r="C1945" s="12"/>
      <x:c r="D1945" s="12"/>
      <x:c r="E1945" s="14"/>
      <x:c r="F1945" s="13" t="str">
        <x:f>IF($A1945="","",IF($D1945&lt;&gt;'Team Setup'!$B$4,"Other sprint",IF($C1945="","Unassigned",IF(OR(ISNUMBER(SEARCH(",",$C1945)),ISNUMBER(SEARCH(";",$C1945))),"Multiple assignees",IF(COUNTIF('Team Setup'!$B$10:$B$34,$C1945)=1,"Matched","Unmatched")))))</x:f>
      </x:c>
      <x:c r="G1945" s="13" t="str">
        <x:f>IF($A1945="","",IF($D1945&lt;&gt;'Team Setup'!$B$4,"Other sprint",IF($E1945="","Unestimated",IF(NOT(ISNUMBER($E1945)),"Check estimate in hours",IF($E1945&lt;0,"Check estimate in hours",IF($E1945=0,"Unestimated","Estimated"))))))</x:f>
      </x:c>
    </x:row>
    <x:row r="1946">
      <x:c r="A1946" s="12"/>
      <x:c r="B1946" s="12"/>
      <x:c r="C1946" s="12"/>
      <x:c r="D1946" s="12"/>
      <x:c r="E1946" s="14"/>
      <x:c r="F1946" s="13" t="str">
        <x:f>IF($A1946="","",IF($D1946&lt;&gt;'Team Setup'!$B$4,"Other sprint",IF($C1946="","Unassigned",IF(OR(ISNUMBER(SEARCH(",",$C1946)),ISNUMBER(SEARCH(";",$C1946))),"Multiple assignees",IF(COUNTIF('Team Setup'!$B$10:$B$34,$C1946)=1,"Matched","Unmatched")))))</x:f>
      </x:c>
      <x:c r="G1946" s="13" t="str">
        <x:f>IF($A1946="","",IF($D1946&lt;&gt;'Team Setup'!$B$4,"Other sprint",IF($E1946="","Unestimated",IF(NOT(ISNUMBER($E1946)),"Check estimate in hours",IF($E1946&lt;0,"Check estimate in hours",IF($E1946=0,"Unestimated","Estimated"))))))</x:f>
      </x:c>
    </x:row>
    <x:row r="1947">
      <x:c r="A1947" s="12"/>
      <x:c r="B1947" s="12"/>
      <x:c r="C1947" s="12"/>
      <x:c r="D1947" s="12"/>
      <x:c r="E1947" s="14"/>
      <x:c r="F1947" s="13" t="str">
        <x:f>IF($A1947="","",IF($D1947&lt;&gt;'Team Setup'!$B$4,"Other sprint",IF($C1947="","Unassigned",IF(OR(ISNUMBER(SEARCH(",",$C1947)),ISNUMBER(SEARCH(";",$C1947))),"Multiple assignees",IF(COUNTIF('Team Setup'!$B$10:$B$34,$C1947)=1,"Matched","Unmatched")))))</x:f>
      </x:c>
      <x:c r="G1947" s="13" t="str">
        <x:f>IF($A1947="","",IF($D1947&lt;&gt;'Team Setup'!$B$4,"Other sprint",IF($E1947="","Unestimated",IF(NOT(ISNUMBER($E1947)),"Check estimate in hours",IF($E1947&lt;0,"Check estimate in hours",IF($E1947=0,"Unestimated","Estimated"))))))</x:f>
      </x:c>
    </x:row>
    <x:row r="1948">
      <x:c r="A1948" s="12"/>
      <x:c r="B1948" s="12"/>
      <x:c r="C1948" s="12"/>
      <x:c r="D1948" s="12"/>
      <x:c r="E1948" s="14"/>
      <x:c r="F1948" s="13" t="str">
        <x:f>IF($A1948="","",IF($D1948&lt;&gt;'Team Setup'!$B$4,"Other sprint",IF($C1948="","Unassigned",IF(OR(ISNUMBER(SEARCH(",",$C1948)),ISNUMBER(SEARCH(";",$C1948))),"Multiple assignees",IF(COUNTIF('Team Setup'!$B$10:$B$34,$C1948)=1,"Matched","Unmatched")))))</x:f>
      </x:c>
      <x:c r="G1948" s="13" t="str">
        <x:f>IF($A1948="","",IF($D1948&lt;&gt;'Team Setup'!$B$4,"Other sprint",IF($E1948="","Unestimated",IF(NOT(ISNUMBER($E1948)),"Check estimate in hours",IF($E1948&lt;0,"Check estimate in hours",IF($E1948=0,"Unestimated","Estimated"))))))</x:f>
      </x:c>
    </x:row>
    <x:row r="1949">
      <x:c r="A1949" s="12"/>
      <x:c r="B1949" s="12"/>
      <x:c r="C1949" s="12"/>
      <x:c r="D1949" s="12"/>
      <x:c r="E1949" s="14"/>
      <x:c r="F1949" s="13" t="str">
        <x:f>IF($A1949="","",IF($D1949&lt;&gt;'Team Setup'!$B$4,"Other sprint",IF($C1949="","Unassigned",IF(OR(ISNUMBER(SEARCH(",",$C1949)),ISNUMBER(SEARCH(";",$C1949))),"Multiple assignees",IF(COUNTIF('Team Setup'!$B$10:$B$34,$C1949)=1,"Matched","Unmatched")))))</x:f>
      </x:c>
      <x:c r="G1949" s="13" t="str">
        <x:f>IF($A1949="","",IF($D1949&lt;&gt;'Team Setup'!$B$4,"Other sprint",IF($E1949="","Unestimated",IF(NOT(ISNUMBER($E1949)),"Check estimate in hours",IF($E1949&lt;0,"Check estimate in hours",IF($E1949=0,"Unestimated","Estimated"))))))</x:f>
      </x:c>
    </x:row>
    <x:row r="1950">
      <x:c r="A1950" s="12"/>
      <x:c r="B1950" s="12"/>
      <x:c r="C1950" s="12"/>
      <x:c r="D1950" s="12"/>
      <x:c r="E1950" s="14"/>
      <x:c r="F1950" s="13" t="str">
        <x:f>IF($A1950="","",IF($D1950&lt;&gt;'Team Setup'!$B$4,"Other sprint",IF($C1950="","Unassigned",IF(OR(ISNUMBER(SEARCH(",",$C1950)),ISNUMBER(SEARCH(";",$C1950))),"Multiple assignees",IF(COUNTIF('Team Setup'!$B$10:$B$34,$C1950)=1,"Matched","Unmatched")))))</x:f>
      </x:c>
      <x:c r="G1950" s="13" t="str">
        <x:f>IF($A1950="","",IF($D1950&lt;&gt;'Team Setup'!$B$4,"Other sprint",IF($E1950="","Unestimated",IF(NOT(ISNUMBER($E1950)),"Check estimate in hours",IF($E1950&lt;0,"Check estimate in hours",IF($E1950=0,"Unestimated","Estimated"))))))</x:f>
      </x:c>
    </x:row>
    <x:row r="1951">
      <x:c r="A1951" s="12"/>
      <x:c r="B1951" s="12"/>
      <x:c r="C1951" s="12"/>
      <x:c r="D1951" s="12"/>
      <x:c r="E1951" s="14"/>
      <x:c r="F1951" s="13" t="str">
        <x:f>IF($A1951="","",IF($D1951&lt;&gt;'Team Setup'!$B$4,"Other sprint",IF($C1951="","Unassigned",IF(OR(ISNUMBER(SEARCH(",",$C1951)),ISNUMBER(SEARCH(";",$C1951))),"Multiple assignees",IF(COUNTIF('Team Setup'!$B$10:$B$34,$C1951)=1,"Matched","Unmatched")))))</x:f>
      </x:c>
      <x:c r="G1951" s="13" t="str">
        <x:f>IF($A1951="","",IF($D1951&lt;&gt;'Team Setup'!$B$4,"Other sprint",IF($E1951="","Unestimated",IF(NOT(ISNUMBER($E1951)),"Check estimate in hours",IF($E1951&lt;0,"Check estimate in hours",IF($E1951=0,"Unestimated","Estimated"))))))</x:f>
      </x:c>
    </x:row>
    <x:row r="1952">
      <x:c r="A1952" s="12"/>
      <x:c r="B1952" s="12"/>
      <x:c r="C1952" s="12"/>
      <x:c r="D1952" s="12"/>
      <x:c r="E1952" s="14"/>
      <x:c r="F1952" s="13" t="str">
        <x:f>IF($A1952="","",IF($D1952&lt;&gt;'Team Setup'!$B$4,"Other sprint",IF($C1952="","Unassigned",IF(OR(ISNUMBER(SEARCH(",",$C1952)),ISNUMBER(SEARCH(";",$C1952))),"Multiple assignees",IF(COUNTIF('Team Setup'!$B$10:$B$34,$C1952)=1,"Matched","Unmatched")))))</x:f>
      </x:c>
      <x:c r="G1952" s="13" t="str">
        <x:f>IF($A1952="","",IF($D1952&lt;&gt;'Team Setup'!$B$4,"Other sprint",IF($E1952="","Unestimated",IF(NOT(ISNUMBER($E1952)),"Check estimate in hours",IF($E1952&lt;0,"Check estimate in hours",IF($E1952=0,"Unestimated","Estimated"))))))</x:f>
      </x:c>
    </x:row>
    <x:row r="1953">
      <x:c r="A1953" s="12"/>
      <x:c r="B1953" s="12"/>
      <x:c r="C1953" s="12"/>
      <x:c r="D1953" s="12"/>
      <x:c r="E1953" s="14"/>
      <x:c r="F1953" s="13" t="str">
        <x:f>IF($A1953="","",IF($D1953&lt;&gt;'Team Setup'!$B$4,"Other sprint",IF($C1953="","Unassigned",IF(OR(ISNUMBER(SEARCH(",",$C1953)),ISNUMBER(SEARCH(";",$C1953))),"Multiple assignees",IF(COUNTIF('Team Setup'!$B$10:$B$34,$C1953)=1,"Matched","Unmatched")))))</x:f>
      </x:c>
      <x:c r="G1953" s="13" t="str">
        <x:f>IF($A1953="","",IF($D1953&lt;&gt;'Team Setup'!$B$4,"Other sprint",IF($E1953="","Unestimated",IF(NOT(ISNUMBER($E1953)),"Check estimate in hours",IF($E1953&lt;0,"Check estimate in hours",IF($E1953=0,"Unestimated","Estimated"))))))</x:f>
      </x:c>
    </x:row>
    <x:row r="1954">
      <x:c r="A1954" s="12"/>
      <x:c r="B1954" s="12"/>
      <x:c r="C1954" s="12"/>
      <x:c r="D1954" s="12"/>
      <x:c r="E1954" s="14"/>
      <x:c r="F1954" s="13" t="str">
        <x:f>IF($A1954="","",IF($D1954&lt;&gt;'Team Setup'!$B$4,"Other sprint",IF($C1954="","Unassigned",IF(OR(ISNUMBER(SEARCH(",",$C1954)),ISNUMBER(SEARCH(";",$C1954))),"Multiple assignees",IF(COUNTIF('Team Setup'!$B$10:$B$34,$C1954)=1,"Matched","Unmatched")))))</x:f>
      </x:c>
      <x:c r="G1954" s="13" t="str">
        <x:f>IF($A1954="","",IF($D1954&lt;&gt;'Team Setup'!$B$4,"Other sprint",IF($E1954="","Unestimated",IF(NOT(ISNUMBER($E1954)),"Check estimate in hours",IF($E1954&lt;0,"Check estimate in hours",IF($E1954=0,"Unestimated","Estimated"))))))</x:f>
      </x:c>
    </x:row>
    <x:row r="1955">
      <x:c r="A1955" s="12"/>
      <x:c r="B1955" s="12"/>
      <x:c r="C1955" s="12"/>
      <x:c r="D1955" s="12"/>
      <x:c r="E1955" s="14"/>
      <x:c r="F1955" s="13" t="str">
        <x:f>IF($A1955="","",IF($D1955&lt;&gt;'Team Setup'!$B$4,"Other sprint",IF($C1955="","Unassigned",IF(OR(ISNUMBER(SEARCH(",",$C1955)),ISNUMBER(SEARCH(";",$C1955))),"Multiple assignees",IF(COUNTIF('Team Setup'!$B$10:$B$34,$C1955)=1,"Matched","Unmatched")))))</x:f>
      </x:c>
      <x:c r="G1955" s="13" t="str">
        <x:f>IF($A1955="","",IF($D1955&lt;&gt;'Team Setup'!$B$4,"Other sprint",IF($E1955="","Unestimated",IF(NOT(ISNUMBER($E1955)),"Check estimate in hours",IF($E1955&lt;0,"Check estimate in hours",IF($E1955=0,"Unestimated","Estimated"))))))</x:f>
      </x:c>
    </x:row>
    <x:row r="1956">
      <x:c r="A1956" s="12"/>
      <x:c r="B1956" s="12"/>
      <x:c r="C1956" s="12"/>
      <x:c r="D1956" s="12"/>
      <x:c r="E1956" s="14"/>
      <x:c r="F1956" s="13" t="str">
        <x:f>IF($A1956="","",IF($D1956&lt;&gt;'Team Setup'!$B$4,"Other sprint",IF($C1956="","Unassigned",IF(OR(ISNUMBER(SEARCH(",",$C1956)),ISNUMBER(SEARCH(";",$C1956))),"Multiple assignees",IF(COUNTIF('Team Setup'!$B$10:$B$34,$C1956)=1,"Matched","Unmatched")))))</x:f>
      </x:c>
      <x:c r="G1956" s="13" t="str">
        <x:f>IF($A1956="","",IF($D1956&lt;&gt;'Team Setup'!$B$4,"Other sprint",IF($E1956="","Unestimated",IF(NOT(ISNUMBER($E1956)),"Check estimate in hours",IF($E1956&lt;0,"Check estimate in hours",IF($E1956=0,"Unestimated","Estimated"))))))</x:f>
      </x:c>
    </x:row>
    <x:row r="1957">
      <x:c r="A1957" s="12"/>
      <x:c r="B1957" s="12"/>
      <x:c r="C1957" s="12"/>
      <x:c r="D1957" s="12"/>
      <x:c r="E1957" s="14"/>
      <x:c r="F1957" s="13" t="str">
        <x:f>IF($A1957="","",IF($D1957&lt;&gt;'Team Setup'!$B$4,"Other sprint",IF($C1957="","Unassigned",IF(OR(ISNUMBER(SEARCH(",",$C1957)),ISNUMBER(SEARCH(";",$C1957))),"Multiple assignees",IF(COUNTIF('Team Setup'!$B$10:$B$34,$C1957)=1,"Matched","Unmatched")))))</x:f>
      </x:c>
      <x:c r="G1957" s="13" t="str">
        <x:f>IF($A1957="","",IF($D1957&lt;&gt;'Team Setup'!$B$4,"Other sprint",IF($E1957="","Unestimated",IF(NOT(ISNUMBER($E1957)),"Check estimate in hours",IF($E1957&lt;0,"Check estimate in hours",IF($E1957=0,"Unestimated","Estimated"))))))</x:f>
      </x:c>
    </x:row>
    <x:row r="1958">
      <x:c r="A1958" s="12"/>
      <x:c r="B1958" s="12"/>
      <x:c r="C1958" s="12"/>
      <x:c r="D1958" s="12"/>
      <x:c r="E1958" s="14"/>
      <x:c r="F1958" s="13" t="str">
        <x:f>IF($A1958="","",IF($D1958&lt;&gt;'Team Setup'!$B$4,"Other sprint",IF($C1958="","Unassigned",IF(OR(ISNUMBER(SEARCH(",",$C1958)),ISNUMBER(SEARCH(";",$C1958))),"Multiple assignees",IF(COUNTIF('Team Setup'!$B$10:$B$34,$C1958)=1,"Matched","Unmatched")))))</x:f>
      </x:c>
      <x:c r="G1958" s="13" t="str">
        <x:f>IF($A1958="","",IF($D1958&lt;&gt;'Team Setup'!$B$4,"Other sprint",IF($E1958="","Unestimated",IF(NOT(ISNUMBER($E1958)),"Check estimate in hours",IF($E1958&lt;0,"Check estimate in hours",IF($E1958=0,"Unestimated","Estimated"))))))</x:f>
      </x:c>
    </x:row>
    <x:row r="1959">
      <x:c r="A1959" s="12"/>
      <x:c r="B1959" s="12"/>
      <x:c r="C1959" s="12"/>
      <x:c r="D1959" s="12"/>
      <x:c r="E1959" s="14"/>
      <x:c r="F1959" s="13" t="str">
        <x:f>IF($A1959="","",IF($D1959&lt;&gt;'Team Setup'!$B$4,"Other sprint",IF($C1959="","Unassigned",IF(OR(ISNUMBER(SEARCH(",",$C1959)),ISNUMBER(SEARCH(";",$C1959))),"Multiple assignees",IF(COUNTIF('Team Setup'!$B$10:$B$34,$C1959)=1,"Matched","Unmatched")))))</x:f>
      </x:c>
      <x:c r="G1959" s="13" t="str">
        <x:f>IF($A1959="","",IF($D1959&lt;&gt;'Team Setup'!$B$4,"Other sprint",IF($E1959="","Unestimated",IF(NOT(ISNUMBER($E1959)),"Check estimate in hours",IF($E1959&lt;0,"Check estimate in hours",IF($E1959=0,"Unestimated","Estimated"))))))</x:f>
      </x:c>
    </x:row>
    <x:row r="1960">
      <x:c r="A1960" s="12"/>
      <x:c r="B1960" s="12"/>
      <x:c r="C1960" s="12"/>
      <x:c r="D1960" s="12"/>
      <x:c r="E1960" s="14"/>
      <x:c r="F1960" s="13" t="str">
        <x:f>IF($A1960="","",IF($D1960&lt;&gt;'Team Setup'!$B$4,"Other sprint",IF($C1960="","Unassigned",IF(OR(ISNUMBER(SEARCH(",",$C1960)),ISNUMBER(SEARCH(";",$C1960))),"Multiple assignees",IF(COUNTIF('Team Setup'!$B$10:$B$34,$C1960)=1,"Matched","Unmatched")))))</x:f>
      </x:c>
      <x:c r="G1960" s="13" t="str">
        <x:f>IF($A1960="","",IF($D1960&lt;&gt;'Team Setup'!$B$4,"Other sprint",IF($E1960="","Unestimated",IF(NOT(ISNUMBER($E1960)),"Check estimate in hours",IF($E1960&lt;0,"Check estimate in hours",IF($E1960=0,"Unestimated","Estimated"))))))</x:f>
      </x:c>
    </x:row>
    <x:row r="1961">
      <x:c r="A1961" s="12"/>
      <x:c r="B1961" s="12"/>
      <x:c r="C1961" s="12"/>
      <x:c r="D1961" s="12"/>
      <x:c r="E1961" s="14"/>
      <x:c r="F1961" s="13" t="str">
        <x:f>IF($A1961="","",IF($D1961&lt;&gt;'Team Setup'!$B$4,"Other sprint",IF($C1961="","Unassigned",IF(OR(ISNUMBER(SEARCH(",",$C1961)),ISNUMBER(SEARCH(";",$C1961))),"Multiple assignees",IF(COUNTIF('Team Setup'!$B$10:$B$34,$C1961)=1,"Matched","Unmatched")))))</x:f>
      </x:c>
      <x:c r="G1961" s="13" t="str">
        <x:f>IF($A1961="","",IF($D1961&lt;&gt;'Team Setup'!$B$4,"Other sprint",IF($E1961="","Unestimated",IF(NOT(ISNUMBER($E1961)),"Check estimate in hours",IF($E1961&lt;0,"Check estimate in hours",IF($E1961=0,"Unestimated","Estimated"))))))</x:f>
      </x:c>
    </x:row>
    <x:row r="1962">
      <x:c r="A1962" s="12"/>
      <x:c r="B1962" s="12"/>
      <x:c r="C1962" s="12"/>
      <x:c r="D1962" s="12"/>
      <x:c r="E1962" s="14"/>
      <x:c r="F1962" s="13" t="str">
        <x:f>IF($A1962="","",IF($D1962&lt;&gt;'Team Setup'!$B$4,"Other sprint",IF($C1962="","Unassigned",IF(OR(ISNUMBER(SEARCH(",",$C1962)),ISNUMBER(SEARCH(";",$C1962))),"Multiple assignees",IF(COUNTIF('Team Setup'!$B$10:$B$34,$C1962)=1,"Matched","Unmatched")))))</x:f>
      </x:c>
      <x:c r="G1962" s="13" t="str">
        <x:f>IF($A1962="","",IF($D1962&lt;&gt;'Team Setup'!$B$4,"Other sprint",IF($E1962="","Unestimated",IF(NOT(ISNUMBER($E1962)),"Check estimate in hours",IF($E1962&lt;0,"Check estimate in hours",IF($E1962=0,"Unestimated","Estimated"))))))</x:f>
      </x:c>
    </x:row>
    <x:row r="1963">
      <x:c r="A1963" s="12"/>
      <x:c r="B1963" s="12"/>
      <x:c r="C1963" s="12"/>
      <x:c r="D1963" s="12"/>
      <x:c r="E1963" s="14"/>
      <x:c r="F1963" s="13" t="str">
        <x:f>IF($A1963="","",IF($D1963&lt;&gt;'Team Setup'!$B$4,"Other sprint",IF($C1963="","Unassigned",IF(OR(ISNUMBER(SEARCH(",",$C1963)),ISNUMBER(SEARCH(";",$C1963))),"Multiple assignees",IF(COUNTIF('Team Setup'!$B$10:$B$34,$C1963)=1,"Matched","Unmatched")))))</x:f>
      </x:c>
      <x:c r="G1963" s="13" t="str">
        <x:f>IF($A1963="","",IF($D1963&lt;&gt;'Team Setup'!$B$4,"Other sprint",IF($E1963="","Unestimated",IF(NOT(ISNUMBER($E1963)),"Check estimate in hours",IF($E1963&lt;0,"Check estimate in hours",IF($E1963=0,"Unestimated","Estimated"))))))</x:f>
      </x:c>
    </x:row>
    <x:row r="1964">
      <x:c r="A1964" s="12"/>
      <x:c r="B1964" s="12"/>
      <x:c r="C1964" s="12"/>
      <x:c r="D1964" s="12"/>
      <x:c r="E1964" s="14"/>
      <x:c r="F1964" s="13" t="str">
        <x:f>IF($A1964="","",IF($D1964&lt;&gt;'Team Setup'!$B$4,"Other sprint",IF($C1964="","Unassigned",IF(OR(ISNUMBER(SEARCH(",",$C1964)),ISNUMBER(SEARCH(";",$C1964))),"Multiple assignees",IF(COUNTIF('Team Setup'!$B$10:$B$34,$C1964)=1,"Matched","Unmatched")))))</x:f>
      </x:c>
      <x:c r="G1964" s="13" t="str">
        <x:f>IF($A1964="","",IF($D1964&lt;&gt;'Team Setup'!$B$4,"Other sprint",IF($E1964="","Unestimated",IF(NOT(ISNUMBER($E1964)),"Check estimate in hours",IF($E1964&lt;0,"Check estimate in hours",IF($E1964=0,"Unestimated","Estimated"))))))</x:f>
      </x:c>
    </x:row>
    <x:row r="1965">
      <x:c r="A1965" s="12"/>
      <x:c r="B1965" s="12"/>
      <x:c r="C1965" s="12"/>
      <x:c r="D1965" s="12"/>
      <x:c r="E1965" s="14"/>
      <x:c r="F1965" s="13" t="str">
        <x:f>IF($A1965="","",IF($D1965&lt;&gt;'Team Setup'!$B$4,"Other sprint",IF($C1965="","Unassigned",IF(OR(ISNUMBER(SEARCH(",",$C1965)),ISNUMBER(SEARCH(";",$C1965))),"Multiple assignees",IF(COUNTIF('Team Setup'!$B$10:$B$34,$C1965)=1,"Matched","Unmatched")))))</x:f>
      </x:c>
      <x:c r="G1965" s="13" t="str">
        <x:f>IF($A1965="","",IF($D1965&lt;&gt;'Team Setup'!$B$4,"Other sprint",IF($E1965="","Unestimated",IF(NOT(ISNUMBER($E1965)),"Check estimate in hours",IF($E1965&lt;0,"Check estimate in hours",IF($E1965=0,"Unestimated","Estimated"))))))</x:f>
      </x:c>
    </x:row>
    <x:row r="1966">
      <x:c r="A1966" s="12"/>
      <x:c r="B1966" s="12"/>
      <x:c r="C1966" s="12"/>
      <x:c r="D1966" s="12"/>
      <x:c r="E1966" s="14"/>
      <x:c r="F1966" s="13" t="str">
        <x:f>IF($A1966="","",IF($D1966&lt;&gt;'Team Setup'!$B$4,"Other sprint",IF($C1966="","Unassigned",IF(OR(ISNUMBER(SEARCH(",",$C1966)),ISNUMBER(SEARCH(";",$C1966))),"Multiple assignees",IF(COUNTIF('Team Setup'!$B$10:$B$34,$C1966)=1,"Matched","Unmatched")))))</x:f>
      </x:c>
      <x:c r="G1966" s="13" t="str">
        <x:f>IF($A1966="","",IF($D1966&lt;&gt;'Team Setup'!$B$4,"Other sprint",IF($E1966="","Unestimated",IF(NOT(ISNUMBER($E1966)),"Check estimate in hours",IF($E1966&lt;0,"Check estimate in hours",IF($E1966=0,"Unestimated","Estimated"))))))</x:f>
      </x:c>
    </x:row>
    <x:row r="1967">
      <x:c r="A1967" s="12"/>
      <x:c r="B1967" s="12"/>
      <x:c r="C1967" s="12"/>
      <x:c r="D1967" s="12"/>
      <x:c r="E1967" s="14"/>
      <x:c r="F1967" s="13" t="str">
        <x:f>IF($A1967="","",IF($D1967&lt;&gt;'Team Setup'!$B$4,"Other sprint",IF($C1967="","Unassigned",IF(OR(ISNUMBER(SEARCH(",",$C1967)),ISNUMBER(SEARCH(";",$C1967))),"Multiple assignees",IF(COUNTIF('Team Setup'!$B$10:$B$34,$C1967)=1,"Matched","Unmatched")))))</x:f>
      </x:c>
      <x:c r="G1967" s="13" t="str">
        <x:f>IF($A1967="","",IF($D1967&lt;&gt;'Team Setup'!$B$4,"Other sprint",IF($E1967="","Unestimated",IF(NOT(ISNUMBER($E1967)),"Check estimate in hours",IF($E1967&lt;0,"Check estimate in hours",IF($E1967=0,"Unestimated","Estimated"))))))</x:f>
      </x:c>
    </x:row>
    <x:row r="1968">
      <x:c r="A1968" s="12"/>
      <x:c r="B1968" s="12"/>
      <x:c r="C1968" s="12"/>
      <x:c r="D1968" s="12"/>
      <x:c r="E1968" s="14"/>
      <x:c r="F1968" s="13" t="str">
        <x:f>IF($A1968="","",IF($D1968&lt;&gt;'Team Setup'!$B$4,"Other sprint",IF($C1968="","Unassigned",IF(OR(ISNUMBER(SEARCH(",",$C1968)),ISNUMBER(SEARCH(";",$C1968))),"Multiple assignees",IF(COUNTIF('Team Setup'!$B$10:$B$34,$C1968)=1,"Matched","Unmatched")))))</x:f>
      </x:c>
      <x:c r="G1968" s="13" t="str">
        <x:f>IF($A1968="","",IF($D1968&lt;&gt;'Team Setup'!$B$4,"Other sprint",IF($E1968="","Unestimated",IF(NOT(ISNUMBER($E1968)),"Check estimate in hours",IF($E1968&lt;0,"Check estimate in hours",IF($E1968=0,"Unestimated","Estimated"))))))</x:f>
      </x:c>
    </x:row>
    <x:row r="1969">
      <x:c r="A1969" s="12"/>
      <x:c r="B1969" s="12"/>
      <x:c r="C1969" s="12"/>
      <x:c r="D1969" s="12"/>
      <x:c r="E1969" s="14"/>
      <x:c r="F1969" s="13" t="str">
        <x:f>IF($A1969="","",IF($D1969&lt;&gt;'Team Setup'!$B$4,"Other sprint",IF($C1969="","Unassigned",IF(OR(ISNUMBER(SEARCH(",",$C1969)),ISNUMBER(SEARCH(";",$C1969))),"Multiple assignees",IF(COUNTIF('Team Setup'!$B$10:$B$34,$C1969)=1,"Matched","Unmatched")))))</x:f>
      </x:c>
      <x:c r="G1969" s="13" t="str">
        <x:f>IF($A1969="","",IF($D1969&lt;&gt;'Team Setup'!$B$4,"Other sprint",IF($E1969="","Unestimated",IF(NOT(ISNUMBER($E1969)),"Check estimate in hours",IF($E1969&lt;0,"Check estimate in hours",IF($E1969=0,"Unestimated","Estimated"))))))</x:f>
      </x:c>
    </x:row>
    <x:row r="1970">
      <x:c r="A1970" s="12"/>
      <x:c r="B1970" s="12"/>
      <x:c r="C1970" s="12"/>
      <x:c r="D1970" s="12"/>
      <x:c r="E1970" s="14"/>
      <x:c r="F1970" s="13" t="str">
        <x:f>IF($A1970="","",IF($D1970&lt;&gt;'Team Setup'!$B$4,"Other sprint",IF($C1970="","Unassigned",IF(OR(ISNUMBER(SEARCH(",",$C1970)),ISNUMBER(SEARCH(";",$C1970))),"Multiple assignees",IF(COUNTIF('Team Setup'!$B$10:$B$34,$C1970)=1,"Matched","Unmatched")))))</x:f>
      </x:c>
      <x:c r="G1970" s="13" t="str">
        <x:f>IF($A1970="","",IF($D1970&lt;&gt;'Team Setup'!$B$4,"Other sprint",IF($E1970="","Unestimated",IF(NOT(ISNUMBER($E1970)),"Check estimate in hours",IF($E1970&lt;0,"Check estimate in hours",IF($E1970=0,"Unestimated","Estimated"))))))</x:f>
      </x:c>
    </x:row>
    <x:row r="1971">
      <x:c r="A1971" s="12"/>
      <x:c r="B1971" s="12"/>
      <x:c r="C1971" s="12"/>
      <x:c r="D1971" s="12"/>
      <x:c r="E1971" s="14"/>
      <x:c r="F1971" s="13" t="str">
        <x:f>IF($A1971="","",IF($D1971&lt;&gt;'Team Setup'!$B$4,"Other sprint",IF($C1971="","Unassigned",IF(OR(ISNUMBER(SEARCH(",",$C1971)),ISNUMBER(SEARCH(";",$C1971))),"Multiple assignees",IF(COUNTIF('Team Setup'!$B$10:$B$34,$C1971)=1,"Matched","Unmatched")))))</x:f>
      </x:c>
      <x:c r="G1971" s="13" t="str">
        <x:f>IF($A1971="","",IF($D1971&lt;&gt;'Team Setup'!$B$4,"Other sprint",IF($E1971="","Unestimated",IF(NOT(ISNUMBER($E1971)),"Check estimate in hours",IF($E1971&lt;0,"Check estimate in hours",IF($E1971=0,"Unestimated","Estimated"))))))</x:f>
      </x:c>
    </x:row>
    <x:row r="1972">
      <x:c r="A1972" s="12"/>
      <x:c r="B1972" s="12"/>
      <x:c r="C1972" s="12"/>
      <x:c r="D1972" s="12"/>
      <x:c r="E1972" s="14"/>
      <x:c r="F1972" s="13" t="str">
        <x:f>IF($A1972="","",IF($D1972&lt;&gt;'Team Setup'!$B$4,"Other sprint",IF($C1972="","Unassigned",IF(OR(ISNUMBER(SEARCH(",",$C1972)),ISNUMBER(SEARCH(";",$C1972))),"Multiple assignees",IF(COUNTIF('Team Setup'!$B$10:$B$34,$C1972)=1,"Matched","Unmatched")))))</x:f>
      </x:c>
      <x:c r="G1972" s="13" t="str">
        <x:f>IF($A1972="","",IF($D1972&lt;&gt;'Team Setup'!$B$4,"Other sprint",IF($E1972="","Unestimated",IF(NOT(ISNUMBER($E1972)),"Check estimate in hours",IF($E1972&lt;0,"Check estimate in hours",IF($E1972=0,"Unestimated","Estimated"))))))</x:f>
      </x:c>
    </x:row>
    <x:row r="1973">
      <x:c r="A1973" s="12"/>
      <x:c r="B1973" s="12"/>
      <x:c r="C1973" s="12"/>
      <x:c r="D1973" s="12"/>
      <x:c r="E1973" s="14"/>
      <x:c r="F1973" s="13" t="str">
        <x:f>IF($A1973="","",IF($D1973&lt;&gt;'Team Setup'!$B$4,"Other sprint",IF($C1973="","Unassigned",IF(OR(ISNUMBER(SEARCH(",",$C1973)),ISNUMBER(SEARCH(";",$C1973))),"Multiple assignees",IF(COUNTIF('Team Setup'!$B$10:$B$34,$C1973)=1,"Matched","Unmatched")))))</x:f>
      </x:c>
      <x:c r="G1973" s="13" t="str">
        <x:f>IF($A1973="","",IF($D1973&lt;&gt;'Team Setup'!$B$4,"Other sprint",IF($E1973="","Unestimated",IF(NOT(ISNUMBER($E1973)),"Check estimate in hours",IF($E1973&lt;0,"Check estimate in hours",IF($E1973=0,"Unestimated","Estimated"))))))</x:f>
      </x:c>
    </x:row>
    <x:row r="1974">
      <x:c r="A1974" s="12"/>
      <x:c r="B1974" s="12"/>
      <x:c r="C1974" s="12"/>
      <x:c r="D1974" s="12"/>
      <x:c r="E1974" s="14"/>
      <x:c r="F1974" s="13" t="str">
        <x:f>IF($A1974="","",IF($D1974&lt;&gt;'Team Setup'!$B$4,"Other sprint",IF($C1974="","Unassigned",IF(OR(ISNUMBER(SEARCH(",",$C1974)),ISNUMBER(SEARCH(";",$C1974))),"Multiple assignees",IF(COUNTIF('Team Setup'!$B$10:$B$34,$C1974)=1,"Matched","Unmatched")))))</x:f>
      </x:c>
      <x:c r="G1974" s="13" t="str">
        <x:f>IF($A1974="","",IF($D1974&lt;&gt;'Team Setup'!$B$4,"Other sprint",IF($E1974="","Unestimated",IF(NOT(ISNUMBER($E1974)),"Check estimate in hours",IF($E1974&lt;0,"Check estimate in hours",IF($E1974=0,"Unestimated","Estimated"))))))</x:f>
      </x:c>
    </x:row>
    <x:row r="1975">
      <x:c r="A1975" s="12"/>
      <x:c r="B1975" s="12"/>
      <x:c r="C1975" s="12"/>
      <x:c r="D1975" s="12"/>
      <x:c r="E1975" s="14"/>
      <x:c r="F1975" s="13" t="str">
        <x:f>IF($A1975="","",IF($D1975&lt;&gt;'Team Setup'!$B$4,"Other sprint",IF($C1975="","Unassigned",IF(OR(ISNUMBER(SEARCH(",",$C1975)),ISNUMBER(SEARCH(";",$C1975))),"Multiple assignees",IF(COUNTIF('Team Setup'!$B$10:$B$34,$C1975)=1,"Matched","Unmatched")))))</x:f>
      </x:c>
      <x:c r="G1975" s="13" t="str">
        <x:f>IF($A1975="","",IF($D1975&lt;&gt;'Team Setup'!$B$4,"Other sprint",IF($E1975="","Unestimated",IF(NOT(ISNUMBER($E1975)),"Check estimate in hours",IF($E1975&lt;0,"Check estimate in hours",IF($E1975=0,"Unestimated","Estimated"))))))</x:f>
      </x:c>
    </x:row>
    <x:row r="1976">
      <x:c r="A1976" s="12"/>
      <x:c r="B1976" s="12"/>
      <x:c r="C1976" s="12"/>
      <x:c r="D1976" s="12"/>
      <x:c r="E1976" s="14"/>
      <x:c r="F1976" s="13" t="str">
        <x:f>IF($A1976="","",IF($D1976&lt;&gt;'Team Setup'!$B$4,"Other sprint",IF($C1976="","Unassigned",IF(OR(ISNUMBER(SEARCH(",",$C1976)),ISNUMBER(SEARCH(";",$C1976))),"Multiple assignees",IF(COUNTIF('Team Setup'!$B$10:$B$34,$C1976)=1,"Matched","Unmatched")))))</x:f>
      </x:c>
      <x:c r="G1976" s="13" t="str">
        <x:f>IF($A1976="","",IF($D1976&lt;&gt;'Team Setup'!$B$4,"Other sprint",IF($E1976="","Unestimated",IF(NOT(ISNUMBER($E1976)),"Check estimate in hours",IF($E1976&lt;0,"Check estimate in hours",IF($E1976=0,"Unestimated","Estimated"))))))</x:f>
      </x:c>
    </x:row>
    <x:row r="1977">
      <x:c r="A1977" s="12"/>
      <x:c r="B1977" s="12"/>
      <x:c r="C1977" s="12"/>
      <x:c r="D1977" s="12"/>
      <x:c r="E1977" s="14"/>
      <x:c r="F1977" s="13" t="str">
        <x:f>IF($A1977="","",IF($D1977&lt;&gt;'Team Setup'!$B$4,"Other sprint",IF($C1977="","Unassigned",IF(OR(ISNUMBER(SEARCH(",",$C1977)),ISNUMBER(SEARCH(";",$C1977))),"Multiple assignees",IF(COUNTIF('Team Setup'!$B$10:$B$34,$C1977)=1,"Matched","Unmatched")))))</x:f>
      </x:c>
      <x:c r="G1977" s="13" t="str">
        <x:f>IF($A1977="","",IF($D1977&lt;&gt;'Team Setup'!$B$4,"Other sprint",IF($E1977="","Unestimated",IF(NOT(ISNUMBER($E1977)),"Check estimate in hours",IF($E1977&lt;0,"Check estimate in hours",IF($E1977=0,"Unestimated","Estimated"))))))</x:f>
      </x:c>
    </x:row>
    <x:row r="1978">
      <x:c r="A1978" s="12"/>
      <x:c r="B1978" s="12"/>
      <x:c r="C1978" s="12"/>
      <x:c r="D1978" s="12"/>
      <x:c r="E1978" s="14"/>
      <x:c r="F1978" s="13" t="str">
        <x:f>IF($A1978="","",IF($D1978&lt;&gt;'Team Setup'!$B$4,"Other sprint",IF($C1978="","Unassigned",IF(OR(ISNUMBER(SEARCH(",",$C1978)),ISNUMBER(SEARCH(";",$C1978))),"Multiple assignees",IF(COUNTIF('Team Setup'!$B$10:$B$34,$C1978)=1,"Matched","Unmatched")))))</x:f>
      </x:c>
      <x:c r="G1978" s="13" t="str">
        <x:f>IF($A1978="","",IF($D1978&lt;&gt;'Team Setup'!$B$4,"Other sprint",IF($E1978="","Unestimated",IF(NOT(ISNUMBER($E1978)),"Check estimate in hours",IF($E1978&lt;0,"Check estimate in hours",IF($E1978=0,"Unestimated","Estimated"))))))</x:f>
      </x:c>
    </x:row>
    <x:row r="1979">
      <x:c r="A1979" s="12"/>
      <x:c r="B1979" s="12"/>
      <x:c r="C1979" s="12"/>
      <x:c r="D1979" s="12"/>
      <x:c r="E1979" s="14"/>
      <x:c r="F1979" s="13" t="str">
        <x:f>IF($A1979="","",IF($D1979&lt;&gt;'Team Setup'!$B$4,"Other sprint",IF($C1979="","Unassigned",IF(OR(ISNUMBER(SEARCH(",",$C1979)),ISNUMBER(SEARCH(";",$C1979))),"Multiple assignees",IF(COUNTIF('Team Setup'!$B$10:$B$34,$C1979)=1,"Matched","Unmatched")))))</x:f>
      </x:c>
      <x:c r="G1979" s="13" t="str">
        <x:f>IF($A1979="","",IF($D1979&lt;&gt;'Team Setup'!$B$4,"Other sprint",IF($E1979="","Unestimated",IF(NOT(ISNUMBER($E1979)),"Check estimate in hours",IF($E1979&lt;0,"Check estimate in hours",IF($E1979=0,"Unestimated","Estimated"))))))</x:f>
      </x:c>
    </x:row>
    <x:row r="1980">
      <x:c r="A1980" s="12"/>
      <x:c r="B1980" s="12"/>
      <x:c r="C1980" s="12"/>
      <x:c r="D1980" s="12"/>
      <x:c r="E1980" s="14"/>
      <x:c r="F1980" s="13" t="str">
        <x:f>IF($A1980="","",IF($D1980&lt;&gt;'Team Setup'!$B$4,"Other sprint",IF($C1980="","Unassigned",IF(OR(ISNUMBER(SEARCH(",",$C1980)),ISNUMBER(SEARCH(";",$C1980))),"Multiple assignees",IF(COUNTIF('Team Setup'!$B$10:$B$34,$C1980)=1,"Matched","Unmatched")))))</x:f>
      </x:c>
      <x:c r="G1980" s="13" t="str">
        <x:f>IF($A1980="","",IF($D1980&lt;&gt;'Team Setup'!$B$4,"Other sprint",IF($E1980="","Unestimated",IF(NOT(ISNUMBER($E1980)),"Check estimate in hours",IF($E1980&lt;0,"Check estimate in hours",IF($E1980=0,"Unestimated","Estimated"))))))</x:f>
      </x:c>
    </x:row>
    <x:row r="1981">
      <x:c r="A1981" s="12"/>
      <x:c r="B1981" s="12"/>
      <x:c r="C1981" s="12"/>
      <x:c r="D1981" s="12"/>
      <x:c r="E1981" s="14"/>
      <x:c r="F1981" s="13" t="str">
        <x:f>IF($A1981="","",IF($D1981&lt;&gt;'Team Setup'!$B$4,"Other sprint",IF($C1981="","Unassigned",IF(OR(ISNUMBER(SEARCH(",",$C1981)),ISNUMBER(SEARCH(";",$C1981))),"Multiple assignees",IF(COUNTIF('Team Setup'!$B$10:$B$34,$C1981)=1,"Matched","Unmatched")))))</x:f>
      </x:c>
      <x:c r="G1981" s="13" t="str">
        <x:f>IF($A1981="","",IF($D1981&lt;&gt;'Team Setup'!$B$4,"Other sprint",IF($E1981="","Unestimated",IF(NOT(ISNUMBER($E1981)),"Check estimate in hours",IF($E1981&lt;0,"Check estimate in hours",IF($E1981=0,"Unestimated","Estimated"))))))</x:f>
      </x:c>
    </x:row>
    <x:row r="1982">
      <x:c r="A1982" s="12"/>
      <x:c r="B1982" s="12"/>
      <x:c r="C1982" s="12"/>
      <x:c r="D1982" s="12"/>
      <x:c r="E1982" s="14"/>
      <x:c r="F1982" s="13" t="str">
        <x:f>IF($A1982="","",IF($D1982&lt;&gt;'Team Setup'!$B$4,"Other sprint",IF($C1982="","Unassigned",IF(OR(ISNUMBER(SEARCH(",",$C1982)),ISNUMBER(SEARCH(";",$C1982))),"Multiple assignees",IF(COUNTIF('Team Setup'!$B$10:$B$34,$C1982)=1,"Matched","Unmatched")))))</x:f>
      </x:c>
      <x:c r="G1982" s="13" t="str">
        <x:f>IF($A1982="","",IF($D1982&lt;&gt;'Team Setup'!$B$4,"Other sprint",IF($E1982="","Unestimated",IF(NOT(ISNUMBER($E1982)),"Check estimate in hours",IF($E1982&lt;0,"Check estimate in hours",IF($E1982=0,"Unestimated","Estimated"))))))</x:f>
      </x:c>
    </x:row>
    <x:row r="1983">
      <x:c r="A1983" s="12"/>
      <x:c r="B1983" s="12"/>
      <x:c r="C1983" s="12"/>
      <x:c r="D1983" s="12"/>
      <x:c r="E1983" s="14"/>
      <x:c r="F1983" s="13" t="str">
        <x:f>IF($A1983="","",IF($D1983&lt;&gt;'Team Setup'!$B$4,"Other sprint",IF($C1983="","Unassigned",IF(OR(ISNUMBER(SEARCH(",",$C1983)),ISNUMBER(SEARCH(";",$C1983))),"Multiple assignees",IF(COUNTIF('Team Setup'!$B$10:$B$34,$C1983)=1,"Matched","Unmatched")))))</x:f>
      </x:c>
      <x:c r="G1983" s="13" t="str">
        <x:f>IF($A1983="","",IF($D1983&lt;&gt;'Team Setup'!$B$4,"Other sprint",IF($E1983="","Unestimated",IF(NOT(ISNUMBER($E1983)),"Check estimate in hours",IF($E1983&lt;0,"Check estimate in hours",IF($E1983=0,"Unestimated","Estimated"))))))</x:f>
      </x:c>
    </x:row>
    <x:row r="1984">
      <x:c r="A1984" s="12"/>
      <x:c r="B1984" s="12"/>
      <x:c r="C1984" s="12"/>
      <x:c r="D1984" s="12"/>
      <x:c r="E1984" s="14"/>
      <x:c r="F1984" s="13" t="str">
        <x:f>IF($A1984="","",IF($D1984&lt;&gt;'Team Setup'!$B$4,"Other sprint",IF($C1984="","Unassigned",IF(OR(ISNUMBER(SEARCH(",",$C1984)),ISNUMBER(SEARCH(";",$C1984))),"Multiple assignees",IF(COUNTIF('Team Setup'!$B$10:$B$34,$C1984)=1,"Matched","Unmatched")))))</x:f>
      </x:c>
      <x:c r="G1984" s="13" t="str">
        <x:f>IF($A1984="","",IF($D1984&lt;&gt;'Team Setup'!$B$4,"Other sprint",IF($E1984="","Unestimated",IF(NOT(ISNUMBER($E1984)),"Check estimate in hours",IF($E1984&lt;0,"Check estimate in hours",IF($E1984=0,"Unestimated","Estimated"))))))</x:f>
      </x:c>
    </x:row>
    <x:row r="1985">
      <x:c r="A1985" s="12"/>
      <x:c r="B1985" s="12"/>
      <x:c r="C1985" s="12"/>
      <x:c r="D1985" s="12"/>
      <x:c r="E1985" s="14"/>
      <x:c r="F1985" s="13" t="str">
        <x:f>IF($A1985="","",IF($D1985&lt;&gt;'Team Setup'!$B$4,"Other sprint",IF($C1985="","Unassigned",IF(OR(ISNUMBER(SEARCH(",",$C1985)),ISNUMBER(SEARCH(";",$C1985))),"Multiple assignees",IF(COUNTIF('Team Setup'!$B$10:$B$34,$C1985)=1,"Matched","Unmatched")))))</x:f>
      </x:c>
      <x:c r="G1985" s="13" t="str">
        <x:f>IF($A1985="","",IF($D1985&lt;&gt;'Team Setup'!$B$4,"Other sprint",IF($E1985="","Unestimated",IF(NOT(ISNUMBER($E1985)),"Check estimate in hours",IF($E1985&lt;0,"Check estimate in hours",IF($E1985=0,"Unestimated","Estimated"))))))</x:f>
      </x:c>
    </x:row>
    <x:row r="1986">
      <x:c r="A1986" s="12"/>
      <x:c r="B1986" s="12"/>
      <x:c r="C1986" s="12"/>
      <x:c r="D1986" s="12"/>
      <x:c r="E1986" s="14"/>
      <x:c r="F1986" s="13" t="str">
        <x:f>IF($A1986="","",IF($D1986&lt;&gt;'Team Setup'!$B$4,"Other sprint",IF($C1986="","Unassigned",IF(OR(ISNUMBER(SEARCH(",",$C1986)),ISNUMBER(SEARCH(";",$C1986))),"Multiple assignees",IF(COUNTIF('Team Setup'!$B$10:$B$34,$C1986)=1,"Matched","Unmatched")))))</x:f>
      </x:c>
      <x:c r="G1986" s="13" t="str">
        <x:f>IF($A1986="","",IF($D1986&lt;&gt;'Team Setup'!$B$4,"Other sprint",IF($E1986="","Unestimated",IF(NOT(ISNUMBER($E1986)),"Check estimate in hours",IF($E1986&lt;0,"Check estimate in hours",IF($E1986=0,"Unestimated","Estimated"))))))</x:f>
      </x:c>
    </x:row>
    <x:row r="1987">
      <x:c r="A1987" s="12"/>
      <x:c r="B1987" s="12"/>
      <x:c r="C1987" s="12"/>
      <x:c r="D1987" s="12"/>
      <x:c r="E1987" s="14"/>
      <x:c r="F1987" s="13" t="str">
        <x:f>IF($A1987="","",IF($D1987&lt;&gt;'Team Setup'!$B$4,"Other sprint",IF($C1987="","Unassigned",IF(OR(ISNUMBER(SEARCH(",",$C1987)),ISNUMBER(SEARCH(";",$C1987))),"Multiple assignees",IF(COUNTIF('Team Setup'!$B$10:$B$34,$C1987)=1,"Matched","Unmatched")))))</x:f>
      </x:c>
      <x:c r="G1987" s="13" t="str">
        <x:f>IF($A1987="","",IF($D1987&lt;&gt;'Team Setup'!$B$4,"Other sprint",IF($E1987="","Unestimated",IF(NOT(ISNUMBER($E1987)),"Check estimate in hours",IF($E1987&lt;0,"Check estimate in hours",IF($E1987=0,"Unestimated","Estimated"))))))</x:f>
      </x:c>
    </x:row>
    <x:row r="1988">
      <x:c r="A1988" s="12"/>
      <x:c r="B1988" s="12"/>
      <x:c r="C1988" s="12"/>
      <x:c r="D1988" s="12"/>
      <x:c r="E1988" s="14"/>
      <x:c r="F1988" s="13" t="str">
        <x:f>IF($A1988="","",IF($D1988&lt;&gt;'Team Setup'!$B$4,"Other sprint",IF($C1988="","Unassigned",IF(OR(ISNUMBER(SEARCH(",",$C1988)),ISNUMBER(SEARCH(";",$C1988))),"Multiple assignees",IF(COUNTIF('Team Setup'!$B$10:$B$34,$C1988)=1,"Matched","Unmatched")))))</x:f>
      </x:c>
      <x:c r="G1988" s="13" t="str">
        <x:f>IF($A1988="","",IF($D1988&lt;&gt;'Team Setup'!$B$4,"Other sprint",IF($E1988="","Unestimated",IF(NOT(ISNUMBER($E1988)),"Check estimate in hours",IF($E1988&lt;0,"Check estimate in hours",IF($E1988=0,"Unestimated","Estimated"))))))</x:f>
      </x:c>
    </x:row>
    <x:row r="1989">
      <x:c r="A1989" s="12"/>
      <x:c r="B1989" s="12"/>
      <x:c r="C1989" s="12"/>
      <x:c r="D1989" s="12"/>
      <x:c r="E1989" s="14"/>
      <x:c r="F1989" s="13" t="str">
        <x:f>IF($A1989="","",IF($D1989&lt;&gt;'Team Setup'!$B$4,"Other sprint",IF($C1989="","Unassigned",IF(OR(ISNUMBER(SEARCH(",",$C1989)),ISNUMBER(SEARCH(";",$C1989))),"Multiple assignees",IF(COUNTIF('Team Setup'!$B$10:$B$34,$C1989)=1,"Matched","Unmatched")))))</x:f>
      </x:c>
      <x:c r="G1989" s="13" t="str">
        <x:f>IF($A1989="","",IF($D1989&lt;&gt;'Team Setup'!$B$4,"Other sprint",IF($E1989="","Unestimated",IF(NOT(ISNUMBER($E1989)),"Check estimate in hours",IF($E1989&lt;0,"Check estimate in hours",IF($E1989=0,"Unestimated","Estimated"))))))</x:f>
      </x:c>
    </x:row>
    <x:row r="1990">
      <x:c r="A1990" s="12"/>
      <x:c r="B1990" s="12"/>
      <x:c r="C1990" s="12"/>
      <x:c r="D1990" s="12"/>
      <x:c r="E1990" s="14"/>
      <x:c r="F1990" s="13" t="str">
        <x:f>IF($A1990="","",IF($D1990&lt;&gt;'Team Setup'!$B$4,"Other sprint",IF($C1990="","Unassigned",IF(OR(ISNUMBER(SEARCH(",",$C1990)),ISNUMBER(SEARCH(";",$C1990))),"Multiple assignees",IF(COUNTIF('Team Setup'!$B$10:$B$34,$C1990)=1,"Matched","Unmatched")))))</x:f>
      </x:c>
      <x:c r="G1990" s="13" t="str">
        <x:f>IF($A1990="","",IF($D1990&lt;&gt;'Team Setup'!$B$4,"Other sprint",IF($E1990="","Unestimated",IF(NOT(ISNUMBER($E1990)),"Check estimate in hours",IF($E1990&lt;0,"Check estimate in hours",IF($E1990=0,"Unestimated","Estimated"))))))</x:f>
      </x:c>
    </x:row>
    <x:row r="1991">
      <x:c r="A1991" s="12"/>
      <x:c r="B1991" s="12"/>
      <x:c r="C1991" s="12"/>
      <x:c r="D1991" s="12"/>
      <x:c r="E1991" s="14"/>
      <x:c r="F1991" s="13" t="str">
        <x:f>IF($A1991="","",IF($D1991&lt;&gt;'Team Setup'!$B$4,"Other sprint",IF($C1991="","Unassigned",IF(OR(ISNUMBER(SEARCH(",",$C1991)),ISNUMBER(SEARCH(";",$C1991))),"Multiple assignees",IF(COUNTIF('Team Setup'!$B$10:$B$34,$C1991)=1,"Matched","Unmatched")))))</x:f>
      </x:c>
      <x:c r="G1991" s="13" t="str">
        <x:f>IF($A1991="","",IF($D1991&lt;&gt;'Team Setup'!$B$4,"Other sprint",IF($E1991="","Unestimated",IF(NOT(ISNUMBER($E1991)),"Check estimate in hours",IF($E1991&lt;0,"Check estimate in hours",IF($E1991=0,"Unestimated","Estimated"))))))</x:f>
      </x:c>
    </x:row>
    <x:row r="1992">
      <x:c r="A1992" s="12"/>
      <x:c r="B1992" s="12"/>
      <x:c r="C1992" s="12"/>
      <x:c r="D1992" s="12"/>
      <x:c r="E1992" s="14"/>
      <x:c r="F1992" s="13" t="str">
        <x:f>IF($A1992="","",IF($D1992&lt;&gt;'Team Setup'!$B$4,"Other sprint",IF($C1992="","Unassigned",IF(OR(ISNUMBER(SEARCH(",",$C1992)),ISNUMBER(SEARCH(";",$C1992))),"Multiple assignees",IF(COUNTIF('Team Setup'!$B$10:$B$34,$C1992)=1,"Matched","Unmatched")))))</x:f>
      </x:c>
      <x:c r="G1992" s="13" t="str">
        <x:f>IF($A1992="","",IF($D1992&lt;&gt;'Team Setup'!$B$4,"Other sprint",IF($E1992="","Unestimated",IF(NOT(ISNUMBER($E1992)),"Check estimate in hours",IF($E1992&lt;0,"Check estimate in hours",IF($E1992=0,"Unestimated","Estimated"))))))</x:f>
      </x:c>
    </x:row>
    <x:row r="1993">
      <x:c r="A1993" s="12"/>
      <x:c r="B1993" s="12"/>
      <x:c r="C1993" s="12"/>
      <x:c r="D1993" s="12"/>
      <x:c r="E1993" s="14"/>
      <x:c r="F1993" s="13" t="str">
        <x:f>IF($A1993="","",IF($D1993&lt;&gt;'Team Setup'!$B$4,"Other sprint",IF($C1993="","Unassigned",IF(OR(ISNUMBER(SEARCH(",",$C1993)),ISNUMBER(SEARCH(";",$C1993))),"Multiple assignees",IF(COUNTIF('Team Setup'!$B$10:$B$34,$C1993)=1,"Matched","Unmatched")))))</x:f>
      </x:c>
      <x:c r="G1993" s="13" t="str">
        <x:f>IF($A1993="","",IF($D1993&lt;&gt;'Team Setup'!$B$4,"Other sprint",IF($E1993="","Unestimated",IF(NOT(ISNUMBER($E1993)),"Check estimate in hours",IF($E1993&lt;0,"Check estimate in hours",IF($E1993=0,"Unestimated","Estimated"))))))</x:f>
      </x:c>
    </x:row>
    <x:row r="1994">
      <x:c r="A1994" s="12"/>
      <x:c r="B1994" s="12"/>
      <x:c r="C1994" s="12"/>
      <x:c r="D1994" s="12"/>
      <x:c r="E1994" s="14"/>
      <x:c r="F1994" s="13" t="str">
        <x:f>IF($A1994="","",IF($D1994&lt;&gt;'Team Setup'!$B$4,"Other sprint",IF($C1994="","Unassigned",IF(OR(ISNUMBER(SEARCH(",",$C1994)),ISNUMBER(SEARCH(";",$C1994))),"Multiple assignees",IF(COUNTIF('Team Setup'!$B$10:$B$34,$C1994)=1,"Matched","Unmatched")))))</x:f>
      </x:c>
      <x:c r="G1994" s="13" t="str">
        <x:f>IF($A1994="","",IF($D1994&lt;&gt;'Team Setup'!$B$4,"Other sprint",IF($E1994="","Unestimated",IF(NOT(ISNUMBER($E1994)),"Check estimate in hours",IF($E1994&lt;0,"Check estimate in hours",IF($E1994=0,"Unestimated","Estimated"))))))</x:f>
      </x:c>
    </x:row>
    <x:row r="1995">
      <x:c r="A1995" s="12"/>
      <x:c r="B1995" s="12"/>
      <x:c r="C1995" s="12"/>
      <x:c r="D1995" s="12"/>
      <x:c r="E1995" s="14"/>
      <x:c r="F1995" s="13" t="str">
        <x:f>IF($A1995="","",IF($D1995&lt;&gt;'Team Setup'!$B$4,"Other sprint",IF($C1995="","Unassigned",IF(OR(ISNUMBER(SEARCH(",",$C1995)),ISNUMBER(SEARCH(";",$C1995))),"Multiple assignees",IF(COUNTIF('Team Setup'!$B$10:$B$34,$C1995)=1,"Matched","Unmatched")))))</x:f>
      </x:c>
      <x:c r="G1995" s="13" t="str">
        <x:f>IF($A1995="","",IF($D1995&lt;&gt;'Team Setup'!$B$4,"Other sprint",IF($E1995="","Unestimated",IF(NOT(ISNUMBER($E1995)),"Check estimate in hours",IF($E1995&lt;0,"Check estimate in hours",IF($E1995=0,"Unestimated","Estimated"))))))</x:f>
      </x:c>
    </x:row>
    <x:row r="1996">
      <x:c r="A1996" s="12"/>
      <x:c r="B1996" s="12"/>
      <x:c r="C1996" s="12"/>
      <x:c r="D1996" s="12"/>
      <x:c r="E1996" s="14"/>
      <x:c r="F1996" s="13" t="str">
        <x:f>IF($A1996="","",IF($D1996&lt;&gt;'Team Setup'!$B$4,"Other sprint",IF($C1996="","Unassigned",IF(OR(ISNUMBER(SEARCH(",",$C1996)),ISNUMBER(SEARCH(";",$C1996))),"Multiple assignees",IF(COUNTIF('Team Setup'!$B$10:$B$34,$C1996)=1,"Matched","Unmatched")))))</x:f>
      </x:c>
      <x:c r="G1996" s="13" t="str">
        <x:f>IF($A1996="","",IF($D1996&lt;&gt;'Team Setup'!$B$4,"Other sprint",IF($E1996="","Unestimated",IF(NOT(ISNUMBER($E1996)),"Check estimate in hours",IF($E1996&lt;0,"Check estimate in hours",IF($E1996=0,"Unestimated","Estimated"))))))</x:f>
      </x:c>
    </x:row>
    <x:row r="1997">
      <x:c r="A1997" s="12"/>
      <x:c r="B1997" s="12"/>
      <x:c r="C1997" s="12"/>
      <x:c r="D1997" s="12"/>
      <x:c r="E1997" s="14"/>
      <x:c r="F1997" s="13" t="str">
        <x:f>IF($A1997="","",IF($D1997&lt;&gt;'Team Setup'!$B$4,"Other sprint",IF($C1997="","Unassigned",IF(OR(ISNUMBER(SEARCH(",",$C1997)),ISNUMBER(SEARCH(";",$C1997))),"Multiple assignees",IF(COUNTIF('Team Setup'!$B$10:$B$34,$C1997)=1,"Matched","Unmatched")))))</x:f>
      </x:c>
      <x:c r="G1997" s="13" t="str">
        <x:f>IF($A1997="","",IF($D1997&lt;&gt;'Team Setup'!$B$4,"Other sprint",IF($E1997="","Unestimated",IF(NOT(ISNUMBER($E1997)),"Check estimate in hours",IF($E1997&lt;0,"Check estimate in hours",IF($E1997=0,"Unestimated","Estimated"))))))</x:f>
      </x:c>
    </x:row>
    <x:row r="1998">
      <x:c r="A1998" s="12"/>
      <x:c r="B1998" s="12"/>
      <x:c r="C1998" s="12"/>
      <x:c r="D1998" s="12"/>
      <x:c r="E1998" s="14"/>
      <x:c r="F1998" s="13" t="str">
        <x:f>IF($A1998="","",IF($D1998&lt;&gt;'Team Setup'!$B$4,"Other sprint",IF($C1998="","Unassigned",IF(OR(ISNUMBER(SEARCH(",",$C1998)),ISNUMBER(SEARCH(";",$C1998))),"Multiple assignees",IF(COUNTIF('Team Setup'!$B$10:$B$34,$C1998)=1,"Matched","Unmatched")))))</x:f>
      </x:c>
      <x:c r="G1998" s="13" t="str">
        <x:f>IF($A1998="","",IF($D1998&lt;&gt;'Team Setup'!$B$4,"Other sprint",IF($E1998="","Unestimated",IF(NOT(ISNUMBER($E1998)),"Check estimate in hours",IF($E1998&lt;0,"Check estimate in hours",IF($E1998=0,"Unestimated","Estimated"))))))</x:f>
      </x:c>
    </x:row>
    <x:row r="1999">
      <x:c r="A1999" s="12"/>
      <x:c r="B1999" s="12"/>
      <x:c r="C1999" s="12"/>
      <x:c r="D1999" s="12"/>
      <x:c r="E1999" s="14"/>
      <x:c r="F1999" s="13" t="str">
        <x:f>IF($A1999="","",IF($D1999&lt;&gt;'Team Setup'!$B$4,"Other sprint",IF($C1999="","Unassigned",IF(OR(ISNUMBER(SEARCH(",",$C1999)),ISNUMBER(SEARCH(";",$C1999))),"Multiple assignees",IF(COUNTIF('Team Setup'!$B$10:$B$34,$C1999)=1,"Matched","Unmatched")))))</x:f>
      </x:c>
      <x:c r="G1999" s="13" t="str">
        <x:f>IF($A1999="","",IF($D1999&lt;&gt;'Team Setup'!$B$4,"Other sprint",IF($E1999="","Unestimated",IF(NOT(ISNUMBER($E1999)),"Check estimate in hours",IF($E1999&lt;0,"Check estimate in hours",IF($E1999=0,"Unestimated","Estimated"))))))</x:f>
      </x:c>
    </x:row>
    <x:row r="2000">
      <x:c r="A2000" s="12"/>
      <x:c r="B2000" s="12"/>
      <x:c r="C2000" s="12"/>
      <x:c r="D2000" s="12"/>
      <x:c r="E2000" s="14"/>
      <x:c r="F2000" s="13" t="str">
        <x:f>IF($A2000="","",IF($D2000&lt;&gt;'Team Setup'!$B$4,"Other sprint",IF($C2000="","Unassigned",IF(OR(ISNUMBER(SEARCH(",",$C2000)),ISNUMBER(SEARCH(";",$C2000))),"Multiple assignees",IF(COUNTIF('Team Setup'!$B$10:$B$34,$C2000)=1,"Matched","Unmatched")))))</x:f>
      </x:c>
      <x:c r="G2000" s="13" t="str">
        <x:f>IF($A2000="","",IF($D2000&lt;&gt;'Team Setup'!$B$4,"Other sprint",IF($E2000="","Unestimated",IF(NOT(ISNUMBER($E2000)),"Check estimate in hours",IF($E2000&lt;0,"Check estimate in hours",IF($E2000=0,"Unestimated","Estimated"))))))</x:f>
      </x:c>
    </x:row>
    <x:row r="2001">
      <x:c r="A2001" s="12"/>
      <x:c r="B2001" s="12"/>
      <x:c r="C2001" s="12"/>
      <x:c r="D2001" s="12"/>
      <x:c r="E2001" s="14"/>
      <x:c r="F2001" s="13" t="str">
        <x:f>IF($A2001="","",IF($D2001&lt;&gt;'Team Setup'!$B$4,"Other sprint",IF($C2001="","Unassigned",IF(OR(ISNUMBER(SEARCH(",",$C2001)),ISNUMBER(SEARCH(";",$C2001))),"Multiple assignees",IF(COUNTIF('Team Setup'!$B$10:$B$34,$C2001)=1,"Matched","Unmatched")))))</x:f>
      </x:c>
      <x:c r="G2001" s="13" t="str">
        <x:f>IF($A2001="","",IF($D2001&lt;&gt;'Team Setup'!$B$4,"Other sprint",IF($E2001="","Unestimated",IF(NOT(ISNUMBER($E2001)),"Check estimate in hours",IF($E2001&lt;0,"Check estimate in hours",IF($E2001=0,"Unestimated","Estimated"))))))</x:f>
      </x:c>
    </x:row>
    <x:row r="2002">
      <x:c r="A2002" s="12"/>
      <x:c r="B2002" s="12"/>
      <x:c r="C2002" s="12"/>
      <x:c r="D2002" s="12"/>
      <x:c r="E2002" s="14"/>
      <x:c r="F2002" s="13" t="str">
        <x:f>IF($A2002="","",IF($D2002&lt;&gt;'Team Setup'!$B$4,"Other sprint",IF($C2002="","Unassigned",IF(OR(ISNUMBER(SEARCH(",",$C2002)),ISNUMBER(SEARCH(";",$C2002))),"Multiple assignees",IF(COUNTIF('Team Setup'!$B$10:$B$34,$C2002)=1,"Matched","Unmatched")))))</x:f>
      </x:c>
      <x:c r="G2002" s="13" t="str">
        <x:f>IF($A2002="","",IF($D2002&lt;&gt;'Team Setup'!$B$4,"Other sprint",IF($E2002="","Unestimated",IF(NOT(ISNUMBER($E2002)),"Check estimate in hours",IF($E2002&lt;0,"Check estimate in hours",IF($E2002=0,"Unestimated","Estimated"))))))</x:f>
      </x:c>
    </x:row>
    <x:row r="2003">
      <x:c r="A2003" s="12"/>
      <x:c r="B2003" s="12"/>
      <x:c r="C2003" s="12"/>
      <x:c r="D2003" s="12"/>
      <x:c r="E2003" s="14"/>
      <x:c r="F2003" s="13" t="str">
        <x:f>IF($A2003="","",IF($D2003&lt;&gt;'Team Setup'!$B$4,"Other sprint",IF($C2003="","Unassigned",IF(OR(ISNUMBER(SEARCH(",",$C2003)),ISNUMBER(SEARCH(";",$C2003))),"Multiple assignees",IF(COUNTIF('Team Setup'!$B$10:$B$34,$C2003)=1,"Matched","Unmatched")))))</x:f>
      </x:c>
      <x:c r="G2003" s="13" t="str">
        <x:f>IF($A2003="","",IF($D2003&lt;&gt;'Team Setup'!$B$4,"Other sprint",IF($E2003="","Unestimated",IF(NOT(ISNUMBER($E2003)),"Check estimate in hours",IF($E2003&lt;0,"Check estimate in hours",IF($E2003=0,"Unestimated","Estimated"))))))</x:f>
      </x:c>
    </x:row>
    <x:row r="2004">
      <x:c r="A2004" s="12"/>
      <x:c r="B2004" s="12"/>
      <x:c r="C2004" s="12"/>
      <x:c r="D2004" s="12"/>
      <x:c r="E2004" s="14"/>
      <x:c r="F2004" s="13" t="str">
        <x:f>IF($A2004="","",IF($D2004&lt;&gt;'Team Setup'!$B$4,"Other sprint",IF($C2004="","Unassigned",IF(OR(ISNUMBER(SEARCH(",",$C2004)),ISNUMBER(SEARCH(";",$C2004))),"Multiple assignees",IF(COUNTIF('Team Setup'!$B$10:$B$34,$C2004)=1,"Matched","Unmatched")))))</x:f>
      </x:c>
      <x:c r="G2004" s="13" t="str">
        <x:f>IF($A2004="","",IF($D2004&lt;&gt;'Team Setup'!$B$4,"Other sprint",IF($E2004="","Unestimated",IF(NOT(ISNUMBER($E2004)),"Check estimate in hours",IF($E2004&lt;0,"Check estimate in hours",IF($E2004=0,"Unestimated","Estimated"))))))</x:f>
      </x:c>
    </x:row>
    <x:row r="2005">
      <x:c r="A2005" s="12"/>
      <x:c r="B2005" s="12"/>
      <x:c r="C2005" s="12"/>
      <x:c r="D2005" s="12"/>
      <x:c r="E2005" s="14"/>
      <x:c r="F2005" s="13" t="str">
        <x:f>IF($A2005="","",IF($D2005&lt;&gt;'Team Setup'!$B$4,"Other sprint",IF($C2005="","Unassigned",IF(OR(ISNUMBER(SEARCH(",",$C2005)),ISNUMBER(SEARCH(";",$C2005))),"Multiple assignees",IF(COUNTIF('Team Setup'!$B$10:$B$34,$C2005)=1,"Matched","Unmatched")))))</x:f>
      </x:c>
      <x:c r="G2005" s="13" t="str">
        <x:f>IF($A2005="","",IF($D2005&lt;&gt;'Team Setup'!$B$4,"Other sprint",IF($E2005="","Unestimated",IF(NOT(ISNUMBER($E2005)),"Check estimate in hours",IF($E2005&lt;0,"Check estimate in hours",IF($E2005=0,"Unestimated","Estimated"))))))</x:f>
      </x:c>
    </x:row>
    <x:row r="2006">
      <x:c r="A2006" s="12"/>
      <x:c r="B2006" s="12"/>
      <x:c r="C2006" s="12"/>
      <x:c r="D2006" s="12"/>
      <x:c r="E2006" s="14"/>
      <x:c r="F2006" s="13" t="str">
        <x:f>IF($A2006="","",IF($D2006&lt;&gt;'Team Setup'!$B$4,"Other sprint",IF($C2006="","Unassigned",IF(OR(ISNUMBER(SEARCH(",",$C2006)),ISNUMBER(SEARCH(";",$C2006))),"Multiple assignees",IF(COUNTIF('Team Setup'!$B$10:$B$34,$C2006)=1,"Matched","Unmatched")))))</x:f>
      </x:c>
      <x:c r="G2006" s="13" t="str">
        <x:f>IF($A2006="","",IF($D2006&lt;&gt;'Team Setup'!$B$4,"Other sprint",IF($E2006="","Unestimated",IF(NOT(ISNUMBER($E2006)),"Check estimate in hours",IF($E2006&lt;0,"Check estimate in hours",IF($E2006=0,"Unestimated","Estimated"))))))</x:f>
      </x:c>
    </x:row>
  </x:sheetData>
  <x:mergeCells>
    <x:mergeCell ref="A2:G2"/>
    <x:mergeCell ref="A4:G4"/>
  </x:mergeCells>
  <x:pageMargins left="0.7" right="0.7" top="0.75" bottom="0.75" header="0.3" footer="0.3"/>
  <x:tableParts count="1">
    <x:tablePart xmlns:r="http://schemas.openxmlformats.org/officeDocument/2006/relationships" r:id="R519d8d1a3bde4013"/>
  </x:tableParts>
</x:worksheet>
</file>